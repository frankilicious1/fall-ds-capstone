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aar04747/Library/CloudStorage/Box-Box/SO/Data - Shared/Transportation/Faculty Staff Commute/"/>
    </mc:Choice>
  </mc:AlternateContent>
  <xr:revisionPtr revIDLastSave="0" documentId="13_ncr:1_{E2413E02-E258-724D-B3CB-CB8C1C431F6C}" xr6:coauthVersionLast="47" xr6:coauthVersionMax="47" xr10:uidLastSave="{00000000-0000-0000-0000-000000000000}"/>
  <bookViews>
    <workbookView xWindow="240" yWindow="600" windowWidth="28840" windowHeight="18860" xr2:uid="{00000000-000D-0000-FFFF-FFFF00000000}"/>
  </bookViews>
  <sheets>
    <sheet name="FY26" sheetId="13" r:id="rId1"/>
    <sheet name="FY25" sheetId="12" r:id="rId2"/>
    <sheet name="FY24" sheetId="1" r:id="rId3"/>
    <sheet name="FY23" sheetId="2" r:id="rId4"/>
    <sheet name="FY22" sheetId="3" r:id="rId5"/>
    <sheet name="FY21" sheetId="4" r:id="rId6"/>
    <sheet name="FY20" sheetId="5" r:id="rId7"/>
    <sheet name="FY19" sheetId="6" r:id="rId8"/>
    <sheet name="FY18" sheetId="7" r:id="rId9"/>
    <sheet name="FY17" sheetId="8" r:id="rId10"/>
    <sheet name="FY16" sheetId="9" r:id="rId11"/>
    <sheet name="FY15" sheetId="10" r:id="rId12"/>
    <sheet name="FY14" sheetId="1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13" l="1"/>
  <c r="Q15" i="13"/>
  <c r="V10" i="13"/>
  <c r="V4" i="13" s="1" a="1"/>
  <c r="V4" i="13" s="1"/>
  <c r="U10" i="13"/>
  <c r="T10" i="13"/>
  <c r="T4" i="13" s="1" a="1"/>
  <c r="T4" i="13" s="1"/>
  <c r="R10" i="13"/>
  <c r="R4" i="13" s="1" a="1"/>
  <c r="R4" i="13" s="1"/>
  <c r="Q10" i="13"/>
  <c r="Q4" i="13" s="1" a="1"/>
  <c r="Q4" i="13" s="1"/>
  <c r="P10" i="13" a="1"/>
  <c r="P10" i="13"/>
  <c r="P4" i="13" s="1" a="1"/>
  <c r="P4" i="13" s="1"/>
  <c r="O10" i="13"/>
  <c r="O4" i="13" s="1" a="1"/>
  <c r="O4" i="13" s="1"/>
  <c r="N10" i="13" a="1"/>
  <c r="N10" i="13"/>
  <c r="N4" i="13" s="1" a="1"/>
  <c r="N4" i="13" s="1"/>
  <c r="W10" i="13"/>
  <c r="N3" i="13" a="1"/>
  <c r="N3" i="13"/>
  <c r="Q19" i="13"/>
  <c r="Q18" i="13"/>
  <c r="X10" i="13"/>
  <c r="P5" i="13" a="1"/>
  <c r="P5" i="13" s="1"/>
  <c r="Q19" i="12"/>
  <c r="Q18" i="12"/>
  <c r="Q15" i="12"/>
  <c r="X10" i="12"/>
  <c r="V10" i="12"/>
  <c r="U10" i="12"/>
  <c r="T10" i="12"/>
  <c r="R10" i="12"/>
  <c r="Q10" i="12"/>
  <c r="P10" i="12" a="1"/>
  <c r="P10" i="12" s="1"/>
  <c r="O10" i="12"/>
  <c r="N10" i="12" a="1"/>
  <c r="N10" i="12" s="1"/>
  <c r="W10" i="12" s="1"/>
  <c r="Q13" i="12" s="1"/>
  <c r="P5" i="12" a="1"/>
  <c r="P5" i="12" s="1"/>
  <c r="V4" i="12" a="1"/>
  <c r="V4" i="12" s="1"/>
  <c r="T4" i="12" a="1"/>
  <c r="T4" i="12" s="1"/>
  <c r="R4" i="12" a="1"/>
  <c r="R4" i="12" s="1"/>
  <c r="Q4" i="12" a="1"/>
  <c r="Q4" i="12" s="1"/>
  <c r="P4" i="12" a="1"/>
  <c r="P4" i="12" s="1"/>
  <c r="O4" i="12" a="1"/>
  <c r="O4" i="12" s="1"/>
  <c r="N4" i="12" a="1"/>
  <c r="N4" i="12" s="1"/>
  <c r="V3" i="12"/>
  <c r="U3" i="12"/>
  <c r="T3" i="12"/>
  <c r="R3" i="12"/>
  <c r="Q3" i="12"/>
  <c r="P3" i="12" a="1"/>
  <c r="P3" i="12" s="1"/>
  <c r="O3" i="12"/>
  <c r="N3" i="12" a="1"/>
  <c r="N3" i="12" s="1"/>
  <c r="W3" i="12" s="1"/>
  <c r="R20" i="11"/>
  <c r="Q20" i="11"/>
  <c r="S20" i="11"/>
  <c r="N20" i="5"/>
  <c r="N20" i="7"/>
  <c r="N20" i="8"/>
  <c r="M20" i="9"/>
  <c r="M20" i="10"/>
  <c r="N20" i="11"/>
  <c r="J3" i="10" a="1"/>
  <c r="J3" i="10"/>
  <c r="L5" i="10" a="1"/>
  <c r="L5" i="10"/>
  <c r="N19" i="11"/>
  <c r="N18" i="11"/>
  <c r="N15" i="11"/>
  <c r="T10" i="11"/>
  <c r="R10" i="11"/>
  <c r="Q10" i="11"/>
  <c r="P10" i="11"/>
  <c r="N10" i="11"/>
  <c r="M10" i="11"/>
  <c r="L10" i="11" a="1"/>
  <c r="L10" i="11" s="1"/>
  <c r="K10" i="11"/>
  <c r="J10" i="11" a="1"/>
  <c r="J10" i="11" s="1"/>
  <c r="S10" i="11" s="1"/>
  <c r="L5" i="11" a="1"/>
  <c r="L5" i="11" s="1"/>
  <c r="R4" i="11" a="1"/>
  <c r="R4" i="11" s="1"/>
  <c r="N4" i="11" a="1"/>
  <c r="N4" i="11" s="1"/>
  <c r="M4" i="11" a="1"/>
  <c r="M4" i="11" s="1"/>
  <c r="L4" i="11" a="1"/>
  <c r="L4" i="11" s="1"/>
  <c r="K4" i="11" a="1"/>
  <c r="K4" i="11" s="1"/>
  <c r="J4" i="11" a="1"/>
  <c r="J4" i="11" s="1"/>
  <c r="S4" i="11" s="1"/>
  <c r="R3" i="11"/>
  <c r="Q3" i="11"/>
  <c r="P3" i="11"/>
  <c r="N3" i="11"/>
  <c r="M3" i="11"/>
  <c r="L3" i="11" a="1"/>
  <c r="L3" i="11" s="1"/>
  <c r="K3" i="11"/>
  <c r="J3" i="11" a="1"/>
  <c r="J3" i="11" s="1"/>
  <c r="S3" i="11" s="1"/>
  <c r="M19" i="10"/>
  <c r="M18" i="10"/>
  <c r="M15" i="10"/>
  <c r="T10" i="10"/>
  <c r="P10" i="10"/>
  <c r="N10" i="10"/>
  <c r="M10" i="10"/>
  <c r="L10" i="10"/>
  <c r="K10" i="10"/>
  <c r="J10" i="10" a="1"/>
  <c r="J10" i="10" s="1"/>
  <c r="S10" i="10" s="1"/>
  <c r="M13" i="10" s="1"/>
  <c r="M4" i="10" a="1"/>
  <c r="M4" i="10" s="1"/>
  <c r="L4" i="10" a="1"/>
  <c r="L4" i="10" s="1"/>
  <c r="K4" i="10" a="1"/>
  <c r="K4" i="10" s="1"/>
  <c r="J4" i="10" a="1"/>
  <c r="J4" i="10" s="1"/>
  <c r="S4" i="10" s="1"/>
  <c r="P3" i="10"/>
  <c r="M3" i="10"/>
  <c r="L3" i="10"/>
  <c r="K3" i="10"/>
  <c r="S3" i="10"/>
  <c r="M19" i="9"/>
  <c r="M18" i="9"/>
  <c r="M15" i="9"/>
  <c r="S10" i="9"/>
  <c r="Q10" i="9"/>
  <c r="P10" i="9"/>
  <c r="O10" i="9"/>
  <c r="M10" i="9"/>
  <c r="L10" i="9"/>
  <c r="K10" i="9" a="1"/>
  <c r="K10" i="9" s="1"/>
  <c r="J10" i="9"/>
  <c r="I10" i="9" a="1"/>
  <c r="I10" i="9" s="1"/>
  <c r="R10" i="9" s="1"/>
  <c r="K5" i="9" a="1"/>
  <c r="K5" i="9" s="1"/>
  <c r="Q4" i="9" a="1"/>
  <c r="Q4" i="9" s="1"/>
  <c r="O4" i="9" a="1"/>
  <c r="O4" i="9" s="1"/>
  <c r="M4" i="9" a="1"/>
  <c r="M4" i="9" s="1"/>
  <c r="L4" i="9" a="1"/>
  <c r="L4" i="9" s="1"/>
  <c r="K4" i="9" a="1"/>
  <c r="K4" i="9" s="1"/>
  <c r="J4" i="9" a="1"/>
  <c r="J4" i="9" s="1"/>
  <c r="I4" i="9" a="1"/>
  <c r="I4" i="9" s="1"/>
  <c r="R4" i="9" s="1"/>
  <c r="Q3" i="9"/>
  <c r="P3" i="9"/>
  <c r="O3" i="9"/>
  <c r="M3" i="9"/>
  <c r="L3" i="9"/>
  <c r="K3" i="9" a="1"/>
  <c r="K3" i="9" s="1"/>
  <c r="J3" i="9"/>
  <c r="I3" i="9" a="1"/>
  <c r="I3" i="9" s="1"/>
  <c r="R3" i="9" s="1"/>
  <c r="N19" i="8"/>
  <c r="N18" i="8"/>
  <c r="N15" i="8"/>
  <c r="U10" i="8"/>
  <c r="S10" i="8"/>
  <c r="R10" i="8"/>
  <c r="Q10" i="8"/>
  <c r="O10" i="8"/>
  <c r="N10" i="8"/>
  <c r="M10" i="8" a="1"/>
  <c r="M10" i="8" s="1"/>
  <c r="L10" i="8"/>
  <c r="K10" i="8" a="1"/>
  <c r="K10" i="8" s="1"/>
  <c r="T10" i="8" s="1"/>
  <c r="N13" i="8" s="1"/>
  <c r="S4" i="8" a="1"/>
  <c r="S4" i="8" s="1"/>
  <c r="Q4" i="8" a="1"/>
  <c r="Q4" i="8" s="1"/>
  <c r="O4" i="8" a="1"/>
  <c r="O4" i="8" s="1"/>
  <c r="N4" i="8" a="1"/>
  <c r="N4" i="8" s="1"/>
  <c r="L4" i="8" a="1"/>
  <c r="L4" i="8" s="1"/>
  <c r="K4" i="8" a="1"/>
  <c r="K4" i="8" s="1"/>
  <c r="T4" i="8" s="1"/>
  <c r="S3" i="8"/>
  <c r="R3" i="8"/>
  <c r="Q3" i="8"/>
  <c r="O3" i="8"/>
  <c r="N3" i="8"/>
  <c r="M3" i="8" a="1"/>
  <c r="M3" i="8" s="1"/>
  <c r="L3" i="8"/>
  <c r="K3" i="8" a="1"/>
  <c r="K3" i="8" s="1"/>
  <c r="T3" i="8" s="1"/>
  <c r="P5" i="4" a="1"/>
  <c r="P5" i="4"/>
  <c r="N19" i="7"/>
  <c r="N18" i="7"/>
  <c r="N15" i="7"/>
  <c r="U10" i="7"/>
  <c r="S10" i="7"/>
  <c r="R10" i="7"/>
  <c r="Q4" i="7" s="1" a="1"/>
  <c r="Q4" i="7" s="1"/>
  <c r="Q10" i="7"/>
  <c r="O10" i="7"/>
  <c r="O4" i="7" s="1" a="1"/>
  <c r="O4" i="7" s="1"/>
  <c r="N10" i="7"/>
  <c r="N4" i="7" s="1" a="1"/>
  <c r="N4" i="7" s="1"/>
  <c r="M10" i="7" a="1"/>
  <c r="M10" i="7" s="1"/>
  <c r="L10" i="7"/>
  <c r="K10" i="7" a="1"/>
  <c r="K10" i="7" s="1"/>
  <c r="T10" i="7" s="1"/>
  <c r="N13" i="7" s="1"/>
  <c r="S4" i="7" a="1"/>
  <c r="S4" i="7" s="1"/>
  <c r="L4" i="7" a="1"/>
  <c r="L4" i="7" s="1"/>
  <c r="K4" i="7" a="1"/>
  <c r="K4" i="7" s="1"/>
  <c r="S3" i="7"/>
  <c r="R3" i="7"/>
  <c r="Q3" i="7"/>
  <c r="O3" i="7"/>
  <c r="N3" i="7"/>
  <c r="M3" i="7" a="1"/>
  <c r="M3" i="7" s="1"/>
  <c r="L3" i="7"/>
  <c r="K3" i="7" a="1"/>
  <c r="K3" i="7" s="1"/>
  <c r="N19" i="5"/>
  <c r="N18" i="5"/>
  <c r="N15" i="5"/>
  <c r="U10" i="5"/>
  <c r="S10" i="5"/>
  <c r="R10" i="5"/>
  <c r="Q10" i="5"/>
  <c r="O10" i="5"/>
  <c r="N10" i="5"/>
  <c r="M10" i="5" a="1"/>
  <c r="M10" i="5" s="1"/>
  <c r="L10" i="5"/>
  <c r="K10" i="5" a="1"/>
  <c r="K10" i="5" s="1"/>
  <c r="T10" i="5" s="1"/>
  <c r="N13" i="5" s="1"/>
  <c r="S4" i="5" a="1"/>
  <c r="S4" i="5" s="1"/>
  <c r="O4" i="5" a="1"/>
  <c r="O4" i="5" s="1"/>
  <c r="L4" i="5" a="1"/>
  <c r="L4" i="5" s="1"/>
  <c r="K4" i="5" a="1"/>
  <c r="K4" i="5" s="1"/>
  <c r="T4" i="5" s="1"/>
  <c r="S3" i="5"/>
  <c r="R3" i="5"/>
  <c r="Q3" i="5"/>
  <c r="O3" i="5"/>
  <c r="N3" i="5"/>
  <c r="M3" i="5" a="1"/>
  <c r="M3" i="5" s="1"/>
  <c r="L3" i="5"/>
  <c r="K3" i="5" a="1"/>
  <c r="K3" i="5" s="1"/>
  <c r="T3" i="5" s="1"/>
  <c r="Q19" i="4"/>
  <c r="Q18" i="4"/>
  <c r="Q15" i="4"/>
  <c r="Q20" i="4" s="1"/>
  <c r="X10" i="4"/>
  <c r="V10" i="4"/>
  <c r="U10" i="4"/>
  <c r="T10" i="4"/>
  <c r="R10" i="4"/>
  <c r="Q10" i="4"/>
  <c r="P10" i="4" a="1"/>
  <c r="P10" i="4" s="1"/>
  <c r="O10" i="4"/>
  <c r="N10" i="4" a="1"/>
  <c r="N10" i="4" s="1"/>
  <c r="W10" i="4" s="1"/>
  <c r="Q13" i="4" s="1"/>
  <c r="V4" i="4" a="1"/>
  <c r="V4" i="4" s="1"/>
  <c r="R4" i="4" a="1"/>
  <c r="R4" i="4" s="1"/>
  <c r="P4" i="4" a="1"/>
  <c r="P4" i="4" s="1"/>
  <c r="O4" i="4" a="1"/>
  <c r="O4" i="4" s="1"/>
  <c r="N4" i="4" a="1"/>
  <c r="N4" i="4" s="1"/>
  <c r="W4" i="4" s="1"/>
  <c r="V3" i="4"/>
  <c r="U3" i="4"/>
  <c r="T3" i="4"/>
  <c r="R3" i="4"/>
  <c r="Q3" i="4"/>
  <c r="P3" i="4" a="1"/>
  <c r="P3" i="4" s="1"/>
  <c r="O3" i="4"/>
  <c r="N3" i="4" a="1"/>
  <c r="N3" i="4" s="1"/>
  <c r="W3" i="4" s="1"/>
  <c r="Q19" i="3"/>
  <c r="Q18" i="3"/>
  <c r="Q15" i="3"/>
  <c r="Q20" i="3" s="1"/>
  <c r="Q13" i="3"/>
  <c r="X10" i="3"/>
  <c r="V10" i="3"/>
  <c r="U10" i="3"/>
  <c r="T10" i="3"/>
  <c r="R10" i="3"/>
  <c r="Q10" i="3"/>
  <c r="P10" i="3" a="1"/>
  <c r="P10" i="3" s="1"/>
  <c r="O10" i="3"/>
  <c r="N10" i="3" a="1"/>
  <c r="N10" i="3" s="1"/>
  <c r="W10" i="3" s="1"/>
  <c r="P5" i="3" a="1"/>
  <c r="P5" i="3" s="1"/>
  <c r="V4" i="3" a="1"/>
  <c r="V4" i="3" s="1"/>
  <c r="R4" i="3" a="1"/>
  <c r="R4" i="3" s="1"/>
  <c r="Q4" i="3" a="1"/>
  <c r="Q4" i="3" s="1"/>
  <c r="P4" i="3" a="1"/>
  <c r="P4" i="3" s="1"/>
  <c r="O4" i="3" a="1"/>
  <c r="O4" i="3" s="1"/>
  <c r="N4" i="3" a="1"/>
  <c r="N4" i="3" s="1"/>
  <c r="W4" i="3" s="1"/>
  <c r="V3" i="3"/>
  <c r="U3" i="3"/>
  <c r="T3" i="3"/>
  <c r="R3" i="3"/>
  <c r="Q3" i="3"/>
  <c r="P3" i="3" a="1"/>
  <c r="P3" i="3" s="1"/>
  <c r="O3" i="3"/>
  <c r="N3" i="3" a="1"/>
  <c r="N3" i="3" s="1"/>
  <c r="W3" i="3" s="1"/>
  <c r="Q19" i="2"/>
  <c r="Q18" i="2"/>
  <c r="Q15" i="2"/>
  <c r="Q20" i="2" s="1"/>
  <c r="X10" i="2"/>
  <c r="V10" i="2"/>
  <c r="U10" i="2"/>
  <c r="T10" i="2"/>
  <c r="R10" i="2"/>
  <c r="Q10" i="2"/>
  <c r="P10" i="2" a="1"/>
  <c r="P10" i="2" s="1"/>
  <c r="O10" i="2"/>
  <c r="N10" i="2" a="1"/>
  <c r="N10" i="2" s="1"/>
  <c r="W10" i="2" s="1"/>
  <c r="Q13" i="2" s="1"/>
  <c r="P5" i="2" a="1"/>
  <c r="P5" i="2" s="1"/>
  <c r="V4" i="2" a="1"/>
  <c r="V4" i="2" s="1"/>
  <c r="R4" i="2" a="1"/>
  <c r="R4" i="2" s="1"/>
  <c r="Q4" i="2" a="1"/>
  <c r="Q4" i="2" s="1"/>
  <c r="P4" i="2" a="1"/>
  <c r="P4" i="2" s="1"/>
  <c r="O4" i="2" a="1"/>
  <c r="O4" i="2" s="1"/>
  <c r="N4" i="2" a="1"/>
  <c r="N4" i="2" s="1"/>
  <c r="W4" i="2" s="1"/>
  <c r="V3" i="2"/>
  <c r="U3" i="2"/>
  <c r="T3" i="2"/>
  <c r="R3" i="2"/>
  <c r="Q3" i="2"/>
  <c r="P3" i="2" a="1"/>
  <c r="P3" i="2" s="1"/>
  <c r="O3" i="2"/>
  <c r="N3" i="2" a="1"/>
  <c r="N3" i="2" s="1"/>
  <c r="W3" i="2" s="1"/>
  <c r="Q19" i="1"/>
  <c r="Q18" i="1"/>
  <c r="Q15" i="1"/>
  <c r="Q20" i="1" s="1"/>
  <c r="X10" i="1"/>
  <c r="V10" i="1"/>
  <c r="U10" i="1"/>
  <c r="T10" i="1"/>
  <c r="R10" i="1"/>
  <c r="Q10" i="1"/>
  <c r="P10" i="1" a="1"/>
  <c r="P10" i="1" s="1"/>
  <c r="O10" i="1"/>
  <c r="N10" i="1" a="1"/>
  <c r="N10" i="1" s="1"/>
  <c r="W10" i="1" s="1"/>
  <c r="Q13" i="1" s="1"/>
  <c r="P5" i="1" a="1"/>
  <c r="P5" i="1" s="1"/>
  <c r="V4" i="1" a="1"/>
  <c r="V4" i="1" s="1"/>
  <c r="T4" i="1" a="1"/>
  <c r="T4" i="1" s="1"/>
  <c r="R4" i="1" a="1"/>
  <c r="R4" i="1" s="1"/>
  <c r="Q4" i="1" a="1"/>
  <c r="Q4" i="1" s="1"/>
  <c r="P4" i="1" a="1"/>
  <c r="P4" i="1" s="1"/>
  <c r="O4" i="1" a="1"/>
  <c r="O4" i="1" s="1"/>
  <c r="N4" i="1" a="1"/>
  <c r="N4" i="1" s="1"/>
  <c r="V3" i="1"/>
  <c r="U3" i="1"/>
  <c r="T3" i="1"/>
  <c r="R3" i="1"/>
  <c r="Q3" i="1"/>
  <c r="P3" i="1" a="1"/>
  <c r="P3" i="1" s="1"/>
  <c r="O3" i="1"/>
  <c r="N3" i="1" a="1"/>
  <c r="N3" i="1" s="1"/>
  <c r="W3" i="1" s="1"/>
  <c r="V3" i="13" l="1"/>
  <c r="U3" i="13"/>
  <c r="T3" i="13"/>
  <c r="R3" i="13"/>
  <c r="Q3" i="13"/>
  <c r="P3" i="13" a="1"/>
  <c r="P3" i="13" s="1"/>
  <c r="O3" i="13"/>
  <c r="Q13" i="13"/>
  <c r="W3" i="13"/>
  <c r="T22" i="13"/>
  <c r="U22" i="13" s="1"/>
  <c r="V22" i="13" s="1"/>
  <c r="T17" i="13"/>
  <c r="T19" i="13" s="1"/>
  <c r="W4" i="13"/>
  <c r="P6" i="13"/>
  <c r="Q21" i="13"/>
  <c r="Q20" i="13"/>
  <c r="Q16" i="13"/>
  <c r="T22" i="12"/>
  <c r="U22" i="12" s="1"/>
  <c r="V22" i="12" s="1"/>
  <c r="T17" i="12"/>
  <c r="T18" i="12" s="1"/>
  <c r="T19" i="12" s="1"/>
  <c r="W4" i="12"/>
  <c r="P6" i="12"/>
  <c r="Q21" i="12"/>
  <c r="Q20" i="12"/>
  <c r="Q16" i="12"/>
  <c r="T22" i="1"/>
  <c r="U22" i="1" s="1"/>
  <c r="V22" i="1" s="1"/>
  <c r="T17" i="1"/>
  <c r="W4" i="1"/>
  <c r="T18" i="1"/>
  <c r="T19" i="1" s="1"/>
  <c r="L6" i="11"/>
  <c r="S13" i="11"/>
  <c r="N13" i="11"/>
  <c r="N21" i="11"/>
  <c r="N16" i="11"/>
  <c r="L6" i="10"/>
  <c r="M21" i="10"/>
  <c r="M16" i="10"/>
  <c r="K6" i="9"/>
  <c r="M13" i="9"/>
  <c r="M21" i="9"/>
  <c r="M16" i="9"/>
  <c r="N21" i="8"/>
  <c r="N16" i="8"/>
  <c r="M5" i="7" a="1"/>
  <c r="M5" i="7" s="1"/>
  <c r="M4" i="7" a="1"/>
  <c r="M4" i="7" s="1"/>
  <c r="T3" i="7"/>
  <c r="T4" i="7"/>
  <c r="M6" i="7"/>
  <c r="N21" i="7"/>
  <c r="N16" i="7"/>
  <c r="N21" i="5"/>
  <c r="N16" i="5"/>
  <c r="P6" i="4"/>
  <c r="Q21" i="4"/>
  <c r="Q16" i="4"/>
  <c r="Q21" i="3"/>
  <c r="Q16" i="3"/>
  <c r="P6" i="3"/>
  <c r="P6" i="2"/>
  <c r="Q21" i="2"/>
  <c r="Q16" i="2"/>
  <c r="P6" i="1"/>
  <c r="Q21" i="1"/>
  <c r="Q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<sst xmlns="http://schemas.openxmlformats.org/spreadsheetml/2006/main" count="11069" uniqueCount="406">
  <si>
    <t>FirstName</t>
  </si>
  <si>
    <t>LastName</t>
  </si>
  <si>
    <t>Zip</t>
  </si>
  <si>
    <t>Miles To Work (one way)</t>
  </si>
  <si>
    <t>Employee ID</t>
  </si>
  <si>
    <t>Employee Type</t>
  </si>
  <si>
    <t>MonMode</t>
  </si>
  <si>
    <t>TueMode</t>
  </si>
  <si>
    <t>WedMode</t>
  </si>
  <si>
    <t>ThuMode</t>
  </si>
  <si>
    <t>FriMode</t>
  </si>
  <si>
    <t xml:space="preserve">SIMAP Final Inputs </t>
  </si>
  <si>
    <t>92203</t>
  </si>
  <si>
    <t>120900</t>
  </si>
  <si>
    <t>Faculty</t>
  </si>
  <si>
    <t xml:space="preserve">H </t>
  </si>
  <si>
    <t>Automobile</t>
  </si>
  <si>
    <t>Bike</t>
  </si>
  <si>
    <t>Carpool</t>
  </si>
  <si>
    <t>Commuter Rail</t>
  </si>
  <si>
    <t>Electric Vehicle</t>
  </si>
  <si>
    <t>Light Rail</t>
  </si>
  <si>
    <t>Public Bus</t>
  </si>
  <si>
    <t>Telecommuting</t>
  </si>
  <si>
    <t>Walk</t>
  </si>
  <si>
    <t>TOTAL</t>
  </si>
  <si>
    <t>92321</t>
  </si>
  <si>
    <t>111334</t>
  </si>
  <si>
    <t>CC</t>
  </si>
  <si>
    <t>% of trips</t>
  </si>
  <si>
    <t>91406</t>
  </si>
  <si>
    <t>103694</t>
  </si>
  <si>
    <t xml:space="preserve">A </t>
  </si>
  <si>
    <t>Vehicle miles per trip</t>
  </si>
  <si>
    <t>n/a</t>
  </si>
  <si>
    <t>91356</t>
  </si>
  <si>
    <t>100470</t>
  </si>
  <si>
    <t xml:space="preserve">F </t>
  </si>
  <si>
    <t>Passenger miles per trip</t>
  </si>
  <si>
    <t>90504</t>
  </si>
  <si>
    <t>126428</t>
  </si>
  <si>
    <t>Average passengers per vehicle</t>
  </si>
  <si>
    <t>90046</t>
  </si>
  <si>
    <t>109385</t>
  </si>
  <si>
    <t xml:space="preserve">Faculty </t>
  </si>
  <si>
    <t>91601</t>
  </si>
  <si>
    <t>106459</t>
  </si>
  <si>
    <t>Extra Info</t>
  </si>
  <si>
    <t>90065</t>
  </si>
  <si>
    <t>100558</t>
  </si>
  <si>
    <t>Alternative Total</t>
  </si>
  <si>
    <t>92780</t>
  </si>
  <si>
    <t>126757</t>
  </si>
  <si>
    <t># of trips per week (in survey)</t>
  </si>
  <si>
    <t>104215</t>
  </si>
  <si>
    <t>92508</t>
  </si>
  <si>
    <t>126551</t>
  </si>
  <si>
    <t>Survey Responce Key (since FY23)</t>
  </si>
  <si>
    <t>More Extra Info</t>
  </si>
  <si>
    <t>92374</t>
  </si>
  <si>
    <t>100421</t>
  </si>
  <si>
    <t xml:space="preserve">C </t>
  </si>
  <si>
    <t>A. Zero Emission Vehicle</t>
  </si>
  <si>
    <t>One way trips/week</t>
  </si>
  <si>
    <t>90012</t>
  </si>
  <si>
    <t>123312</t>
  </si>
  <si>
    <t>B. Bus</t>
  </si>
  <si>
    <t>Total faculty count</t>
  </si>
  <si>
    <t>91011</t>
  </si>
  <si>
    <t>117482</t>
  </si>
  <si>
    <t xml:space="preserve">X </t>
  </si>
  <si>
    <t>C. Rail / Plane</t>
  </si>
  <si>
    <t>Faculty responding</t>
  </si>
  <si>
    <t>91030</t>
  </si>
  <si>
    <t>100454</t>
  </si>
  <si>
    <t>D. Walk</t>
  </si>
  <si>
    <t>Faculty response rate</t>
  </si>
  <si>
    <t>Faculty FY26</t>
  </si>
  <si>
    <t>010200040-1</t>
  </si>
  <si>
    <t>E. Bicycle</t>
  </si>
  <si>
    <t>Faculty weeks/year</t>
  </si>
  <si>
    <t>Miles traveled per week</t>
  </si>
  <si>
    <t>91106</t>
  </si>
  <si>
    <t>100339</t>
  </si>
  <si>
    <t>F. Telecommute</t>
  </si>
  <si>
    <t>Faculty mean distance</t>
  </si>
  <si>
    <t>Miles traveled per year</t>
  </si>
  <si>
    <t>91101</t>
  </si>
  <si>
    <t>100856</t>
  </si>
  <si>
    <t>G. Noncommuting</t>
  </si>
  <si>
    <t>Faculty median distance</t>
  </si>
  <si>
    <t>Carbon intensity of each mile</t>
  </si>
  <si>
    <t>100255</t>
  </si>
  <si>
    <t>H. Drive Alone</t>
  </si>
  <si>
    <t>Faculty total miles/day</t>
  </si>
  <si>
    <t>92832</t>
  </si>
  <si>
    <t>120500</t>
  </si>
  <si>
    <t>I. Motorcycle</t>
  </si>
  <si>
    <t>% faculty &lt;=5 miles</t>
  </si>
  <si>
    <t>Per week (survey)</t>
  </si>
  <si>
    <t>Per week (population)</t>
  </si>
  <si>
    <t>per year (pop)</t>
  </si>
  <si>
    <t>91104</t>
  </si>
  <si>
    <t>100556</t>
  </si>
  <si>
    <t xml:space="preserve">K </t>
  </si>
  <si>
    <t xml:space="preserve">J </t>
  </si>
  <si>
    <t>J. 2 persons in vehicle</t>
  </si>
  <si>
    <t>SOV Miles</t>
  </si>
  <si>
    <t>91701</t>
  </si>
  <si>
    <t>100174</t>
  </si>
  <si>
    <t>K. 3 persons in vehicle</t>
  </si>
  <si>
    <t>91024</t>
  </si>
  <si>
    <t>100048</t>
  </si>
  <si>
    <t>L. 4 persons in vehicle</t>
  </si>
  <si>
    <t>91711</t>
  </si>
  <si>
    <t>100156</t>
  </si>
  <si>
    <t>BB</t>
  </si>
  <si>
    <t>M. 5 persons in vehicle</t>
  </si>
  <si>
    <t>91741</t>
  </si>
  <si>
    <t>126580</t>
  </si>
  <si>
    <t>N. 6 persons in vehicle</t>
  </si>
  <si>
    <t>91737</t>
  </si>
  <si>
    <t>120687</t>
  </si>
  <si>
    <t>O. 7 persons in vehicle</t>
  </si>
  <si>
    <t>91784</t>
  </si>
  <si>
    <t>100555</t>
  </si>
  <si>
    <t>P. 8 persons in vehicle</t>
  </si>
  <si>
    <t>91773</t>
  </si>
  <si>
    <t>128168</t>
  </si>
  <si>
    <t>Q. 9 persons in vehicle</t>
  </si>
  <si>
    <t>91750</t>
  </si>
  <si>
    <t>103811</t>
  </si>
  <si>
    <t>R. 10 persons in vehicle</t>
  </si>
  <si>
    <t>100420</t>
  </si>
  <si>
    <t>S. 11 persons in vehicle</t>
  </si>
  <si>
    <t>117410</t>
  </si>
  <si>
    <t>T. 12 persons in vehicle</t>
  </si>
  <si>
    <t>112166</t>
  </si>
  <si>
    <t>U. 13 persons in vehicle</t>
  </si>
  <si>
    <t>100200</t>
  </si>
  <si>
    <t>V. 14 persons in vehicle</t>
  </si>
  <si>
    <t>91767</t>
  </si>
  <si>
    <t>100362</t>
  </si>
  <si>
    <t>W. 15 persons in vehicle</t>
  </si>
  <si>
    <t>100414</t>
  </si>
  <si>
    <t xml:space="preserve">G </t>
  </si>
  <si>
    <t>X. 3/36 Work Week Days Off</t>
  </si>
  <si>
    <t>91786</t>
  </si>
  <si>
    <t>10043561</t>
  </si>
  <si>
    <t>Y. 4/40 Work Week Day Off</t>
  </si>
  <si>
    <t>123809</t>
  </si>
  <si>
    <t>Z. 9/80 Work Week Day Off</t>
  </si>
  <si>
    <t>100088</t>
  </si>
  <si>
    <t>AA. Vacation</t>
  </si>
  <si>
    <t>104492</t>
  </si>
  <si>
    <t>BB. Sick</t>
  </si>
  <si>
    <t>010002382-1</t>
  </si>
  <si>
    <t>CC. Other</t>
  </si>
  <si>
    <t>100408</t>
  </si>
  <si>
    <t>OFF. Not scheduled to work</t>
  </si>
  <si>
    <t>010042136-1</t>
  </si>
  <si>
    <t>105074</t>
  </si>
  <si>
    <t>100479</t>
  </si>
  <si>
    <t xml:space="preserve">E </t>
  </si>
  <si>
    <t>100055</t>
  </si>
  <si>
    <t>100516</t>
  </si>
  <si>
    <t xml:space="preserve">D </t>
  </si>
  <si>
    <t>10018386</t>
  </si>
  <si>
    <t>100480</t>
  </si>
  <si>
    <t>100625</t>
  </si>
  <si>
    <t>100495</t>
  </si>
  <si>
    <t>126388</t>
  </si>
  <si>
    <t>128192</t>
  </si>
  <si>
    <t>100349</t>
  </si>
  <si>
    <t>100320</t>
  </si>
  <si>
    <t>104493</t>
  </si>
  <si>
    <t>100253</t>
  </si>
  <si>
    <t>100131</t>
  </si>
  <si>
    <t>100379</t>
  </si>
  <si>
    <t>100148</t>
  </si>
  <si>
    <t>106372</t>
  </si>
  <si>
    <t>100405</t>
  </si>
  <si>
    <t>010310257-3</t>
  </si>
  <si>
    <t>111331</t>
  </si>
  <si>
    <t>126554</t>
  </si>
  <si>
    <t>128206</t>
  </si>
  <si>
    <t>100518</t>
  </si>
  <si>
    <t>100440</t>
  </si>
  <si>
    <t>100490</t>
  </si>
  <si>
    <t>112098</t>
  </si>
  <si>
    <t>109386</t>
  </si>
  <si>
    <t>100351</t>
  </si>
  <si>
    <t>123497</t>
  </si>
  <si>
    <t>100800</t>
  </si>
  <si>
    <t>AA</t>
  </si>
  <si>
    <t>100131171</t>
  </si>
  <si>
    <t>100638</t>
  </si>
  <si>
    <t>100071</t>
  </si>
  <si>
    <t>104392</t>
  </si>
  <si>
    <t>100072</t>
  </si>
  <si>
    <t>100073</t>
  </si>
  <si>
    <t>100483</t>
  </si>
  <si>
    <t>100370</t>
  </si>
  <si>
    <t>100450</t>
  </si>
  <si>
    <t>103814</t>
  </si>
  <si>
    <t>117381</t>
  </si>
  <si>
    <t>100157</t>
  </si>
  <si>
    <t>010271196</t>
  </si>
  <si>
    <t>126581</t>
  </si>
  <si>
    <t>100380</t>
  </si>
  <si>
    <t>128966</t>
  </si>
  <si>
    <t>120426</t>
  </si>
  <si>
    <t>100100</t>
  </si>
  <si>
    <t>10024385</t>
  </si>
  <si>
    <t>100159</t>
  </si>
  <si>
    <t>100436</t>
  </si>
  <si>
    <t>106338</t>
  </si>
  <si>
    <t>100448</t>
  </si>
  <si>
    <t>100116</t>
  </si>
  <si>
    <t>100121</t>
  </si>
  <si>
    <t>100123</t>
  </si>
  <si>
    <t>109408</t>
  </si>
  <si>
    <t>100125</t>
  </si>
  <si>
    <t>126603</t>
  </si>
  <si>
    <t>100703</t>
  </si>
  <si>
    <t>117508</t>
  </si>
  <si>
    <t>123396</t>
  </si>
  <si>
    <t>100140</t>
  </si>
  <si>
    <t>100331</t>
  </si>
  <si>
    <t>126611</t>
  </si>
  <si>
    <t>800024</t>
  </si>
  <si>
    <t>105044</t>
  </si>
  <si>
    <t>100486</t>
  </si>
  <si>
    <t>100891</t>
  </si>
  <si>
    <t>010361283-1</t>
  </si>
  <si>
    <t>010042877</t>
  </si>
  <si>
    <t>101096240-2</t>
  </si>
  <si>
    <t>0100910191</t>
  </si>
  <si>
    <t>0103566031</t>
  </si>
  <si>
    <t>010351684</t>
  </si>
  <si>
    <t>0101589521</t>
  </si>
  <si>
    <t>0103559641</t>
  </si>
  <si>
    <t>010372662</t>
  </si>
  <si>
    <t>J. 2 Persons in vehicle</t>
  </si>
  <si>
    <t>0100891271</t>
  </si>
  <si>
    <t>010213597</t>
  </si>
  <si>
    <t>K. 3 Persons in vehicle</t>
  </si>
  <si>
    <t>0100081153</t>
  </si>
  <si>
    <t>010370668</t>
  </si>
  <si>
    <t>Faculty FY25</t>
  </si>
  <si>
    <t>010358353-1</t>
  </si>
  <si>
    <t>010370655-6</t>
  </si>
  <si>
    <t>0103613241</t>
  </si>
  <si>
    <t>010366710</t>
  </si>
  <si>
    <t>010238445</t>
  </si>
  <si>
    <t>0100859224</t>
  </si>
  <si>
    <t>010337578</t>
  </si>
  <si>
    <t>010348299</t>
  </si>
  <si>
    <t>0100980532</t>
  </si>
  <si>
    <t>0100205141</t>
  </si>
  <si>
    <t>0100197373</t>
  </si>
  <si>
    <t>010353349</t>
  </si>
  <si>
    <t>0101799741</t>
  </si>
  <si>
    <t>010032463</t>
  </si>
  <si>
    <t>0101575751</t>
  </si>
  <si>
    <t>010364482</t>
  </si>
  <si>
    <t>010180184</t>
  </si>
  <si>
    <t>0100421361</t>
  </si>
  <si>
    <t>0101345531</t>
  </si>
  <si>
    <t>010042125</t>
  </si>
  <si>
    <t>0102544251</t>
  </si>
  <si>
    <t>0101864131</t>
  </si>
  <si>
    <t>010040539</t>
  </si>
  <si>
    <t>010018386</t>
  </si>
  <si>
    <t>010042434</t>
  </si>
  <si>
    <t>0100058701</t>
  </si>
  <si>
    <t>010022550-2</t>
  </si>
  <si>
    <t>010030143</t>
  </si>
  <si>
    <t>010042972-1</t>
  </si>
  <si>
    <t>0102814231</t>
  </si>
  <si>
    <t>010196894</t>
  </si>
  <si>
    <t>010372637</t>
  </si>
  <si>
    <t>0103544851</t>
  </si>
  <si>
    <t>0101966613</t>
  </si>
  <si>
    <t>0101084471</t>
  </si>
  <si>
    <t>0100421751</t>
  </si>
  <si>
    <t>0101541347</t>
  </si>
  <si>
    <t>0101834102</t>
  </si>
  <si>
    <t>010042428</t>
  </si>
  <si>
    <t>00000000000</t>
  </si>
  <si>
    <t>010282330</t>
  </si>
  <si>
    <t>0100000761</t>
  </si>
  <si>
    <t>0103703351</t>
  </si>
  <si>
    <t>0100243851</t>
  </si>
  <si>
    <t>010029852</t>
  </si>
  <si>
    <t>010366463</t>
  </si>
  <si>
    <t>0100872241</t>
  </si>
  <si>
    <t>0102711961</t>
  </si>
  <si>
    <t>010257490</t>
  </si>
  <si>
    <t>0103666441</t>
  </si>
  <si>
    <t>010128165-2</t>
  </si>
  <si>
    <t>0100923561</t>
  </si>
  <si>
    <t>010014411</t>
  </si>
  <si>
    <t>010156943</t>
  </si>
  <si>
    <t>010144775</t>
  </si>
  <si>
    <t>010370232</t>
  </si>
  <si>
    <t>010323940</t>
  </si>
  <si>
    <t>0103713662</t>
  </si>
  <si>
    <t>0103713671</t>
  </si>
  <si>
    <t>010041967</t>
  </si>
  <si>
    <t>0103700251</t>
  </si>
  <si>
    <t>0100354711</t>
  </si>
  <si>
    <t>0103701181</t>
  </si>
  <si>
    <t>0103702151</t>
  </si>
  <si>
    <t>0100229942</t>
  </si>
  <si>
    <t>0101751431</t>
  </si>
  <si>
    <t>Department</t>
  </si>
  <si>
    <t># of trips</t>
  </si>
  <si>
    <t>O10020514</t>
  </si>
  <si>
    <t>L. 4 Persons in vehicle</t>
  </si>
  <si>
    <t>EmpEmail</t>
  </si>
  <si>
    <t>MilesToWork</t>
  </si>
  <si>
    <t>A. Drive Alone</t>
  </si>
  <si>
    <t>V. Telecommute</t>
  </si>
  <si>
    <t>U. Zero Emission Vehicle (No Hybrids)</t>
  </si>
  <si>
    <t>E. 4 Persons in vehicle</t>
  </si>
  <si>
    <t>W. Noncommuting</t>
  </si>
  <si>
    <t>Survey Responce Key From FY14-FY22</t>
  </si>
  <si>
    <t>C. 2 Persons in vehicle</t>
  </si>
  <si>
    <t>B. Motorcycle</t>
  </si>
  <si>
    <t>?</t>
  </si>
  <si>
    <t>D. 3 Persons in vehicle</t>
  </si>
  <si>
    <t>F. 5 Persons in vehicle</t>
  </si>
  <si>
    <t>B6722318</t>
  </si>
  <si>
    <t>G. 6 Persons in vehicle</t>
  </si>
  <si>
    <t>H. 7 Persons in vehicle</t>
  </si>
  <si>
    <t>R. Rail / Plane</t>
  </si>
  <si>
    <t>I. 8 Persons in vehicle</t>
  </si>
  <si>
    <t>J. 9 Persons in vehicle</t>
  </si>
  <si>
    <t>K. 10 Persons in vehicle</t>
  </si>
  <si>
    <t>L. 11 Persons in vehicle</t>
  </si>
  <si>
    <t>M. 12 Persons in vehicle</t>
  </si>
  <si>
    <t>N. 13 Persons in vehicle</t>
  </si>
  <si>
    <t>O. 14 Persons in vehicle</t>
  </si>
  <si>
    <t>P. 15 Persons in vehicle</t>
  </si>
  <si>
    <t>Q. Bus</t>
  </si>
  <si>
    <t>S. Walk</t>
  </si>
  <si>
    <t>T. Bicycle</t>
  </si>
  <si>
    <t>X. 3/36 Work week</t>
  </si>
  <si>
    <t>Survey Responce Key (FY18-FY22)</t>
  </si>
  <si>
    <t>91030-4215</t>
  </si>
  <si>
    <t>91030-3139</t>
  </si>
  <si>
    <t>91750-1343</t>
  </si>
  <si>
    <t>91784-7401</t>
  </si>
  <si>
    <t>91711-1603</t>
  </si>
  <si>
    <t>91711-3333</t>
  </si>
  <si>
    <t>91711-5331</t>
  </si>
  <si>
    <t>91711-3847</t>
  </si>
  <si>
    <t>91711-3516</t>
  </si>
  <si>
    <t>91711-4251</t>
  </si>
  <si>
    <t>91711-4316</t>
  </si>
  <si>
    <t>91711-6209</t>
  </si>
  <si>
    <t>BYE YEAR, NO NEW SURVEY DATA (USE FY18 DATA)</t>
  </si>
  <si>
    <t>91042-1111</t>
  </si>
  <si>
    <t>90064-4321</t>
  </si>
  <si>
    <t>91214-1315</t>
  </si>
  <si>
    <t>90065-3944</t>
  </si>
  <si>
    <t>91030-4315</t>
  </si>
  <si>
    <t>90063-9006</t>
  </si>
  <si>
    <t>91105-2926</t>
  </si>
  <si>
    <t>91001-9100</t>
  </si>
  <si>
    <t>91579-0000</t>
  </si>
  <si>
    <t>91750-2646</t>
  </si>
  <si>
    <t>91711-2529</t>
  </si>
  <si>
    <t>91711-3424</t>
  </si>
  <si>
    <t>91711-9171</t>
  </si>
  <si>
    <t>91711-3517</t>
  </si>
  <si>
    <t>91711-4250</t>
  </si>
  <si>
    <t>91711-3824</t>
  </si>
  <si>
    <t>91711-CA</t>
  </si>
  <si>
    <t>91711-4742</t>
  </si>
  <si>
    <t>91711-3324</t>
  </si>
  <si>
    <t>91711-3411</t>
  </si>
  <si>
    <t>91711-4142</t>
  </si>
  <si>
    <t>91711-1920</t>
  </si>
  <si>
    <t>91711-3140</t>
  </si>
  <si>
    <t>91786-9178</t>
  </si>
  <si>
    <t>91767-9176</t>
  </si>
  <si>
    <t>92808-2200</t>
  </si>
  <si>
    <t>92835-1441</t>
  </si>
  <si>
    <t>90065-9006</t>
  </si>
  <si>
    <t>91024-1308</t>
  </si>
  <si>
    <t>Y. 4/40 Work Week</t>
  </si>
  <si>
    <t>91801-2571</t>
  </si>
  <si>
    <t>92865-9286</t>
  </si>
  <si>
    <t>92373-9237</t>
  </si>
  <si>
    <t>MilesToWork (one way)</t>
  </si>
  <si>
    <t>A. Drive</t>
  </si>
  <si>
    <t>Survey Responce Key (FY14, FY16, FY18-FY22)</t>
  </si>
  <si>
    <t>A. Drove Alone</t>
  </si>
  <si>
    <t>OFF. Did not come to campus</t>
  </si>
  <si>
    <t>R. Train/ Plane</t>
  </si>
  <si>
    <t>FY15 Survey Response Key</t>
  </si>
  <si>
    <t>C. Carpool (2+ in vehicle)</t>
  </si>
  <si>
    <t>S. Walked, bicycled, skate boarded</t>
  </si>
  <si>
    <t>Y. 4/40 Work Week Days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</si>
</sst>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</font>
    <font>
      <b/>
      <sz val="11"/>
      <color theme="0"/>
      <name val="Aptos Narrow"/>
      <family val="2"/>
      <scheme val="minor"/>
    </font>
    <font>
      <sz val="10"/>
      <name val="Verdana"/>
      <family val="2"/>
    </font>
    <font>
      <sz val="10"/>
      <name val="Arial"/>
      <family val="2"/>
    </font>
    <font>
      <sz val="11"/>
      <color theme="1"/>
      <name val="Verdana"/>
      <family val="2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quotePrefix="1"/>
    <xf numFmtId="0" fontId="0" fillId="3" borderId="2" xfId="0" applyFill="1" applyBorder="1"/>
    <xf numFmtId="0" fontId="0" fillId="3" borderId="3" xfId="0" applyFill="1" applyBorder="1"/>
    <xf numFmtId="0" fontId="3" fillId="3" borderId="2" xfId="0" applyFont="1" applyFill="1" applyBorder="1"/>
    <xf numFmtId="0" fontId="0" fillId="4" borderId="4" xfId="0" applyFill="1" applyBorder="1"/>
    <xf numFmtId="10" fontId="0" fillId="4" borderId="4" xfId="0" applyNumberFormat="1" applyFill="1" applyBorder="1"/>
    <xf numFmtId="10" fontId="0" fillId="4" borderId="1" xfId="0" applyNumberFormat="1" applyFill="1" applyBorder="1"/>
    <xf numFmtId="10" fontId="0" fillId="4" borderId="5" xfId="0" applyNumberFormat="1" applyFill="1" applyBorder="1"/>
    <xf numFmtId="0" fontId="4" fillId="3" borderId="6" xfId="0" applyFont="1" applyFill="1" applyBorder="1" applyAlignment="1">
      <alignment wrapText="1"/>
    </xf>
    <xf numFmtId="0" fontId="0" fillId="3" borderId="4" xfId="0" applyFill="1" applyBorder="1"/>
    <xf numFmtId="0" fontId="4" fillId="3" borderId="7" xfId="0" applyFont="1" applyFill="1" applyBorder="1"/>
    <xf numFmtId="0" fontId="4" fillId="3" borderId="4" xfId="0" applyFont="1" applyFill="1" applyBorder="1"/>
    <xf numFmtId="0" fontId="4" fillId="4" borderId="4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4" fillId="0" borderId="0" xfId="0" applyFont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5" fillId="0" borderId="2" xfId="0" applyFont="1" applyBorder="1"/>
    <xf numFmtId="0" fontId="0" fillId="0" borderId="3" xfId="0" applyBorder="1"/>
    <xf numFmtId="0" fontId="6" fillId="0" borderId="1" xfId="0" applyFont="1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0" xfId="0" applyFont="1" applyBorder="1"/>
    <xf numFmtId="10" fontId="0" fillId="0" borderId="1" xfId="0" applyNumberFormat="1" applyBorder="1"/>
    <xf numFmtId="0" fontId="0" fillId="0" borderId="11" xfId="0" applyBorder="1"/>
    <xf numFmtId="0" fontId="7" fillId="0" borderId="12" xfId="0" applyFont="1" applyBorder="1"/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1" xfId="0" applyFill="1" applyBorder="1"/>
    <xf numFmtId="0" fontId="5" fillId="0" borderId="1" xfId="0" applyFont="1" applyBorder="1"/>
    <xf numFmtId="0" fontId="0" fillId="0" borderId="5" xfId="0" applyBorder="1"/>
    <xf numFmtId="0" fontId="8" fillId="0" borderId="10" xfId="0" applyFont="1" applyBorder="1"/>
    <xf numFmtId="0" fontId="8" fillId="0" borderId="12" xfId="0" applyFont="1" applyBorder="1"/>
    <xf numFmtId="0" fontId="0" fillId="5" borderId="0" xfId="0" applyFill="1"/>
    <xf numFmtId="0" fontId="9" fillId="6" borderId="13" xfId="0" applyFont="1" applyFill="1" applyBorder="1"/>
    <xf numFmtId="0" fontId="9" fillId="6" borderId="14" xfId="0" applyFont="1" applyFill="1" applyBorder="1"/>
    <xf numFmtId="0" fontId="9" fillId="6" borderId="15" xfId="0" applyFont="1" applyFill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/>
    <xf numFmtId="0" fontId="12" fillId="0" borderId="0" xfId="0" applyFont="1"/>
    <xf numFmtId="0" fontId="13" fillId="0" borderId="1" xfId="0" applyFont="1" applyBorder="1"/>
    <xf numFmtId="0" fontId="14" fillId="0" borderId="0" xfId="0" applyFont="1"/>
    <xf numFmtId="0" fontId="15" fillId="0" borderId="0" xfId="0" applyFont="1"/>
    <xf numFmtId="0" fontId="0" fillId="4" borderId="5" xfId="0" applyFill="1" applyBorder="1"/>
    <xf numFmtId="0" fontId="0" fillId="3" borderId="5" xfId="0" applyFill="1" applyBorder="1"/>
    <xf numFmtId="0" fontId="0" fillId="4" borderId="9" xfId="0" applyFill="1" applyBorder="1"/>
    <xf numFmtId="0" fontId="0" fillId="3" borderId="9" xfId="0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16" fillId="0" borderId="16" xfId="0" applyFont="1" applyBorder="1" applyAlignment="1">
      <alignment vertical="top" wrapText="1" readingOrder="1"/>
    </xf>
    <xf numFmtId="0" fontId="11" fillId="0" borderId="17" xfId="0" applyFont="1" applyBorder="1"/>
    <xf numFmtId="0" fontId="16" fillId="0" borderId="18" xfId="0" applyFont="1" applyBorder="1" applyAlignment="1">
      <alignment vertical="top" wrapText="1" readingOrder="1"/>
    </xf>
    <xf numFmtId="0" fontId="1" fillId="0" borderId="0" xfId="0" applyFont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00FFFF"/>
          <bgColor rgb="FF00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00FFFF"/>
          <bgColor rgb="FF00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00FFFF"/>
          <bgColor rgb="FF00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00FFFF"/>
          <bgColor rgb="FF00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00FFFF"/>
          <bgColor rgb="FF00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00FFFF"/>
          <bgColor rgb="FF00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00FFFF"/>
          <bgColor rgb="FF00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00FFFF"/>
          <bgColor rgb="FF00FFFF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00FFFF"/>
          <bgColor rgb="FF00FFFF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FD6AB8E-55B3-41D6-9669-DA9DE2F3E035}" name="Table11213" displayName="Table11213" ref="A1:K113" totalsRowShown="0" dataDxfId="52">
  <autoFilter ref="A1:K113" xr:uid="{D76A8FFA-889B-4E8F-8254-51EB3BBD5DB0}"/>
  <sortState xmlns:xlrd2="http://schemas.microsoft.com/office/spreadsheetml/2017/richdata2" ref="A2:K113">
    <sortCondition descending="1" ref="D1:D113"/>
  </sortState>
  <tableColumns count="11">
    <tableColumn id="1" xr3:uid="{AE844DD3-5E33-482C-931D-ECBE299E09B7}" name="FirstName" dataDxfId="51"/>
    <tableColumn id="2" xr3:uid="{E704AB42-9B49-4FF7-9E8D-4ACB5D19477A}" name="LastName" dataDxfId="50"/>
    <tableColumn id="3" xr3:uid="{125A90AF-E3BE-44E4-9EB0-10F8B0F5C1E1}" name="Zip" dataDxfId="49"/>
    <tableColumn id="4" xr3:uid="{B6990410-F325-4EFA-9E61-A5A15BE70959}" name="Miles To Work (one way)" dataDxfId="48"/>
    <tableColumn id="5" xr3:uid="{FA657544-5358-44DF-B4EE-5EFE43D05CC3}" name="Employee ID" dataDxfId="47"/>
    <tableColumn id="6" xr3:uid="{B3E48398-FA7B-41A6-8FFA-0108A9C30EE1}" name="Employee Type" dataDxfId="46"/>
    <tableColumn id="7" xr3:uid="{9102A51A-5B68-4B8B-8D5A-9B3D48B276AB}" name="MonMode" dataDxfId="45"/>
    <tableColumn id="9" xr3:uid="{48D09BFE-ACFA-4C8D-88B5-CD8DC819DF09}" name="TueMode" dataDxfId="44"/>
    <tableColumn id="11" xr3:uid="{85C8924B-D6D4-4CB6-BD11-61B1B29C28C7}" name="WedMode" dataDxfId="43"/>
    <tableColumn id="13" xr3:uid="{4DA0EEFB-4E66-4207-ADFA-04619F6320B5}" name="ThuMode" dataDxfId="42"/>
    <tableColumn id="15" xr3:uid="{8AEB1A66-A99C-450C-A6F8-F5DBEB1A7DA7}" name="FriMode" dataDxfId="4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76A8FFA-889B-4E8F-8254-51EB3BBD5DB0}" name="Table112" displayName="Table112" ref="A1:K87" totalsRowShown="0">
  <autoFilter ref="A1:K87" xr:uid="{D76A8FFA-889B-4E8F-8254-51EB3BBD5DB0}"/>
  <sortState xmlns:xlrd2="http://schemas.microsoft.com/office/spreadsheetml/2017/richdata2" ref="A2:K87">
    <sortCondition descending="1" ref="D1:D87"/>
  </sortState>
  <tableColumns count="11">
    <tableColumn id="1" xr3:uid="{4D991870-CAF4-48B7-8CB4-A7785F15D868}" name="FirstName"/>
    <tableColumn id="2" xr3:uid="{3386693F-6556-49DF-ACCA-CDC2D35DE3EB}" name="LastName"/>
    <tableColumn id="3" xr3:uid="{B337FA01-4655-4BA6-A042-13665E0DF9BD}" name="Zip"/>
    <tableColumn id="4" xr3:uid="{0A74ADD7-B2C4-441B-8EE4-968909D9E48C}" name="Miles To Work (one way)"/>
    <tableColumn id="5" xr3:uid="{6E438257-EF35-40D5-9BF0-4E3A32839E81}" name="Employee ID"/>
    <tableColumn id="6" xr3:uid="{404FB7FF-E877-465F-9D2C-7D63201F9562}" name="Employee Type"/>
    <tableColumn id="7" xr3:uid="{30840BB5-DEE6-4B18-8A08-BA5B9774F24C}" name="MonMode"/>
    <tableColumn id="9" xr3:uid="{12313C40-A638-4B8C-B20F-9A0183B75144}" name="TueMode"/>
    <tableColumn id="11" xr3:uid="{0C0EA224-B794-4A25-BECB-3B4C07E3CAE0}" name="WedMode"/>
    <tableColumn id="13" xr3:uid="{6AED5DED-F576-4A8A-BDCD-EC421D046DC2}" name="ThuMode"/>
    <tableColumn id="15" xr3:uid="{6B0B7E87-5572-49A1-80B8-4E5678C26E62}" name="FriMod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A2109-2B39-43A4-B16C-37979395D94F}" name="Table1" displayName="Table1" ref="A1:K87" totalsRowShown="0">
  <autoFilter ref="A1:K87" xr:uid="{ACDA2109-2B39-43A4-B16C-37979395D94F}"/>
  <sortState xmlns:xlrd2="http://schemas.microsoft.com/office/spreadsheetml/2017/richdata2" ref="A2:K87">
    <sortCondition descending="1" ref="D1:D87"/>
  </sortState>
  <tableColumns count="11">
    <tableColumn id="1" xr3:uid="{AFC7D8BF-158B-41E4-A4DA-6F540CBF1F4A}" name="FirstName"/>
    <tableColumn id="2" xr3:uid="{491AEA1C-8B13-4C51-8643-5D9A82C2F595}" name="LastName"/>
    <tableColumn id="3" xr3:uid="{9A2DA9F9-0A0E-4AA9-BA3B-9E758C72D47E}" name="Zip"/>
    <tableColumn id="4" xr3:uid="{97826A3F-09A4-4638-88BD-FBF20488B848}" name="Miles To Work (one way)"/>
    <tableColumn id="5" xr3:uid="{0FA2FF20-7BAF-4943-9364-EED42F2E29C4}" name="Employee ID"/>
    <tableColumn id="6" xr3:uid="{4482AD6A-735C-407A-8481-F72121EF83BC}" name="Employee Type"/>
    <tableColumn id="7" xr3:uid="{98508E6F-6AAA-4BEB-BB82-10C138955FAB}" name="MonMode"/>
    <tableColumn id="9" xr3:uid="{063D5945-F0A4-4DD0-B986-71F74D6EAACB}" name="TueMode"/>
    <tableColumn id="11" xr3:uid="{8D830560-8CBB-4266-9240-E05CB87CFD61}" name="WedMode"/>
    <tableColumn id="13" xr3:uid="{02A5BB2D-38E7-4DF7-ABE3-4AC886B6F0BF}" name="ThuMode"/>
    <tableColumn id="15" xr3:uid="{86B8B6EC-994A-4F6C-A52B-5B41EB0805D1}" name="FriMod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C1D44B-26EA-42B6-A88B-B4B5FD269F46}" name="Table2" displayName="Table2" ref="A1:K124" totalsRowShown="0">
  <autoFilter ref="A1:K124" xr:uid="{45C1D44B-26EA-42B6-A88B-B4B5FD269F46}"/>
  <sortState xmlns:xlrd2="http://schemas.microsoft.com/office/spreadsheetml/2017/richdata2" ref="A2:K124">
    <sortCondition descending="1" ref="D1:D124"/>
  </sortState>
  <tableColumns count="11">
    <tableColumn id="1" xr3:uid="{940E26D5-1641-44D6-8DD9-78774B73C474}" name="FirstName"/>
    <tableColumn id="2" xr3:uid="{B7F7027C-E9E4-4698-AF15-432C5B4660CE}" name="LastName"/>
    <tableColumn id="3" xr3:uid="{F3244E36-07DA-41AF-AD82-4E83A538163D}" name="Zip"/>
    <tableColumn id="5" xr3:uid="{19CC6A8B-658A-4340-A9D7-C986B5BBC4C4}" name="Miles To Work (one way)"/>
    <tableColumn id="7" xr3:uid="{7A2AC161-29DC-49A1-8623-FFE4E59EA28F}" name="Employee ID"/>
    <tableColumn id="8" xr3:uid="{8998CF8A-B576-4E3D-BDBF-D62C51A7801E}" name="Department"/>
    <tableColumn id="9" xr3:uid="{DA3C12ED-3CFD-477F-9B1A-DC49133CFEE7}" name="MonMode"/>
    <tableColumn id="11" xr3:uid="{A2669AF7-2A45-4742-8C9D-96839E416FA1}" name="TueMode"/>
    <tableColumn id="13" xr3:uid="{3A36020C-C31E-44EF-ADD0-0A4CD333A84D}" name="WedMode"/>
    <tableColumn id="15" xr3:uid="{02B95D4D-8226-47FF-8F6E-B1A00EC2D7C3}" name="ThuMode"/>
    <tableColumn id="17" xr3:uid="{A9D784C6-E10E-4029-A4F4-B414988574B8}" name="FriMode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3B3B64-C870-4E90-BA21-B0A63BB5D1D1}" name="Table3" displayName="Table3" ref="A1:K140" totalsRowShown="0">
  <autoFilter ref="A1:K140" xr:uid="{D73B3B64-C870-4E90-BA21-B0A63BB5D1D1}"/>
  <sortState xmlns:xlrd2="http://schemas.microsoft.com/office/spreadsheetml/2017/richdata2" ref="A2:K140">
    <sortCondition descending="1" ref="D1:D140"/>
  </sortState>
  <tableColumns count="11">
    <tableColumn id="1" xr3:uid="{69B9F2C3-47B8-460C-8761-44944E91CCFD}" name="FirstName"/>
    <tableColumn id="2" xr3:uid="{CC2AA839-88EA-49BB-B682-63E495805D7F}" name="EmpEmail"/>
    <tableColumn id="4" xr3:uid="{D2A353B2-AA26-478B-B037-E9E7B9F75C57}" name="Zip"/>
    <tableColumn id="8" xr3:uid="{CC59263D-4D93-4F76-93FA-BC1773802C22}" name="MilesToWork"/>
    <tableColumn id="22" xr3:uid="{29A7BC55-6E9E-4BE4-9872-3C03B14F2FFF}" name="Employee ID"/>
    <tableColumn id="3" xr3:uid="{B118AC3E-8BE3-46E9-AD24-E93AF4AC742F}" name="Department"/>
    <tableColumn id="11" xr3:uid="{36EBDA79-92CB-4FDE-9558-0FE593D66C4B}" name="MonMode"/>
    <tableColumn id="13" xr3:uid="{EA8E91DA-6B3C-44F5-B8B7-09BA2CF4947F}" name="TueMode"/>
    <tableColumn id="15" xr3:uid="{40741E7A-9F12-4E3B-A18C-D4EC32FF0450}" name="WedMode"/>
    <tableColumn id="17" xr3:uid="{427987C1-13B9-441F-9F6F-3A8418D4028A}" name="ThuMode"/>
    <tableColumn id="19" xr3:uid="{49C76422-9518-4096-B899-2AEC3A5794F9}" name="FriMode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E8AE00-C8E0-48E0-B88C-386C880E83D4}" name="Table4" displayName="Table4" ref="A1:K86" totalsRowShown="0">
  <autoFilter ref="A1:K86" xr:uid="{FCE8AE00-C8E0-48E0-B88C-386C880E83D4}"/>
  <tableColumns count="11">
    <tableColumn id="2" xr3:uid="{06488109-12C4-4823-B3ED-23CC97BD4889}" name="FirstName"/>
    <tableColumn id="1" xr3:uid="{D6F23347-9045-4763-8F37-AE9DA54EFBFA}" name="LastName"/>
    <tableColumn id="5" xr3:uid="{FBFC92ED-E1E8-4214-852B-737743F382A2}" name="Zip"/>
    <tableColumn id="9" xr3:uid="{5127E685-D35E-4C8B-875D-A2120F4BAFA2}" name="MilesToWork"/>
    <tableColumn id="23" xr3:uid="{39F84470-C2F3-4514-9DD7-B4C065D834C3}" name="Employee ID"/>
    <tableColumn id="22" xr3:uid="{0A8ED4EA-262B-48AE-A813-78928036990F}" name="Employee Type"/>
    <tableColumn id="12" xr3:uid="{6D9E04A1-8BC6-448C-AAD0-15631BF1C83C}" name="MonMode"/>
    <tableColumn id="14" xr3:uid="{E89DC385-0152-4C60-BD83-0DF21F6D5B69}" name="TueMode"/>
    <tableColumn id="16" xr3:uid="{7F833166-4221-4A1F-8A88-7A045926A9E0}" name="WedMode"/>
    <tableColumn id="18" xr3:uid="{CA56158B-14D8-46FB-B0F5-86615FE07868}" name="ThuMode"/>
    <tableColumn id="20" xr3:uid="{03613FB3-C2CD-4A9E-A5C7-A4E4194E6D9B}" name="FriMode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CB1CC5-2119-41C0-8D9E-428DB7449676}" name="Table5" displayName="Table5" ref="A1:H148" totalsRowShown="0">
  <autoFilter ref="A1:H148" xr:uid="{0ACB1CC5-2119-41C0-8D9E-428DB7449676}"/>
  <tableColumns count="8">
    <tableColumn id="2" xr3:uid="{03EA798A-53AF-410D-B127-9237AED99DEE}" name="Zip"/>
    <tableColumn id="3" xr3:uid="{8095142F-A291-46B1-8185-CA87B5DA0528}" name="MilesToWork"/>
    <tableColumn id="1" xr3:uid="{7089BA01-9A39-41C4-AD00-BF736166CB8E}" name="Department"/>
    <tableColumn id="6" xr3:uid="{D3647E34-9B15-421C-966C-39C846901DD3}" name="MonMode"/>
    <tableColumn id="8" xr3:uid="{84B1746B-513B-4FEB-8875-31603E66CCBE}" name="TueMode"/>
    <tableColumn id="10" xr3:uid="{8968426C-C65F-4101-976F-BD7035745F69}" name="WedMode"/>
    <tableColumn id="12" xr3:uid="{2DF02B49-3191-4B99-9CC5-581A31C3B856}" name="ThuMode"/>
    <tableColumn id="14" xr3:uid="{F0A4890E-9263-4645-BBB4-0E181EA0D6D6}" name="FriMode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B102F9-6842-4A9A-8700-1ACE7AFCBA9C}" name="Table6" displayName="Table6" ref="A1:H192" totalsRowShown="0">
  <autoFilter ref="A1:H192" xr:uid="{10B102F9-6842-4A9A-8700-1ACE7AFCBA9C}"/>
  <sortState xmlns:xlrd2="http://schemas.microsoft.com/office/spreadsheetml/2017/richdata2" ref="A2:H192">
    <sortCondition descending="1" ref="B1:B192"/>
  </sortState>
  <tableColumns count="8">
    <tableColumn id="2" xr3:uid="{A969E733-9ACA-4E98-8013-22FEF27B6C66}" name="Zip"/>
    <tableColumn id="4" xr3:uid="{8D0C4337-717C-4C5D-9C9B-312E3AA6BCD5}" name="MilesToWork"/>
    <tableColumn id="1" xr3:uid="{1E5286C7-2A35-4A54-8969-9ACD1F03A7A3}" name="Department"/>
    <tableColumn id="7" xr3:uid="{689000BD-2010-4D08-ABD4-99E4F23FA5C3}" name="MonMode"/>
    <tableColumn id="9" xr3:uid="{E3417684-EC2A-4BE2-8E1B-F06FFA481AC8}" name="TueMode"/>
    <tableColumn id="11" xr3:uid="{4C7C18FD-C96E-46A3-966B-1B2041C7C9CC}" name="WedMode"/>
    <tableColumn id="13" xr3:uid="{521E6351-2BBD-41C5-B17B-0F067777AF98}" name="ThuMode"/>
    <tableColumn id="15" xr3:uid="{E7F744D5-82B5-44BA-82F7-0B6E5D0C5BED}" name="FriMode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37548A-BA17-459D-9771-6C460E51047D}" name="Table7" displayName="Table7" ref="A1:H213" totalsRowShown="0" headerRowDxfId="40" dataDxfId="38" headerRowBorderDxfId="39" tableBorderDxfId="37">
  <autoFilter ref="A1:H213" xr:uid="{9237548A-BA17-459D-9771-6C460E51047D}"/>
  <tableColumns count="8">
    <tableColumn id="1" xr3:uid="{E0057AF1-EA81-4B8D-B282-3EA5F4089C20}" name="Zip" dataDxfId="36"/>
    <tableColumn id="2" xr3:uid="{2E818D2C-024F-48F2-AAC6-24F539F9532C}" name="Miles To Work (one way)" dataDxfId="35"/>
    <tableColumn id="3" xr3:uid="{B89A0DEB-37C4-4513-80B5-3D5E7EA1F420}" name="Department" dataDxfId="34"/>
    <tableColumn id="4" xr3:uid="{F597B44B-E843-498D-B53D-A45C1369EF28}" name="MonMode" dataDxfId="33"/>
    <tableColumn id="5" xr3:uid="{0B13D007-1091-4AA8-8952-B6F8EE8F7CAE}" name="TueMode" dataDxfId="32"/>
    <tableColumn id="6" xr3:uid="{C3023E88-8EB8-4843-B54B-7CAC7B2F9E47}" name="WedMode" dataDxfId="31"/>
    <tableColumn id="7" xr3:uid="{5C7E9446-BE84-4F9E-9794-1F48DEA700D7}" name="ThuMode" dataDxfId="30"/>
    <tableColumn id="8" xr3:uid="{BD3EAC90-5F50-425C-B337-ADCA8C6AF4E5}" name="FriMode" dataDxfId="29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AEB946-48E9-4DCD-BBA1-5F663C2D3054}" name="Table8" displayName="Table8" ref="A1:F122" totalsRowShown="0" headerRowDxfId="28" dataDxfId="26" headerRowBorderDxfId="27" tableBorderDxfId="25" totalsRowBorderDxfId="24">
  <autoFilter ref="A1:F122" xr:uid="{92AEB946-48E9-4DCD-BBA1-5F663C2D3054}"/>
  <sortState xmlns:xlrd2="http://schemas.microsoft.com/office/spreadsheetml/2017/richdata2" ref="A2:F122">
    <sortCondition descending="1" ref="A1:A122"/>
  </sortState>
  <tableColumns count="6">
    <tableColumn id="1" xr3:uid="{996F4787-DA08-4CB8-A7D6-4E415874264C}" name="MilesToWork (one way)" dataDxfId="23"/>
    <tableColumn id="2" xr3:uid="{97283A29-0C57-429D-9C17-94F2FE75832A}" name="MonMode" dataDxfId="22"/>
    <tableColumn id="3" xr3:uid="{06CA73D3-A80E-439C-B881-17373A79CFED}" name="TueMode" dataDxfId="21"/>
    <tableColumn id="4" xr3:uid="{37AF0D10-E736-4BD1-93C7-D0251E9CE3AC}" name="WedMode" dataDxfId="20"/>
    <tableColumn id="5" xr3:uid="{ABCDE5DA-94D8-41B2-A39F-98528F1A8E31}" name="ThuMode" dataDxfId="19"/>
    <tableColumn id="6" xr3:uid="{01CB7173-F05A-4923-958F-3E8E3AFE77A4}" name="FriMode" dataDxfId="18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84BAAB-78DD-4426-AEA9-579D7BC4831D}" name="Table9" displayName="Table9" ref="A1:G139" totalsRowShown="0" headerRowDxfId="17" dataDxfId="16">
  <autoFilter ref="A1:G139" xr:uid="{DA84BAAB-78DD-4426-AEA9-579D7BC4831D}"/>
  <sortState xmlns:xlrd2="http://schemas.microsoft.com/office/spreadsheetml/2017/richdata2" ref="A2:G139">
    <sortCondition descending="1" ref="B1:B139"/>
  </sortState>
  <tableColumns count="7">
    <tableColumn id="1" xr3:uid="{45F61B6B-0CC5-4BAB-9023-CD2A4C6379A5}" name="Department" dataDxfId="15"/>
    <tableColumn id="2" xr3:uid="{DBDE7B44-5B13-48B5-82E1-E9C238B219B7}" name="MilesToWork (one way)" dataDxfId="14"/>
    <tableColumn id="3" xr3:uid="{21E360DC-06BC-4DF7-8254-BBC56737F6AD}" name="MonMode" dataDxfId="13"/>
    <tableColumn id="4" xr3:uid="{FE0FF523-8ACE-4585-861D-B22698BC0A77}" name="TueMode" dataDxfId="12"/>
    <tableColumn id="5" xr3:uid="{153A6820-3EF8-4FE9-907C-C23E2A2D3428}" name="WedMode" dataDxfId="11"/>
    <tableColumn id="6" xr3:uid="{07788995-1DCF-4811-9389-D03D3EDC5F47}" name="ThuMode" dataDxfId="10"/>
    <tableColumn id="7" xr3:uid="{CCC78B66-92CF-4126-999D-598D7B4DDA54}" name="FriMode" dataDxfId="9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24247E-8102-4A61-A0FC-4CE03ACF03A8}" name="Table10" displayName="Table10" ref="A1:G169" totalsRowShown="0" headerRowDxfId="8" dataDxfId="7">
  <autoFilter ref="A1:G169" xr:uid="{BF24247E-8102-4A61-A0FC-4CE03ACF03A8}"/>
  <tableColumns count="7">
    <tableColumn id="1" xr3:uid="{94EA8A22-2999-49A2-9C1D-1AB8C4C2B15E}" name="Department" dataDxfId="6"/>
    <tableColumn id="2" xr3:uid="{697AC913-7C84-43C6-BECC-AD0679217049}" name="MilesToWork" dataDxfId="5"/>
    <tableColumn id="3" xr3:uid="{43F96493-C034-44AB-9465-D015FA929690}" name="MonMode" dataDxfId="4"/>
    <tableColumn id="4" xr3:uid="{74CD5A6D-D244-47DE-9DB6-26AEEF6A5E23}" name="TueMode" dataDxfId="3"/>
    <tableColumn id="5" xr3:uid="{805E470D-AD29-4991-B8A2-64861CFF7AD5}" name="WedMode" dataDxfId="2"/>
    <tableColumn id="6" xr3:uid="{CA3382DC-5539-4BEB-A1A2-22910F7A7192}" name="ThuMode" dataDxfId="1"/>
    <tableColumn id="7" xr3:uid="{F7B785BD-9E46-4D3D-94C0-8E86FABEAA8B}" name="FriMod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44B7-CD6B-4E05-98F0-F403BC8D2984}">
  <dimension ref="A1:X113"/>
  <sheetViews>
    <sheetView tabSelected="1" workbookViewId="0">
      <selection activeCell="A2" sqref="A2:B133"/>
    </sheetView>
  </sheetViews>
  <sheetFormatPr baseColWidth="10" defaultColWidth="8.83203125" defaultRowHeight="15" x14ac:dyDescent="0.2"/>
  <cols>
    <col min="1" max="1" width="12.6640625" bestFit="1" customWidth="1"/>
    <col min="2" max="2" width="17.5" bestFit="1" customWidth="1"/>
    <col min="3" max="3" width="6.5" bestFit="1" customWidth="1"/>
    <col min="4" max="4" width="25" bestFit="1" customWidth="1"/>
    <col min="5" max="5" width="14.5" bestFit="1" customWidth="1"/>
    <col min="6" max="6" width="16.83203125" bestFit="1" customWidth="1"/>
    <col min="7" max="11" width="25.1640625" bestFit="1" customWidth="1"/>
    <col min="12" max="12" width="16" customWidth="1"/>
    <col min="13" max="13" width="33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61" t="s">
        <v>11</v>
      </c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4" x14ac:dyDescent="0.2">
      <c r="A2" s="55"/>
      <c r="B2" s="55"/>
      <c r="C2" s="55" t="s">
        <v>12</v>
      </c>
      <c r="D2" s="55">
        <v>87</v>
      </c>
      <c r="E2" s="55" t="s">
        <v>13</v>
      </c>
      <c r="F2" s="43" t="s">
        <v>14</v>
      </c>
      <c r="G2" s="55" t="s">
        <v>15</v>
      </c>
      <c r="H2" s="55" t="s">
        <v>15</v>
      </c>
      <c r="I2" s="55" t="s">
        <v>15</v>
      </c>
      <c r="J2" s="55" t="s">
        <v>15</v>
      </c>
      <c r="K2" s="55" t="s">
        <v>15</v>
      </c>
      <c r="M2" s="2"/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3" t="s">
        <v>24</v>
      </c>
      <c r="W2" s="4" t="s">
        <v>25</v>
      </c>
    </row>
    <row r="3" spans="1:24" x14ac:dyDescent="0.2">
      <c r="A3" s="55"/>
      <c r="B3" s="55"/>
      <c r="C3" s="55" t="s">
        <v>26</v>
      </c>
      <c r="D3" s="55">
        <v>57</v>
      </c>
      <c r="E3" s="55" t="s">
        <v>27</v>
      </c>
      <c r="F3" s="43" t="s">
        <v>14</v>
      </c>
      <c r="G3" s="55" t="s">
        <v>28</v>
      </c>
      <c r="H3" s="55" t="s">
        <v>28</v>
      </c>
      <c r="I3" s="55" t="s">
        <v>28</v>
      </c>
      <c r="J3" s="55" t="s">
        <v>28</v>
      </c>
      <c r="K3" s="55" t="s">
        <v>15</v>
      </c>
      <c r="M3" s="5" t="s">
        <v>29</v>
      </c>
      <c r="N3" s="6" cm="1">
        <f t="array" ref="N3">SUM(COUNTIF($G:$K,{"H*","I*"}))/W10</f>
        <v>0.28622540250447226</v>
      </c>
      <c r="O3" s="7">
        <f>COUNTIF($G:$K,"E*")/W10</f>
        <v>0.13237924865831843</v>
      </c>
      <c r="P3" s="7" cm="1">
        <f t="array" ref="P3">SUM(COUNTIF($G:$K,{"J*","K*","L*","M*","N*","O*","P*","Q*","R*","S*","T*","U*","V*","W*"}))/W10</f>
        <v>4.8300536672629693E-2</v>
      </c>
      <c r="Q3" s="7">
        <f>COUNTIF($G:$K,"C*")/W10</f>
        <v>7.6923076923076927E-2</v>
      </c>
      <c r="R3" s="7">
        <f>COUNTIF($G:$K,"A*")/W10</f>
        <v>0.15205724508050089</v>
      </c>
      <c r="S3" s="7">
        <v>0</v>
      </c>
      <c r="T3" s="7">
        <f>COUNTIF($G:$K,"B*")/W10</f>
        <v>1.7889087656529517E-3</v>
      </c>
      <c r="U3" s="7">
        <f>COUNTIF($G:$K,"F*")/W10</f>
        <v>0.10196779964221825</v>
      </c>
      <c r="V3" s="8">
        <f>COUNTIF($G:$K,"D*")/W10</f>
        <v>0.2003577817531306</v>
      </c>
      <c r="W3" s="7">
        <f>SUM(N3:V3)</f>
        <v>1</v>
      </c>
    </row>
    <row r="4" spans="1:24" ht="16" x14ac:dyDescent="0.2">
      <c r="A4" s="55"/>
      <c r="B4" s="55"/>
      <c r="C4" s="55" t="s">
        <v>30</v>
      </c>
      <c r="D4" s="55">
        <v>50</v>
      </c>
      <c r="E4" s="55" t="s">
        <v>31</v>
      </c>
      <c r="F4" s="43" t="s">
        <v>14</v>
      </c>
      <c r="G4" s="55" t="s">
        <v>28</v>
      </c>
      <c r="H4" s="55" t="s">
        <v>32</v>
      </c>
      <c r="I4" s="55" t="s">
        <v>28</v>
      </c>
      <c r="J4" s="55" t="s">
        <v>32</v>
      </c>
      <c r="K4" s="55" t="s">
        <v>28</v>
      </c>
      <c r="M4" s="9" t="s">
        <v>33</v>
      </c>
      <c r="N4" s="10" cm="1">
        <f t="array" ref="N4">SUM(_xlfn.BYCOL(G:K,_xlfn.LAMBDA(_xlpm.col,SUMIF(_xlpm.col,"H*",D:D)+SUMIF(_xlpm.col,"I*",D:D))))/N10</f>
        <v>11.775</v>
      </c>
      <c r="O4" s="11" cm="1">
        <f t="array" ref="O4">SUM(_xlfn.BYCOL(G:K,_xlfn.LAMBDA(_xlpm.col,SUMIF(_xlpm.col,"E*",D:D))))/O10</f>
        <v>1.3243243243243243</v>
      </c>
      <c r="P4" s="12" cm="1">
        <f t="array" ref="P4">SUM(_xlfn.BYCOL($G:$K,_xlfn.LAMBDA(_xlpm.col,SUMIF(_xlpm.col,"J*",$D:$D)+SUMIF(_xlpm.col,"K*",$D:$D)+SUMIF(_xlpm.col,"L*",$D:$D)+SUMIF(_xlpm.col,"M*",$D:$D)+SUMIF(_xlpm.col,"N*",$D:$D)+SUMIF(_xlpm.col,"O*",$D:$D)+SUMIF(_xlpm.col,"P*",$D:$D)+SUMIF(_xlpm.col,"Q*",$D:$D)+SUMIF(_xlpm.col,"R*",$D:$D)+SUMIF(_xlpm.col,"S*",$D:$D)+SUMIF(_xlpm.col,"T*",$D:$D)+SUMIF(_xlpm.col,"U*",$D:$D)+SUMIF(_xlpm.col,"V*",$D:$D)+SUMIF(_xlpm.col,"W*",$D:$D))))/$P10</f>
        <v>4.2222222222222223</v>
      </c>
      <c r="Q4" s="12" cm="1">
        <f t="array" ref="Q4">SUM(_xlfn.BYCOL(G:K,_xlfn.LAMBDA(_xlpm.col,SUMIF(_xlpm.col,"C*",D:D))))/Q10</f>
        <v>24.093023255813954</v>
      </c>
      <c r="R4" s="12" cm="1">
        <f t="array" ref="R4">SUM(_xlfn.BYCOL(G:K,_xlfn.LAMBDA(_xlpm.col,SUMIF(_xlpm.col,"A*",D:D))))/R10</f>
        <v>8.4588235294117649</v>
      </c>
      <c r="S4" s="12" t="s">
        <v>34</v>
      </c>
      <c r="T4" s="12" cm="1">
        <f t="array" ref="T4">SUM(_xlfn.BYCOL(G:K,_xlfn.LAMBDA(_xlpm.col,SUMIF(_xlpm.col,"B*",D:D))))/T10</f>
        <v>14</v>
      </c>
      <c r="U4" s="12" t="s">
        <v>34</v>
      </c>
      <c r="V4" s="12" cm="1">
        <f t="array" ref="V4">SUM(_xlfn.BYCOL(G:K,_xlfn.LAMBDA(_xlpm.col,SUMIF(_xlpm.col,"D*",D:D))))/V10</f>
        <v>1.0714285714285714</v>
      </c>
      <c r="W4" s="10">
        <f>AVERAGE(N4:V4)</f>
        <v>9.2778317004572646</v>
      </c>
    </row>
    <row r="5" spans="1:24" x14ac:dyDescent="0.2">
      <c r="A5" s="55"/>
      <c r="B5" s="55"/>
      <c r="C5" s="55" t="s">
        <v>35</v>
      </c>
      <c r="D5" s="55">
        <v>48</v>
      </c>
      <c r="E5" s="55" t="s">
        <v>36</v>
      </c>
      <c r="F5" s="43" t="s">
        <v>14</v>
      </c>
      <c r="G5" s="55" t="s">
        <v>32</v>
      </c>
      <c r="H5" s="55" t="s">
        <v>37</v>
      </c>
      <c r="I5" s="55" t="s">
        <v>32</v>
      </c>
      <c r="J5" s="55" t="s">
        <v>37</v>
      </c>
      <c r="K5" s="55" t="s">
        <v>32</v>
      </c>
      <c r="M5" s="5" t="s">
        <v>38</v>
      </c>
      <c r="N5" s="5"/>
      <c r="O5" s="5"/>
      <c r="P5" s="13" cm="1">
        <f t="array" ref="P5">SUM(_xlfn.BYCOL($G:$K,_xlfn.LAMBDA(_xlpm.col,SUMIF(_xlpm.col,"J.*",$D:$D)*2+SUMIF(_xlpm.col,"K.*",$D:$D)*3+SUMIF(_xlpm.col,"L.*",$D:$D)*4+SUMIF(_xlpm.col,"M.*",$D:$D)*5+SUMIF(_xlpm.col,"N.*",$D:$D)*6+SUMIF(_xlpm.col,"O.*",$D:$D)*7+SUMIF(_xlpm.col,"P.*",$D:$D)*8+SUMIF(_xlpm.col,"Q.*",$D:$D)*9+SUMIF(_xlpm.col,"R.*",$D:$D)*10+SUMIF(_xlpm.col,"S.*",$D:$D)*11+SUMIF(_xlpm.col,"T.*",$D:$D)*12+SUMIF(_xlpm.col,"U.*",$D:$D)*13+SUMIF(_xlpm.col,"V.*",$D:$D)*14+SUMIF(_xlpm.col,"W.*",$D:$D)*15)))/$P10</f>
        <v>0</v>
      </c>
      <c r="Q5" s="5"/>
      <c r="R5" s="5"/>
      <c r="S5" s="5"/>
      <c r="T5" s="5"/>
      <c r="U5" s="5"/>
      <c r="V5" s="5"/>
      <c r="W5" s="5"/>
    </row>
    <row r="6" spans="1:24" x14ac:dyDescent="0.2">
      <c r="A6" s="55"/>
      <c r="B6" s="55"/>
      <c r="C6" s="55" t="s">
        <v>39</v>
      </c>
      <c r="D6" s="55">
        <v>45</v>
      </c>
      <c r="E6" s="55" t="s">
        <v>40</v>
      </c>
      <c r="F6" s="43" t="s">
        <v>14</v>
      </c>
      <c r="G6" s="55" t="s">
        <v>37</v>
      </c>
      <c r="H6" s="55" t="s">
        <v>32</v>
      </c>
      <c r="I6" s="55" t="s">
        <v>37</v>
      </c>
      <c r="J6" s="55" t="s">
        <v>32</v>
      </c>
      <c r="K6" s="55" t="s">
        <v>32</v>
      </c>
      <c r="M6" s="14" t="s">
        <v>41</v>
      </c>
      <c r="N6" s="14"/>
      <c r="O6" s="14"/>
      <c r="P6" s="15">
        <f>P5/P4</f>
        <v>0</v>
      </c>
      <c r="Q6" s="14"/>
      <c r="R6" s="14"/>
      <c r="S6" s="14"/>
      <c r="T6" s="14"/>
      <c r="U6" s="14"/>
      <c r="V6" s="14"/>
      <c r="W6" s="14"/>
    </row>
    <row r="7" spans="1:24" x14ac:dyDescent="0.2">
      <c r="A7" s="55"/>
      <c r="B7" s="55"/>
      <c r="C7" s="55" t="s">
        <v>42</v>
      </c>
      <c r="D7" s="55">
        <v>40</v>
      </c>
      <c r="E7" s="55" t="s">
        <v>43</v>
      </c>
      <c r="F7" s="43" t="s">
        <v>44</v>
      </c>
      <c r="G7" s="55" t="s">
        <v>37</v>
      </c>
      <c r="H7" s="55" t="s">
        <v>37</v>
      </c>
      <c r="I7" s="55" t="s">
        <v>37</v>
      </c>
      <c r="J7" s="55" t="s">
        <v>37</v>
      </c>
      <c r="K7" s="55" t="s">
        <v>37</v>
      </c>
      <c r="P7" s="16"/>
    </row>
    <row r="8" spans="1:24" x14ac:dyDescent="0.2">
      <c r="A8" s="55"/>
      <c r="B8" s="55"/>
      <c r="C8" s="55" t="s">
        <v>45</v>
      </c>
      <c r="D8" s="55">
        <v>40</v>
      </c>
      <c r="E8" s="55" t="s">
        <v>46</v>
      </c>
      <c r="F8" s="43" t="s">
        <v>14</v>
      </c>
      <c r="G8" s="55" t="s">
        <v>28</v>
      </c>
      <c r="H8" s="55" t="s">
        <v>15</v>
      </c>
      <c r="I8" s="55" t="s">
        <v>28</v>
      </c>
      <c r="J8" s="55" t="s">
        <v>15</v>
      </c>
      <c r="K8" s="55" t="s">
        <v>28</v>
      </c>
      <c r="M8" s="62" t="s">
        <v>47</v>
      </c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9" spans="1:24" x14ac:dyDescent="0.2">
      <c r="A9" s="55"/>
      <c r="B9" s="55"/>
      <c r="C9" s="55" t="s">
        <v>48</v>
      </c>
      <c r="D9" s="55">
        <v>35</v>
      </c>
      <c r="E9" s="55" t="s">
        <v>49</v>
      </c>
      <c r="F9" s="43" t="s">
        <v>14</v>
      </c>
      <c r="G9" s="55" t="s">
        <v>15</v>
      </c>
      <c r="H9" s="55" t="s">
        <v>15</v>
      </c>
      <c r="I9" s="55" t="s">
        <v>28</v>
      </c>
      <c r="J9" s="55" t="s">
        <v>15</v>
      </c>
      <c r="K9" s="55" t="s">
        <v>28</v>
      </c>
      <c r="M9" s="17"/>
      <c r="N9" s="17" t="s">
        <v>16</v>
      </c>
      <c r="O9" s="17" t="s">
        <v>17</v>
      </c>
      <c r="P9" s="17" t="s">
        <v>18</v>
      </c>
      <c r="Q9" s="17" t="s">
        <v>19</v>
      </c>
      <c r="R9" s="17" t="s">
        <v>20</v>
      </c>
      <c r="S9" s="17" t="s">
        <v>21</v>
      </c>
      <c r="T9" s="17" t="s">
        <v>22</v>
      </c>
      <c r="U9" s="17" t="s">
        <v>23</v>
      </c>
      <c r="V9" s="17" t="s">
        <v>24</v>
      </c>
      <c r="W9" s="17" t="s">
        <v>25</v>
      </c>
      <c r="X9" s="18" t="s">
        <v>50</v>
      </c>
    </row>
    <row r="10" spans="1:24" x14ac:dyDescent="0.2">
      <c r="A10" s="55"/>
      <c r="B10" s="55"/>
      <c r="C10" s="55" t="s">
        <v>51</v>
      </c>
      <c r="D10" s="55">
        <v>35</v>
      </c>
      <c r="E10" s="55" t="s">
        <v>52</v>
      </c>
      <c r="F10" s="43" t="s">
        <v>14</v>
      </c>
      <c r="G10" s="55" t="s">
        <v>15</v>
      </c>
      <c r="H10" s="55" t="s">
        <v>37</v>
      </c>
      <c r="I10" s="55" t="s">
        <v>15</v>
      </c>
      <c r="J10" s="55" t="s">
        <v>37</v>
      </c>
      <c r="K10" s="55" t="s">
        <v>37</v>
      </c>
      <c r="M10" s="19" t="s">
        <v>53</v>
      </c>
      <c r="N10" s="19" cm="1">
        <f t="array" ref="N10">SUM(COUNTIF($G:$K,{"H*","I*"}))</f>
        <v>160</v>
      </c>
      <c r="O10" s="19">
        <f>COUNTIF($G:$K,"E*")</f>
        <v>74</v>
      </c>
      <c r="P10" s="19" cm="1">
        <f t="array" ref="P10">SUM(COUNTIF($G:$K,{"J*","K*","L*","M*","N*","O*","P*","Q*","R*","S*","T*","U*","V*","W*"}))</f>
        <v>27</v>
      </c>
      <c r="Q10" s="20">
        <f>COUNTIF($G:$K,"C*")</f>
        <v>43</v>
      </c>
      <c r="R10" s="19">
        <f>COUNTIF($G:$K,"A*")</f>
        <v>85</v>
      </c>
      <c r="S10" s="19">
        <v>0</v>
      </c>
      <c r="T10" s="19">
        <f>COUNTIF($G:$K,"B*")</f>
        <v>1</v>
      </c>
      <c r="U10" s="19">
        <f>COUNTIF($G:$K,"F*")</f>
        <v>57</v>
      </c>
      <c r="V10" s="19">
        <f>COUNTIF($G:$K,"D*")</f>
        <v>112</v>
      </c>
      <c r="W10" s="21">
        <f>SUM(N10:V10)</f>
        <v>559</v>
      </c>
      <c r="X10" s="17">
        <f>COUNTIFS($G2:$K1000,"&lt;&gt;",$G2:$K1000,"&lt;&gt;OFF.*",$G2:$K1000,"&lt;&gt;AA.*",$G2:$K1000,"&lt;&gt;BB.*",$G2:$K1000,"&lt;&gt;G.*",$G2:$K1000,"&lt;&gt;X.*",$G2:$K1000,"&lt;&gt;Y.*",$G2:$K1000,"&lt;&gt;Z.*",G2:K1000,"&lt;&gt;CC.*")</f>
        <v>560</v>
      </c>
    </row>
    <row r="11" spans="1:24" x14ac:dyDescent="0.2">
      <c r="A11" s="55"/>
      <c r="B11" s="55"/>
      <c r="C11" s="55" t="s">
        <v>48</v>
      </c>
      <c r="D11" s="55">
        <v>35</v>
      </c>
      <c r="E11" s="55" t="s">
        <v>54</v>
      </c>
      <c r="F11" s="43" t="s">
        <v>14</v>
      </c>
      <c r="G11" s="55" t="s">
        <v>28</v>
      </c>
      <c r="H11" s="55" t="s">
        <v>28</v>
      </c>
      <c r="I11" s="55" t="s">
        <v>28</v>
      </c>
      <c r="J11" s="55" t="s">
        <v>28</v>
      </c>
      <c r="K11" s="55" t="s">
        <v>15</v>
      </c>
    </row>
    <row r="12" spans="1:24" ht="16" x14ac:dyDescent="0.2">
      <c r="A12" s="55"/>
      <c r="B12" s="55"/>
      <c r="C12" s="55" t="s">
        <v>55</v>
      </c>
      <c r="D12" s="55">
        <v>34</v>
      </c>
      <c r="E12" s="55" t="s">
        <v>56</v>
      </c>
      <c r="F12" s="43" t="s">
        <v>14</v>
      </c>
      <c r="G12" s="55" t="s">
        <v>32</v>
      </c>
      <c r="H12" s="55" t="s">
        <v>37</v>
      </c>
      <c r="I12" s="55" t="s">
        <v>32</v>
      </c>
      <c r="J12" s="55" t="s">
        <v>37</v>
      </c>
      <c r="K12" s="55" t="s">
        <v>37</v>
      </c>
      <c r="M12" s="22" t="s">
        <v>57</v>
      </c>
      <c r="O12" s="59" t="s">
        <v>58</v>
      </c>
      <c r="P12" s="63"/>
      <c r="Q12" s="60"/>
    </row>
    <row r="13" spans="1:24" ht="16" x14ac:dyDescent="0.2">
      <c r="A13" s="55"/>
      <c r="B13" s="55"/>
      <c r="C13" s="55" t="s">
        <v>59</v>
      </c>
      <c r="D13" s="55">
        <v>34</v>
      </c>
      <c r="E13" s="55" t="s">
        <v>60</v>
      </c>
      <c r="F13" s="43" t="s">
        <v>14</v>
      </c>
      <c r="G13" s="55" t="s">
        <v>61</v>
      </c>
      <c r="H13" s="55" t="s">
        <v>61</v>
      </c>
      <c r="I13" s="55" t="s">
        <v>61</v>
      </c>
      <c r="J13" s="55" t="s">
        <v>61</v>
      </c>
      <c r="K13" s="55" t="s">
        <v>15</v>
      </c>
      <c r="M13" s="26" t="s">
        <v>62</v>
      </c>
      <c r="O13" s="64" t="s">
        <v>63</v>
      </c>
      <c r="P13" s="64"/>
      <c r="Q13" s="19" t="e">
        <f>2*W10/COUNTIFS(A:A,"&lt;&gt;",A:A,"&lt;&gt;FirstName")</f>
        <v>#DIV/0!</v>
      </c>
    </row>
    <row r="14" spans="1:24" ht="16" x14ac:dyDescent="0.2">
      <c r="A14" s="55"/>
      <c r="B14" s="55"/>
      <c r="C14" s="55" t="s">
        <v>64</v>
      </c>
      <c r="D14" s="55">
        <v>33</v>
      </c>
      <c r="E14" s="55" t="s">
        <v>65</v>
      </c>
      <c r="F14" s="43" t="s">
        <v>14</v>
      </c>
      <c r="G14" s="55" t="s">
        <v>37</v>
      </c>
      <c r="H14" s="55" t="s">
        <v>61</v>
      </c>
      <c r="I14" s="55" t="s">
        <v>37</v>
      </c>
      <c r="J14" s="55" t="s">
        <v>61</v>
      </c>
      <c r="K14" s="55" t="s">
        <v>37</v>
      </c>
      <c r="M14" s="26" t="s">
        <v>66</v>
      </c>
      <c r="O14" s="62" t="s">
        <v>67</v>
      </c>
      <c r="P14" s="62"/>
      <c r="Q14" s="17">
        <v>355</v>
      </c>
    </row>
    <row r="15" spans="1:24" ht="16" x14ac:dyDescent="0.2">
      <c r="A15" s="55"/>
      <c r="B15" s="55"/>
      <c r="C15" s="55" t="s">
        <v>68</v>
      </c>
      <c r="D15" s="55">
        <v>32</v>
      </c>
      <c r="E15" s="55" t="s">
        <v>69</v>
      </c>
      <c r="F15" s="43" t="s">
        <v>14</v>
      </c>
      <c r="G15" s="55" t="s">
        <v>70</v>
      </c>
      <c r="H15" s="55" t="s">
        <v>32</v>
      </c>
      <c r="I15" s="55" t="s">
        <v>70</v>
      </c>
      <c r="J15" s="55" t="s">
        <v>32</v>
      </c>
      <c r="K15" s="55" t="s">
        <v>28</v>
      </c>
      <c r="M15" s="26" t="s">
        <v>71</v>
      </c>
      <c r="O15" s="65" t="s">
        <v>72</v>
      </c>
      <c r="P15" s="65"/>
      <c r="Q15" s="18">
        <f>COUNTIFS(A:A,"&lt;&gt;",A:A,"&lt;&gt;FirstName")</f>
        <v>0</v>
      </c>
    </row>
    <row r="16" spans="1:24" ht="16" x14ac:dyDescent="0.2">
      <c r="A16" s="55"/>
      <c r="B16" s="55"/>
      <c r="C16" s="55" t="s">
        <v>73</v>
      </c>
      <c r="D16" s="55">
        <v>30</v>
      </c>
      <c r="E16" s="55" t="s">
        <v>74</v>
      </c>
      <c r="F16" s="43" t="s">
        <v>14</v>
      </c>
      <c r="G16" s="55" t="s">
        <v>37</v>
      </c>
      <c r="H16" s="55" t="s">
        <v>37</v>
      </c>
      <c r="I16" s="55" t="s">
        <v>37</v>
      </c>
      <c r="J16" s="55" t="s">
        <v>37</v>
      </c>
      <c r="K16" s="55" t="s">
        <v>61</v>
      </c>
      <c r="M16" s="26" t="s">
        <v>75</v>
      </c>
      <c r="O16" s="62" t="s">
        <v>76</v>
      </c>
      <c r="P16" s="59"/>
      <c r="Q16" s="27">
        <f>Q15/Q14</f>
        <v>0</v>
      </c>
      <c r="S16" t="s">
        <v>77</v>
      </c>
    </row>
    <row r="17" spans="1:22" ht="16" x14ac:dyDescent="0.2">
      <c r="A17" s="55"/>
      <c r="B17" s="55"/>
      <c r="C17" s="55" t="s">
        <v>73</v>
      </c>
      <c r="D17" s="55">
        <v>30</v>
      </c>
      <c r="E17" s="55" t="s">
        <v>78</v>
      </c>
      <c r="F17" s="43" t="s">
        <v>14</v>
      </c>
      <c r="G17" s="55" t="s">
        <v>15</v>
      </c>
      <c r="H17" s="55" t="s">
        <v>37</v>
      </c>
      <c r="I17" s="55" t="s">
        <v>15</v>
      </c>
      <c r="J17" s="55" t="s">
        <v>37</v>
      </c>
      <c r="K17" s="55" t="s">
        <v>15</v>
      </c>
      <c r="M17" s="26" t="s">
        <v>79</v>
      </c>
      <c r="O17" s="66" t="s">
        <v>80</v>
      </c>
      <c r="P17" s="66"/>
      <c r="Q17" s="28">
        <v>32</v>
      </c>
      <c r="S17" t="s">
        <v>81</v>
      </c>
      <c r="T17">
        <f>(N4*N10+O4*O10+P4*P10+Q4*Q10+R4*R10+T4*T10+V4*V10)*348/86</f>
        <v>16125.348837209302</v>
      </c>
    </row>
    <row r="18" spans="1:22" ht="16" x14ac:dyDescent="0.2">
      <c r="A18" s="55"/>
      <c r="B18" s="55"/>
      <c r="C18" s="55" t="s">
        <v>82</v>
      </c>
      <c r="D18" s="55">
        <v>28</v>
      </c>
      <c r="E18" s="55" t="s">
        <v>83</v>
      </c>
      <c r="F18" s="43" t="s">
        <v>14</v>
      </c>
      <c r="G18" s="55" t="s">
        <v>15</v>
      </c>
      <c r="H18" s="55" t="s">
        <v>15</v>
      </c>
      <c r="I18" s="55" t="s">
        <v>15</v>
      </c>
      <c r="J18" s="55" t="s">
        <v>15</v>
      </c>
      <c r="K18" s="55" t="s">
        <v>15</v>
      </c>
      <c r="M18" s="26" t="s">
        <v>84</v>
      </c>
      <c r="O18" s="59" t="s">
        <v>85</v>
      </c>
      <c r="P18" s="60"/>
      <c r="Q18" s="17">
        <f>AVERAGE(D2:D1000)</f>
        <v>9.1428571428571423</v>
      </c>
      <c r="S18" t="s">
        <v>86</v>
      </c>
      <c r="T18">
        <f>T17*32</f>
        <v>516011.16279069765</v>
      </c>
    </row>
    <row r="19" spans="1:22" ht="16" x14ac:dyDescent="0.2">
      <c r="A19" s="55"/>
      <c r="B19" s="55"/>
      <c r="C19" s="55" t="s">
        <v>87</v>
      </c>
      <c r="D19" s="55">
        <v>26</v>
      </c>
      <c r="E19" s="55" t="s">
        <v>88</v>
      </c>
      <c r="F19" s="43" t="s">
        <v>14</v>
      </c>
      <c r="G19" s="55" t="s">
        <v>15</v>
      </c>
      <c r="H19" s="55" t="s">
        <v>15</v>
      </c>
      <c r="I19" s="55" t="s">
        <v>15</v>
      </c>
      <c r="J19" s="55" t="s">
        <v>15</v>
      </c>
      <c r="K19" s="55" t="s">
        <v>15</v>
      </c>
      <c r="M19" s="26" t="s">
        <v>89</v>
      </c>
      <c r="O19" s="59" t="s">
        <v>90</v>
      </c>
      <c r="P19" s="60"/>
      <c r="Q19" s="17">
        <f>MEDIAN(D2:D1000)</f>
        <v>2</v>
      </c>
      <c r="S19" t="s">
        <v>91</v>
      </c>
      <c r="T19">
        <f>99.8/T18</f>
        <v>1.9340666868573241E-4</v>
      </c>
    </row>
    <row r="20" spans="1:22" ht="16" x14ac:dyDescent="0.2">
      <c r="A20" s="55"/>
      <c r="B20" s="55"/>
      <c r="C20" s="55" t="s">
        <v>42</v>
      </c>
      <c r="D20" s="55">
        <v>25</v>
      </c>
      <c r="E20" s="55" t="s">
        <v>92</v>
      </c>
      <c r="F20" s="43" t="s">
        <v>14</v>
      </c>
      <c r="G20" s="55" t="s">
        <v>15</v>
      </c>
      <c r="H20" s="55" t="s">
        <v>15</v>
      </c>
      <c r="I20" s="55" t="s">
        <v>15</v>
      </c>
      <c r="J20" s="55" t="s">
        <v>15</v>
      </c>
      <c r="K20" s="55" t="s">
        <v>15</v>
      </c>
      <c r="M20" s="26" t="s">
        <v>93</v>
      </c>
      <c r="O20" s="59" t="s">
        <v>94</v>
      </c>
      <c r="P20" s="60"/>
      <c r="Q20" s="17" t="e">
        <f>(SUM(D2:D1000)/Q15)*Q14</f>
        <v>#DIV/0!</v>
      </c>
    </row>
    <row r="21" spans="1:22" ht="16" x14ac:dyDescent="0.2">
      <c r="A21" s="55"/>
      <c r="B21" s="55"/>
      <c r="C21" s="55" t="s">
        <v>95</v>
      </c>
      <c r="D21" s="55">
        <v>25</v>
      </c>
      <c r="E21" s="55" t="s">
        <v>96</v>
      </c>
      <c r="F21" s="43" t="s">
        <v>14</v>
      </c>
      <c r="G21" s="55" t="s">
        <v>37</v>
      </c>
      <c r="H21" s="55" t="s">
        <v>15</v>
      </c>
      <c r="I21" s="55" t="s">
        <v>15</v>
      </c>
      <c r="J21" s="55" t="s">
        <v>15</v>
      </c>
      <c r="K21" s="55" t="s">
        <v>15</v>
      </c>
      <c r="M21" s="26" t="s">
        <v>97</v>
      </c>
      <c r="O21" s="59" t="s">
        <v>98</v>
      </c>
      <c r="P21" s="60"/>
      <c r="Q21" s="27" t="e">
        <f>COUNTIF(D:D,"&lt;=5")/Q15</f>
        <v>#DIV/0!</v>
      </c>
      <c r="T21" t="s">
        <v>99</v>
      </c>
      <c r="U21" t="s">
        <v>100</v>
      </c>
      <c r="V21" t="s">
        <v>101</v>
      </c>
    </row>
    <row r="22" spans="1:22" ht="16" x14ac:dyDescent="0.2">
      <c r="A22" s="55"/>
      <c r="B22" s="55"/>
      <c r="C22" s="55" t="s">
        <v>102</v>
      </c>
      <c r="D22" s="55">
        <v>22</v>
      </c>
      <c r="E22" s="55" t="s">
        <v>103</v>
      </c>
      <c r="F22" s="43" t="s">
        <v>14</v>
      </c>
      <c r="G22" s="55" t="s">
        <v>104</v>
      </c>
      <c r="H22" s="55" t="s">
        <v>37</v>
      </c>
      <c r="I22" s="55" t="s">
        <v>104</v>
      </c>
      <c r="J22" s="55" t="s">
        <v>105</v>
      </c>
      <c r="K22" s="55" t="s">
        <v>37</v>
      </c>
      <c r="M22" s="26" t="s">
        <v>106</v>
      </c>
      <c r="S22" t="s">
        <v>107</v>
      </c>
      <c r="T22">
        <f>N4*N10</f>
        <v>1884</v>
      </c>
      <c r="U22" t="e">
        <f>T22*(348/Q15)</f>
        <v>#DIV/0!</v>
      </c>
      <c r="V22" t="e">
        <f>U22*32</f>
        <v>#DIV/0!</v>
      </c>
    </row>
    <row r="23" spans="1:22" ht="16" x14ac:dyDescent="0.2">
      <c r="A23" s="55"/>
      <c r="B23" s="55"/>
      <c r="C23" s="55" t="s">
        <v>108</v>
      </c>
      <c r="D23" s="55">
        <v>20</v>
      </c>
      <c r="E23" s="55" t="s">
        <v>109</v>
      </c>
      <c r="F23" s="43" t="s">
        <v>14</v>
      </c>
      <c r="G23" s="55" t="s">
        <v>37</v>
      </c>
      <c r="H23" s="55" t="s">
        <v>37</v>
      </c>
      <c r="I23" s="55" t="s">
        <v>15</v>
      </c>
      <c r="J23" s="55" t="s">
        <v>15</v>
      </c>
      <c r="K23" s="55" t="s">
        <v>15</v>
      </c>
      <c r="M23" s="26" t="s">
        <v>110</v>
      </c>
    </row>
    <row r="24" spans="1:22" ht="16" x14ac:dyDescent="0.2">
      <c r="A24" s="55"/>
      <c r="B24" s="55"/>
      <c r="C24" s="55" t="s">
        <v>111</v>
      </c>
      <c r="D24" s="55">
        <v>17</v>
      </c>
      <c r="E24" s="55" t="s">
        <v>112</v>
      </c>
      <c r="F24" s="43" t="s">
        <v>14</v>
      </c>
      <c r="G24" s="55" t="s">
        <v>15</v>
      </c>
      <c r="H24" s="55" t="s">
        <v>15</v>
      </c>
      <c r="I24" s="55" t="s">
        <v>15</v>
      </c>
      <c r="J24" s="55" t="s">
        <v>15</v>
      </c>
      <c r="K24" s="55" t="s">
        <v>37</v>
      </c>
      <c r="M24" s="26" t="s">
        <v>113</v>
      </c>
    </row>
    <row r="25" spans="1:22" ht="16" x14ac:dyDescent="0.2">
      <c r="A25" s="55"/>
      <c r="B25" s="55"/>
      <c r="C25" s="55" t="s">
        <v>114</v>
      </c>
      <c r="D25" s="55">
        <v>14</v>
      </c>
      <c r="E25" s="55" t="s">
        <v>115</v>
      </c>
      <c r="F25" s="43" t="s">
        <v>14</v>
      </c>
      <c r="G25" s="55" t="s">
        <v>32</v>
      </c>
      <c r="H25" s="55" t="s">
        <v>116</v>
      </c>
      <c r="I25" s="55" t="s">
        <v>32</v>
      </c>
      <c r="J25" s="55" t="s">
        <v>32</v>
      </c>
      <c r="K25" s="55" t="s">
        <v>32</v>
      </c>
      <c r="M25" s="26" t="s">
        <v>117</v>
      </c>
    </row>
    <row r="26" spans="1:22" ht="16" x14ac:dyDescent="0.2">
      <c r="A26" s="55"/>
      <c r="B26" s="55"/>
      <c r="C26" s="55" t="s">
        <v>118</v>
      </c>
      <c r="D26" s="55">
        <v>13</v>
      </c>
      <c r="E26" s="55" t="s">
        <v>119</v>
      </c>
      <c r="F26" s="43" t="s">
        <v>14</v>
      </c>
      <c r="G26" s="55" t="s">
        <v>15</v>
      </c>
      <c r="H26" s="55" t="s">
        <v>15</v>
      </c>
      <c r="I26" s="55" t="s">
        <v>15</v>
      </c>
      <c r="J26" s="55" t="s">
        <v>15</v>
      </c>
      <c r="K26" s="55" t="s">
        <v>15</v>
      </c>
      <c r="M26" s="26" t="s">
        <v>120</v>
      </c>
    </row>
    <row r="27" spans="1:22" ht="16" x14ac:dyDescent="0.2">
      <c r="A27" s="55"/>
      <c r="B27" s="55"/>
      <c r="C27" s="55" t="s">
        <v>121</v>
      </c>
      <c r="D27" s="55">
        <v>9</v>
      </c>
      <c r="E27" s="55" t="s">
        <v>122</v>
      </c>
      <c r="F27" s="43" t="s">
        <v>14</v>
      </c>
      <c r="G27" s="55" t="s">
        <v>15</v>
      </c>
      <c r="H27" s="55" t="s">
        <v>15</v>
      </c>
      <c r="I27" s="55" t="s">
        <v>15</v>
      </c>
      <c r="J27" s="55" t="s">
        <v>37</v>
      </c>
      <c r="K27" s="55" t="s">
        <v>37</v>
      </c>
      <c r="M27" s="26" t="s">
        <v>123</v>
      </c>
    </row>
    <row r="28" spans="1:22" ht="16" x14ac:dyDescent="0.2">
      <c r="A28" s="55"/>
      <c r="B28" s="55"/>
      <c r="C28" s="55" t="s">
        <v>124</v>
      </c>
      <c r="D28" s="55">
        <v>8</v>
      </c>
      <c r="E28" s="55" t="s">
        <v>125</v>
      </c>
      <c r="F28" s="43" t="s">
        <v>14</v>
      </c>
      <c r="G28" s="55" t="s">
        <v>32</v>
      </c>
      <c r="H28" s="55" t="s">
        <v>32</v>
      </c>
      <c r="I28" s="55" t="s">
        <v>32</v>
      </c>
      <c r="J28" s="55" t="s">
        <v>32</v>
      </c>
      <c r="K28" s="55" t="s">
        <v>32</v>
      </c>
      <c r="M28" s="26" t="s">
        <v>126</v>
      </c>
    </row>
    <row r="29" spans="1:22" ht="16" x14ac:dyDescent="0.2">
      <c r="A29" s="55"/>
      <c r="B29" s="55"/>
      <c r="C29" s="55" t="s">
        <v>127</v>
      </c>
      <c r="D29" s="55">
        <v>8</v>
      </c>
      <c r="E29" s="55" t="s">
        <v>128</v>
      </c>
      <c r="F29" s="43" t="s">
        <v>44</v>
      </c>
      <c r="G29" s="55" t="s">
        <v>15</v>
      </c>
      <c r="H29" s="55" t="s">
        <v>28</v>
      </c>
      <c r="I29" s="55" t="s">
        <v>15</v>
      </c>
      <c r="J29" s="55" t="s">
        <v>28</v>
      </c>
      <c r="K29" s="55" t="s">
        <v>28</v>
      </c>
      <c r="M29" s="26" t="s">
        <v>129</v>
      </c>
    </row>
    <row r="30" spans="1:22" ht="16" x14ac:dyDescent="0.2">
      <c r="A30" s="55"/>
      <c r="B30" s="55"/>
      <c r="C30" s="55" t="s">
        <v>130</v>
      </c>
      <c r="D30" s="55">
        <v>7</v>
      </c>
      <c r="E30" s="55" t="s">
        <v>131</v>
      </c>
      <c r="F30" s="43" t="s">
        <v>14</v>
      </c>
      <c r="G30" s="55" t="s">
        <v>28</v>
      </c>
      <c r="H30" s="55" t="s">
        <v>28</v>
      </c>
      <c r="I30" s="55" t="s">
        <v>28</v>
      </c>
      <c r="J30" s="55" t="s">
        <v>28</v>
      </c>
      <c r="K30" s="55" t="s">
        <v>15</v>
      </c>
      <c r="M30" s="26" t="s">
        <v>132</v>
      </c>
    </row>
    <row r="31" spans="1:22" ht="16" x14ac:dyDescent="0.2">
      <c r="A31" s="55"/>
      <c r="B31" s="55"/>
      <c r="C31" s="55" t="s">
        <v>124</v>
      </c>
      <c r="D31" s="55">
        <v>7</v>
      </c>
      <c r="E31" s="55" t="s">
        <v>133</v>
      </c>
      <c r="F31" s="43" t="s">
        <v>14</v>
      </c>
      <c r="G31" s="55" t="s">
        <v>15</v>
      </c>
      <c r="H31" s="55" t="s">
        <v>15</v>
      </c>
      <c r="I31" s="55" t="s">
        <v>15</v>
      </c>
      <c r="J31" s="55" t="s">
        <v>15</v>
      </c>
      <c r="K31" s="55" t="s">
        <v>15</v>
      </c>
      <c r="M31" s="26" t="s">
        <v>134</v>
      </c>
    </row>
    <row r="32" spans="1:22" ht="16" x14ac:dyDescent="0.2">
      <c r="A32" s="55"/>
      <c r="B32" s="55"/>
      <c r="C32" s="55" t="s">
        <v>124</v>
      </c>
      <c r="D32" s="55">
        <v>6</v>
      </c>
      <c r="E32" s="55" t="s">
        <v>135</v>
      </c>
      <c r="F32" s="43" t="s">
        <v>14</v>
      </c>
      <c r="G32" s="55" t="s">
        <v>15</v>
      </c>
      <c r="H32" s="55" t="s">
        <v>15</v>
      </c>
      <c r="I32" s="55" t="s">
        <v>15</v>
      </c>
      <c r="J32" s="55" t="s">
        <v>15</v>
      </c>
      <c r="K32" s="55" t="s">
        <v>15</v>
      </c>
      <c r="M32" s="26" t="s">
        <v>136</v>
      </c>
    </row>
    <row r="33" spans="1:13" ht="16" x14ac:dyDescent="0.2">
      <c r="A33" s="55"/>
      <c r="B33" s="55"/>
      <c r="C33" s="55" t="s">
        <v>114</v>
      </c>
      <c r="D33" s="55">
        <v>5</v>
      </c>
      <c r="E33" s="55" t="s">
        <v>137</v>
      </c>
      <c r="F33" s="43" t="s">
        <v>14</v>
      </c>
      <c r="G33" s="55" t="s">
        <v>105</v>
      </c>
      <c r="H33" s="55" t="s">
        <v>105</v>
      </c>
      <c r="I33" s="55" t="s">
        <v>105</v>
      </c>
      <c r="J33" s="55" t="s">
        <v>105</v>
      </c>
      <c r="K33" s="55" t="s">
        <v>105</v>
      </c>
      <c r="M33" s="26" t="s">
        <v>138</v>
      </c>
    </row>
    <row r="34" spans="1:13" ht="16" x14ac:dyDescent="0.2">
      <c r="A34" s="55"/>
      <c r="B34" s="55"/>
      <c r="C34" s="55" t="s">
        <v>114</v>
      </c>
      <c r="D34" s="55">
        <v>5</v>
      </c>
      <c r="E34" s="55" t="s">
        <v>139</v>
      </c>
      <c r="F34" s="43" t="s">
        <v>14</v>
      </c>
      <c r="G34" s="55" t="s">
        <v>15</v>
      </c>
      <c r="H34" s="55" t="s">
        <v>15</v>
      </c>
      <c r="I34" s="55" t="s">
        <v>15</v>
      </c>
      <c r="J34" s="55" t="s">
        <v>15</v>
      </c>
      <c r="K34" s="55" t="s">
        <v>15</v>
      </c>
      <c r="M34" s="26" t="s">
        <v>140</v>
      </c>
    </row>
    <row r="35" spans="1:13" ht="16" x14ac:dyDescent="0.2">
      <c r="A35" s="55"/>
      <c r="B35" s="55"/>
      <c r="C35" s="55" t="s">
        <v>141</v>
      </c>
      <c r="D35" s="55">
        <v>4</v>
      </c>
      <c r="E35" s="55" t="s">
        <v>142</v>
      </c>
      <c r="F35" s="43" t="s">
        <v>14</v>
      </c>
      <c r="G35" s="55" t="s">
        <v>32</v>
      </c>
      <c r="H35" s="55" t="s">
        <v>32</v>
      </c>
      <c r="I35" s="55" t="s">
        <v>32</v>
      </c>
      <c r="J35" s="55" t="s">
        <v>32</v>
      </c>
      <c r="K35" s="55" t="s">
        <v>32</v>
      </c>
      <c r="M35" s="26" t="s">
        <v>143</v>
      </c>
    </row>
    <row r="36" spans="1:13" ht="16" x14ac:dyDescent="0.2">
      <c r="A36" s="55"/>
      <c r="B36" s="55"/>
      <c r="C36" s="55" t="s">
        <v>141</v>
      </c>
      <c r="D36" s="55">
        <v>4</v>
      </c>
      <c r="E36" s="55" t="s">
        <v>144</v>
      </c>
      <c r="F36" s="43" t="s">
        <v>14</v>
      </c>
      <c r="G36" s="55" t="s">
        <v>145</v>
      </c>
      <c r="H36" s="55" t="s">
        <v>32</v>
      </c>
      <c r="I36" s="55" t="s">
        <v>37</v>
      </c>
      <c r="J36" s="55" t="s">
        <v>32</v>
      </c>
      <c r="K36" s="55" t="s">
        <v>32</v>
      </c>
      <c r="M36" s="26" t="s">
        <v>146</v>
      </c>
    </row>
    <row r="37" spans="1:13" ht="16" x14ac:dyDescent="0.2">
      <c r="A37" s="55"/>
      <c r="B37" s="55"/>
      <c r="C37" s="55" t="s">
        <v>147</v>
      </c>
      <c r="D37" s="55">
        <v>4</v>
      </c>
      <c r="E37" s="55" t="s">
        <v>148</v>
      </c>
      <c r="F37" s="43" t="s">
        <v>14</v>
      </c>
      <c r="G37" s="55" t="s">
        <v>37</v>
      </c>
      <c r="H37" s="55" t="s">
        <v>15</v>
      </c>
      <c r="I37" s="55" t="s">
        <v>15</v>
      </c>
      <c r="J37" s="55" t="s">
        <v>15</v>
      </c>
      <c r="K37" s="55" t="s">
        <v>15</v>
      </c>
      <c r="M37" s="26" t="s">
        <v>149</v>
      </c>
    </row>
    <row r="38" spans="1:13" ht="16" x14ac:dyDescent="0.2">
      <c r="A38" s="55"/>
      <c r="B38" s="55"/>
      <c r="C38" s="55" t="s">
        <v>141</v>
      </c>
      <c r="D38" s="55">
        <v>3</v>
      </c>
      <c r="E38" s="55" t="s">
        <v>150</v>
      </c>
      <c r="F38" s="43" t="s">
        <v>14</v>
      </c>
      <c r="G38" s="55" t="s">
        <v>37</v>
      </c>
      <c r="H38" s="55" t="s">
        <v>15</v>
      </c>
      <c r="I38" s="55" t="s">
        <v>37</v>
      </c>
      <c r="J38" s="55" t="s">
        <v>15</v>
      </c>
      <c r="K38" s="55" t="s">
        <v>37</v>
      </c>
      <c r="M38" s="26" t="s">
        <v>151</v>
      </c>
    </row>
    <row r="39" spans="1:13" ht="16" x14ac:dyDescent="0.2">
      <c r="A39" s="55"/>
      <c r="B39" s="55"/>
      <c r="C39" s="55" t="s">
        <v>114</v>
      </c>
      <c r="D39" s="55">
        <v>3</v>
      </c>
      <c r="E39" s="55" t="s">
        <v>152</v>
      </c>
      <c r="F39" s="43" t="s">
        <v>14</v>
      </c>
      <c r="G39" s="55" t="s">
        <v>32</v>
      </c>
      <c r="H39" s="55" t="s">
        <v>32</v>
      </c>
      <c r="I39" s="55" t="s">
        <v>32</v>
      </c>
      <c r="J39" s="55" t="s">
        <v>32</v>
      </c>
      <c r="K39" s="55" t="s">
        <v>32</v>
      </c>
      <c r="M39" s="26" t="s">
        <v>153</v>
      </c>
    </row>
    <row r="40" spans="1:13" ht="16" x14ac:dyDescent="0.2">
      <c r="A40" s="55"/>
      <c r="B40" s="55"/>
      <c r="C40" s="55" t="s">
        <v>114</v>
      </c>
      <c r="D40" s="55">
        <v>3</v>
      </c>
      <c r="E40" s="55" t="s">
        <v>154</v>
      </c>
      <c r="F40" s="43" t="s">
        <v>14</v>
      </c>
      <c r="G40" s="55" t="s">
        <v>37</v>
      </c>
      <c r="H40" s="55" t="s">
        <v>37</v>
      </c>
      <c r="I40" s="55" t="s">
        <v>37</v>
      </c>
      <c r="J40" s="55" t="s">
        <v>37</v>
      </c>
      <c r="K40" s="55" t="s">
        <v>37</v>
      </c>
      <c r="M40" s="26" t="s">
        <v>155</v>
      </c>
    </row>
    <row r="41" spans="1:13" ht="16" x14ac:dyDescent="0.2">
      <c r="A41" s="55"/>
      <c r="B41" s="55"/>
      <c r="C41" s="55" t="s">
        <v>114</v>
      </c>
      <c r="D41" s="55">
        <v>2</v>
      </c>
      <c r="E41" s="55" t="s">
        <v>156</v>
      </c>
      <c r="F41" s="43" t="s">
        <v>14</v>
      </c>
      <c r="G41" s="55" t="s">
        <v>15</v>
      </c>
      <c r="H41" s="55" t="s">
        <v>15</v>
      </c>
      <c r="I41" s="55" t="s">
        <v>15</v>
      </c>
      <c r="J41" s="55" t="s">
        <v>15</v>
      </c>
      <c r="K41" s="55" t="s">
        <v>15</v>
      </c>
      <c r="M41" s="26" t="s">
        <v>157</v>
      </c>
    </row>
    <row r="42" spans="1:13" ht="16" x14ac:dyDescent="0.2">
      <c r="A42" s="55"/>
      <c r="B42" s="55"/>
      <c r="C42" s="55" t="s">
        <v>114</v>
      </c>
      <c r="D42" s="55">
        <v>2</v>
      </c>
      <c r="E42" s="55" t="s">
        <v>158</v>
      </c>
      <c r="F42" s="43" t="s">
        <v>14</v>
      </c>
      <c r="G42" s="55" t="s">
        <v>15</v>
      </c>
      <c r="H42" s="55" t="s">
        <v>15</v>
      </c>
      <c r="I42" s="55" t="s">
        <v>15</v>
      </c>
      <c r="J42" s="55" t="s">
        <v>15</v>
      </c>
      <c r="K42" s="55" t="s">
        <v>15</v>
      </c>
      <c r="M42" s="29" t="s">
        <v>159</v>
      </c>
    </row>
    <row r="43" spans="1:13" x14ac:dyDescent="0.2">
      <c r="A43" s="55"/>
      <c r="B43" s="55"/>
      <c r="C43" s="55" t="s">
        <v>114</v>
      </c>
      <c r="D43" s="55">
        <v>2</v>
      </c>
      <c r="E43" s="55" t="s">
        <v>160</v>
      </c>
      <c r="F43" s="43" t="s">
        <v>14</v>
      </c>
      <c r="G43" s="55" t="s">
        <v>15</v>
      </c>
      <c r="H43" s="55" t="s">
        <v>15</v>
      </c>
      <c r="I43" s="55" t="s">
        <v>37</v>
      </c>
      <c r="J43" s="55" t="s">
        <v>15</v>
      </c>
      <c r="K43" s="55" t="s">
        <v>15</v>
      </c>
    </row>
    <row r="44" spans="1:13" x14ac:dyDescent="0.2">
      <c r="A44" s="55"/>
      <c r="B44" s="55"/>
      <c r="C44" s="55" t="s">
        <v>114</v>
      </c>
      <c r="D44" s="55">
        <v>2</v>
      </c>
      <c r="E44" s="55" t="s">
        <v>161</v>
      </c>
      <c r="F44" s="43" t="s">
        <v>14</v>
      </c>
      <c r="G44" s="55" t="s">
        <v>32</v>
      </c>
      <c r="H44" s="55" t="s">
        <v>32</v>
      </c>
      <c r="I44" s="55" t="s">
        <v>32</v>
      </c>
      <c r="J44" s="55" t="s">
        <v>32</v>
      </c>
      <c r="K44" s="55" t="s">
        <v>32</v>
      </c>
    </row>
    <row r="45" spans="1:13" x14ac:dyDescent="0.2">
      <c r="A45" s="55"/>
      <c r="B45" s="55"/>
      <c r="C45" s="55" t="s">
        <v>114</v>
      </c>
      <c r="D45" s="55">
        <v>2</v>
      </c>
      <c r="E45" s="55" t="s">
        <v>162</v>
      </c>
      <c r="F45" s="43" t="s">
        <v>14</v>
      </c>
      <c r="G45" s="55" t="s">
        <v>163</v>
      </c>
      <c r="H45" s="55" t="s">
        <v>163</v>
      </c>
      <c r="I45" s="55" t="s">
        <v>163</v>
      </c>
      <c r="J45" s="55" t="s">
        <v>163</v>
      </c>
      <c r="K45" s="55" t="s">
        <v>163</v>
      </c>
    </row>
    <row r="46" spans="1:13" x14ac:dyDescent="0.2">
      <c r="A46" s="55"/>
      <c r="B46" s="55"/>
      <c r="C46" s="55" t="s">
        <v>114</v>
      </c>
      <c r="D46" s="55">
        <v>2</v>
      </c>
      <c r="E46" s="55" t="s">
        <v>164</v>
      </c>
      <c r="F46" s="43" t="s">
        <v>14</v>
      </c>
      <c r="G46" s="55" t="s">
        <v>15</v>
      </c>
      <c r="H46" s="55" t="s">
        <v>15</v>
      </c>
      <c r="I46" s="55" t="s">
        <v>15</v>
      </c>
      <c r="J46" s="55" t="s">
        <v>15</v>
      </c>
      <c r="K46" s="55" t="s">
        <v>15</v>
      </c>
    </row>
    <row r="47" spans="1:13" x14ac:dyDescent="0.2">
      <c r="A47" s="55"/>
      <c r="B47" s="55"/>
      <c r="C47" s="55" t="s">
        <v>147</v>
      </c>
      <c r="D47" s="55">
        <v>2</v>
      </c>
      <c r="E47" s="55" t="s">
        <v>165</v>
      </c>
      <c r="F47" s="43" t="s">
        <v>14</v>
      </c>
      <c r="G47" s="55" t="s">
        <v>104</v>
      </c>
      <c r="H47" s="55" t="s">
        <v>104</v>
      </c>
      <c r="I47" s="55" t="s">
        <v>104</v>
      </c>
      <c r="J47" s="55" t="s">
        <v>166</v>
      </c>
      <c r="K47" s="55" t="s">
        <v>166</v>
      </c>
    </row>
    <row r="48" spans="1:13" x14ac:dyDescent="0.2">
      <c r="A48" s="55"/>
      <c r="B48" s="55"/>
      <c r="C48" s="55" t="s">
        <v>114</v>
      </c>
      <c r="D48" s="55">
        <v>2</v>
      </c>
      <c r="E48" s="55" t="s">
        <v>167</v>
      </c>
      <c r="F48" s="43" t="s">
        <v>14</v>
      </c>
      <c r="G48" s="55" t="s">
        <v>15</v>
      </c>
      <c r="H48" s="55" t="s">
        <v>15</v>
      </c>
      <c r="I48" s="55" t="s">
        <v>15</v>
      </c>
      <c r="J48" s="55" t="s">
        <v>15</v>
      </c>
      <c r="K48" s="55" t="s">
        <v>15</v>
      </c>
    </row>
    <row r="49" spans="1:11" x14ac:dyDescent="0.2">
      <c r="A49" s="55"/>
      <c r="B49" s="55"/>
      <c r="C49" s="55" t="s">
        <v>114</v>
      </c>
      <c r="D49" s="55">
        <v>2</v>
      </c>
      <c r="E49" s="55" t="s">
        <v>168</v>
      </c>
      <c r="F49" s="43" t="s">
        <v>14</v>
      </c>
      <c r="G49" s="55" t="s">
        <v>163</v>
      </c>
      <c r="H49" s="55" t="s">
        <v>163</v>
      </c>
      <c r="I49" s="55" t="s">
        <v>163</v>
      </c>
      <c r="J49" s="55" t="s">
        <v>163</v>
      </c>
      <c r="K49" s="55" t="s">
        <v>163</v>
      </c>
    </row>
    <row r="50" spans="1:11" x14ac:dyDescent="0.2">
      <c r="A50" s="55"/>
      <c r="B50" s="55"/>
      <c r="C50" s="55" t="s">
        <v>114</v>
      </c>
      <c r="D50" s="55">
        <v>2</v>
      </c>
      <c r="E50" s="55" t="s">
        <v>169</v>
      </c>
      <c r="F50" s="56" t="s">
        <v>14</v>
      </c>
      <c r="G50" s="55" t="s">
        <v>15</v>
      </c>
      <c r="H50" s="55" t="s">
        <v>15</v>
      </c>
      <c r="I50" s="55" t="s">
        <v>15</v>
      </c>
      <c r="J50" s="55" t="s">
        <v>15</v>
      </c>
      <c r="K50" s="55" t="s">
        <v>15</v>
      </c>
    </row>
    <row r="51" spans="1:11" x14ac:dyDescent="0.2">
      <c r="A51" s="55"/>
      <c r="B51" s="55"/>
      <c r="C51" s="55" t="s">
        <v>141</v>
      </c>
      <c r="D51" s="55">
        <v>2</v>
      </c>
      <c r="E51" s="55" t="s">
        <v>170</v>
      </c>
      <c r="F51" s="43" t="s">
        <v>14</v>
      </c>
      <c r="G51" s="55" t="s">
        <v>15</v>
      </c>
      <c r="H51" s="55" t="s">
        <v>15</v>
      </c>
      <c r="I51" s="55" t="s">
        <v>15</v>
      </c>
      <c r="J51" s="55" t="s">
        <v>15</v>
      </c>
      <c r="K51" s="55" t="s">
        <v>15</v>
      </c>
    </row>
    <row r="52" spans="1:11" x14ac:dyDescent="0.2">
      <c r="A52" s="55"/>
      <c r="B52" s="55"/>
      <c r="C52" s="55" t="s">
        <v>114</v>
      </c>
      <c r="D52" s="55">
        <v>2</v>
      </c>
      <c r="E52" s="55" t="s">
        <v>171</v>
      </c>
      <c r="F52" s="43" t="s">
        <v>14</v>
      </c>
      <c r="G52" s="55" t="s">
        <v>166</v>
      </c>
      <c r="H52" s="55" t="s">
        <v>166</v>
      </c>
      <c r="I52" s="55" t="s">
        <v>166</v>
      </c>
      <c r="J52" s="55" t="s">
        <v>166</v>
      </c>
      <c r="K52" s="55" t="s">
        <v>166</v>
      </c>
    </row>
    <row r="53" spans="1:11" x14ac:dyDescent="0.2">
      <c r="A53" s="55"/>
      <c r="B53" s="55"/>
      <c r="C53" s="55" t="s">
        <v>147</v>
      </c>
      <c r="D53" s="55">
        <v>2</v>
      </c>
      <c r="E53" s="55" t="s">
        <v>172</v>
      </c>
      <c r="F53" s="43" t="s">
        <v>44</v>
      </c>
      <c r="G53" s="55" t="s">
        <v>15</v>
      </c>
      <c r="H53" s="55" t="s">
        <v>15</v>
      </c>
      <c r="I53" s="55" t="s">
        <v>15</v>
      </c>
      <c r="J53" s="55" t="s">
        <v>15</v>
      </c>
      <c r="K53" s="55" t="s">
        <v>37</v>
      </c>
    </row>
    <row r="54" spans="1:11" x14ac:dyDescent="0.2">
      <c r="A54" s="55"/>
      <c r="B54" s="55"/>
      <c r="C54" s="55" t="s">
        <v>114</v>
      </c>
      <c r="D54" s="55">
        <v>2</v>
      </c>
      <c r="E54" s="55" t="s">
        <v>173</v>
      </c>
      <c r="F54" s="43" t="s">
        <v>14</v>
      </c>
      <c r="G54" s="55" t="s">
        <v>105</v>
      </c>
      <c r="H54" s="55" t="s">
        <v>105</v>
      </c>
      <c r="I54" s="55" t="s">
        <v>105</v>
      </c>
      <c r="J54" s="55" t="s">
        <v>105</v>
      </c>
      <c r="K54" s="55" t="s">
        <v>15</v>
      </c>
    </row>
    <row r="55" spans="1:11" x14ac:dyDescent="0.2">
      <c r="A55" s="55"/>
      <c r="B55" s="55"/>
      <c r="C55" s="55" t="s">
        <v>141</v>
      </c>
      <c r="D55" s="55">
        <v>2</v>
      </c>
      <c r="E55" s="55" t="s">
        <v>174</v>
      </c>
      <c r="F55" s="43" t="s">
        <v>14</v>
      </c>
      <c r="G55" s="55" t="s">
        <v>163</v>
      </c>
      <c r="H55" s="55" t="s">
        <v>163</v>
      </c>
      <c r="I55" s="55" t="s">
        <v>163</v>
      </c>
      <c r="J55" s="55" t="s">
        <v>163</v>
      </c>
      <c r="K55" s="55" t="s">
        <v>163</v>
      </c>
    </row>
    <row r="56" spans="1:11" x14ac:dyDescent="0.2">
      <c r="A56" s="55"/>
      <c r="B56" s="55"/>
      <c r="C56" s="55" t="s">
        <v>114</v>
      </c>
      <c r="D56" s="55">
        <v>2</v>
      </c>
      <c r="E56" s="55" t="s">
        <v>175</v>
      </c>
      <c r="F56" s="43" t="s">
        <v>14</v>
      </c>
      <c r="G56" s="55" t="s">
        <v>163</v>
      </c>
      <c r="H56" s="55" t="s">
        <v>105</v>
      </c>
      <c r="I56" s="55" t="s">
        <v>163</v>
      </c>
      <c r="J56" s="55" t="s">
        <v>163</v>
      </c>
      <c r="K56" s="55" t="s">
        <v>163</v>
      </c>
    </row>
    <row r="57" spans="1:11" x14ac:dyDescent="0.2">
      <c r="A57" s="55"/>
      <c r="B57" s="55"/>
      <c r="C57" s="55" t="s">
        <v>114</v>
      </c>
      <c r="D57" s="55">
        <v>2</v>
      </c>
      <c r="E57" s="55" t="s">
        <v>176</v>
      </c>
      <c r="F57" s="43" t="s">
        <v>14</v>
      </c>
      <c r="G57" s="55" t="s">
        <v>15</v>
      </c>
      <c r="H57" s="55" t="s">
        <v>15</v>
      </c>
      <c r="I57" s="55" t="s">
        <v>15</v>
      </c>
      <c r="J57" s="55" t="s">
        <v>15</v>
      </c>
      <c r="K57" s="55" t="s">
        <v>15</v>
      </c>
    </row>
    <row r="58" spans="1:11" x14ac:dyDescent="0.2">
      <c r="A58" s="55"/>
      <c r="B58" s="55"/>
      <c r="C58" s="55" t="s">
        <v>114</v>
      </c>
      <c r="D58" s="55">
        <v>2</v>
      </c>
      <c r="E58" s="55" t="s">
        <v>177</v>
      </c>
      <c r="F58" s="43" t="s">
        <v>14</v>
      </c>
      <c r="G58" s="55" t="s">
        <v>166</v>
      </c>
      <c r="H58" s="55" t="s">
        <v>32</v>
      </c>
      <c r="I58" s="55" t="s">
        <v>32</v>
      </c>
      <c r="J58" s="55" t="s">
        <v>32</v>
      </c>
      <c r="K58" s="55" t="s">
        <v>32</v>
      </c>
    </row>
    <row r="59" spans="1:11" x14ac:dyDescent="0.2">
      <c r="A59" s="55"/>
      <c r="B59" s="55"/>
      <c r="C59" s="55" t="s">
        <v>114</v>
      </c>
      <c r="D59" s="55">
        <v>2</v>
      </c>
      <c r="E59" s="55" t="s">
        <v>178</v>
      </c>
      <c r="F59" s="43" t="s">
        <v>14</v>
      </c>
      <c r="G59" s="55" t="s">
        <v>32</v>
      </c>
      <c r="H59" s="55" t="s">
        <v>32</v>
      </c>
      <c r="I59" s="55" t="s">
        <v>32</v>
      </c>
      <c r="J59" s="55" t="s">
        <v>32</v>
      </c>
      <c r="K59" s="55" t="s">
        <v>32</v>
      </c>
    </row>
    <row r="60" spans="1:11" x14ac:dyDescent="0.2">
      <c r="A60" s="55"/>
      <c r="B60" s="55"/>
      <c r="C60" s="55" t="s">
        <v>114</v>
      </c>
      <c r="D60" s="55">
        <v>2</v>
      </c>
      <c r="E60" s="55" t="s">
        <v>179</v>
      </c>
      <c r="F60" s="43" t="s">
        <v>14</v>
      </c>
      <c r="G60" s="55" t="s">
        <v>163</v>
      </c>
      <c r="H60" s="55" t="s">
        <v>163</v>
      </c>
      <c r="I60" s="55" t="s">
        <v>163</v>
      </c>
      <c r="J60" s="55" t="s">
        <v>163</v>
      </c>
      <c r="K60" s="55" t="s">
        <v>163</v>
      </c>
    </row>
    <row r="61" spans="1:11" x14ac:dyDescent="0.2">
      <c r="A61" s="55"/>
      <c r="B61" s="55"/>
      <c r="C61" s="55" t="s">
        <v>114</v>
      </c>
      <c r="D61" s="55">
        <v>1</v>
      </c>
      <c r="E61" s="55" t="s">
        <v>180</v>
      </c>
      <c r="F61" s="43" t="s">
        <v>14</v>
      </c>
      <c r="G61" s="55" t="s">
        <v>166</v>
      </c>
      <c r="H61" s="55" t="s">
        <v>166</v>
      </c>
      <c r="I61" s="55" t="s">
        <v>166</v>
      </c>
      <c r="J61" s="55" t="s">
        <v>166</v>
      </c>
      <c r="K61" s="55" t="s">
        <v>166</v>
      </c>
    </row>
    <row r="62" spans="1:11" x14ac:dyDescent="0.2">
      <c r="A62" s="55"/>
      <c r="B62" s="55"/>
      <c r="C62" s="55" t="s">
        <v>114</v>
      </c>
      <c r="D62" s="55">
        <v>1</v>
      </c>
      <c r="E62" s="55" t="s">
        <v>181</v>
      </c>
      <c r="F62" s="43" t="s">
        <v>14</v>
      </c>
      <c r="G62" s="55" t="s">
        <v>163</v>
      </c>
      <c r="H62" s="55" t="s">
        <v>163</v>
      </c>
      <c r="I62" s="55" t="s">
        <v>163</v>
      </c>
      <c r="J62" s="55" t="s">
        <v>163</v>
      </c>
      <c r="K62" s="55" t="s">
        <v>163</v>
      </c>
    </row>
    <row r="63" spans="1:11" x14ac:dyDescent="0.2">
      <c r="A63" s="55"/>
      <c r="B63" s="55"/>
      <c r="C63" s="55" t="s">
        <v>114</v>
      </c>
      <c r="D63" s="55">
        <v>1</v>
      </c>
      <c r="E63" s="55" t="s">
        <v>182</v>
      </c>
      <c r="F63" s="43" t="s">
        <v>14</v>
      </c>
      <c r="G63" s="55" t="s">
        <v>163</v>
      </c>
      <c r="H63" s="55" t="s">
        <v>163</v>
      </c>
      <c r="I63" s="55" t="s">
        <v>163</v>
      </c>
      <c r="J63" s="55" t="s">
        <v>163</v>
      </c>
      <c r="K63" s="55" t="s">
        <v>163</v>
      </c>
    </row>
    <row r="64" spans="1:11" x14ac:dyDescent="0.2">
      <c r="A64" s="55"/>
      <c r="B64" s="55"/>
      <c r="C64" s="55" t="s">
        <v>114</v>
      </c>
      <c r="D64" s="55">
        <v>1</v>
      </c>
      <c r="E64" s="55" t="s">
        <v>183</v>
      </c>
      <c r="F64" s="43" t="s">
        <v>14</v>
      </c>
      <c r="G64" s="55" t="s">
        <v>28</v>
      </c>
      <c r="H64" s="55" t="s">
        <v>28</v>
      </c>
      <c r="I64" s="55" t="s">
        <v>28</v>
      </c>
      <c r="J64" s="55" t="s">
        <v>28</v>
      </c>
      <c r="K64" s="55" t="s">
        <v>28</v>
      </c>
    </row>
    <row r="65" spans="1:11" x14ac:dyDescent="0.2">
      <c r="A65" s="55"/>
      <c r="B65" s="55"/>
      <c r="C65" s="55" t="s">
        <v>114</v>
      </c>
      <c r="D65" s="55">
        <v>1</v>
      </c>
      <c r="E65" s="55" t="s">
        <v>184</v>
      </c>
      <c r="F65" s="43" t="s">
        <v>14</v>
      </c>
      <c r="G65" s="55" t="s">
        <v>166</v>
      </c>
      <c r="H65" s="55" t="s">
        <v>166</v>
      </c>
      <c r="I65" s="55" t="s">
        <v>166</v>
      </c>
      <c r="J65" s="55" t="s">
        <v>166</v>
      </c>
      <c r="K65" s="55" t="s">
        <v>166</v>
      </c>
    </row>
    <row r="66" spans="1:11" x14ac:dyDescent="0.2">
      <c r="A66" s="55"/>
      <c r="B66" s="55"/>
      <c r="C66" s="55" t="s">
        <v>114</v>
      </c>
      <c r="D66" s="55">
        <v>1</v>
      </c>
      <c r="E66" s="55" t="s">
        <v>185</v>
      </c>
      <c r="F66" s="43" t="s">
        <v>14</v>
      </c>
      <c r="G66" s="55" t="s">
        <v>166</v>
      </c>
      <c r="H66" s="55" t="s">
        <v>166</v>
      </c>
      <c r="I66" s="55" t="s">
        <v>166</v>
      </c>
      <c r="J66" s="55" t="s">
        <v>166</v>
      </c>
      <c r="K66" s="55" t="s">
        <v>37</v>
      </c>
    </row>
    <row r="67" spans="1:11" x14ac:dyDescent="0.2">
      <c r="A67" s="55"/>
      <c r="B67" s="55"/>
      <c r="C67" s="55" t="s">
        <v>114</v>
      </c>
      <c r="D67" s="55">
        <v>1</v>
      </c>
      <c r="E67" s="55" t="s">
        <v>186</v>
      </c>
      <c r="F67" s="43" t="s">
        <v>14</v>
      </c>
      <c r="G67" s="55" t="s">
        <v>15</v>
      </c>
      <c r="H67" s="55" t="s">
        <v>15</v>
      </c>
      <c r="I67" s="55" t="s">
        <v>37</v>
      </c>
      <c r="J67" s="55" t="s">
        <v>15</v>
      </c>
      <c r="K67" s="55" t="s">
        <v>15</v>
      </c>
    </row>
    <row r="68" spans="1:11" x14ac:dyDescent="0.2">
      <c r="A68" s="55"/>
      <c r="B68" s="55"/>
      <c r="C68" s="55" t="s">
        <v>114</v>
      </c>
      <c r="D68" s="55">
        <v>1</v>
      </c>
      <c r="E68" s="55" t="s">
        <v>187</v>
      </c>
      <c r="F68" s="43" t="s">
        <v>14</v>
      </c>
      <c r="G68" s="55" t="s">
        <v>163</v>
      </c>
      <c r="H68" s="55" t="s">
        <v>163</v>
      </c>
      <c r="I68" s="55" t="s">
        <v>163</v>
      </c>
      <c r="J68" s="55" t="s">
        <v>163</v>
      </c>
      <c r="K68" s="55" t="s">
        <v>163</v>
      </c>
    </row>
    <row r="69" spans="1:11" x14ac:dyDescent="0.2">
      <c r="A69" s="55"/>
      <c r="B69" s="55"/>
      <c r="C69" s="55" t="s">
        <v>114</v>
      </c>
      <c r="D69" s="55">
        <v>1</v>
      </c>
      <c r="E69" s="55" t="s">
        <v>188</v>
      </c>
      <c r="F69" s="43" t="s">
        <v>14</v>
      </c>
      <c r="G69" s="55" t="s">
        <v>163</v>
      </c>
      <c r="H69" s="55" t="s">
        <v>163</v>
      </c>
      <c r="I69" s="55" t="s">
        <v>163</v>
      </c>
      <c r="J69" s="55" t="s">
        <v>163</v>
      </c>
      <c r="K69" s="55" t="s">
        <v>163</v>
      </c>
    </row>
    <row r="70" spans="1:11" x14ac:dyDescent="0.2">
      <c r="A70" s="55"/>
      <c r="B70" s="55"/>
      <c r="C70" s="55" t="s">
        <v>114</v>
      </c>
      <c r="D70" s="55">
        <v>1</v>
      </c>
      <c r="E70" s="55" t="s">
        <v>189</v>
      </c>
      <c r="F70" s="43" t="s">
        <v>14</v>
      </c>
      <c r="G70" s="55" t="s">
        <v>166</v>
      </c>
      <c r="H70" s="55" t="s">
        <v>166</v>
      </c>
      <c r="I70" s="55" t="s">
        <v>166</v>
      </c>
      <c r="J70" s="55" t="s">
        <v>166</v>
      </c>
      <c r="K70" s="55" t="s">
        <v>166</v>
      </c>
    </row>
    <row r="71" spans="1:11" x14ac:dyDescent="0.2">
      <c r="A71" s="55"/>
      <c r="B71" s="55"/>
      <c r="C71" s="55" t="s">
        <v>114</v>
      </c>
      <c r="D71" s="55">
        <v>1</v>
      </c>
      <c r="E71" s="55" t="s">
        <v>190</v>
      </c>
      <c r="F71" s="43" t="s">
        <v>14</v>
      </c>
      <c r="G71" s="55" t="s">
        <v>166</v>
      </c>
      <c r="H71" s="55" t="s">
        <v>166</v>
      </c>
      <c r="I71" s="55" t="s">
        <v>166</v>
      </c>
      <c r="J71" s="55" t="s">
        <v>28</v>
      </c>
      <c r="K71" s="55" t="s">
        <v>28</v>
      </c>
    </row>
    <row r="72" spans="1:11" x14ac:dyDescent="0.2">
      <c r="A72" s="55"/>
      <c r="B72" s="55"/>
      <c r="C72" s="55" t="s">
        <v>114</v>
      </c>
      <c r="D72" s="55">
        <v>1</v>
      </c>
      <c r="E72" s="55" t="s">
        <v>191</v>
      </c>
      <c r="F72" s="43" t="s">
        <v>14</v>
      </c>
      <c r="G72" s="55" t="s">
        <v>166</v>
      </c>
      <c r="H72" s="55" t="s">
        <v>166</v>
      </c>
      <c r="I72" s="55" t="s">
        <v>166</v>
      </c>
      <c r="J72" s="55" t="s">
        <v>166</v>
      </c>
      <c r="K72" s="55" t="s">
        <v>166</v>
      </c>
    </row>
    <row r="73" spans="1:11" x14ac:dyDescent="0.2">
      <c r="A73" s="55"/>
      <c r="B73" s="55"/>
      <c r="C73" s="55" t="s">
        <v>114</v>
      </c>
      <c r="D73" s="55">
        <v>1</v>
      </c>
      <c r="E73" s="55" t="s">
        <v>192</v>
      </c>
      <c r="F73" s="43" t="s">
        <v>14</v>
      </c>
      <c r="G73" s="55" t="s">
        <v>163</v>
      </c>
      <c r="H73" s="55" t="s">
        <v>37</v>
      </c>
      <c r="I73" s="55" t="s">
        <v>163</v>
      </c>
      <c r="J73" s="55" t="s">
        <v>163</v>
      </c>
      <c r="K73" s="55" t="s">
        <v>163</v>
      </c>
    </row>
    <row r="74" spans="1:11" x14ac:dyDescent="0.2">
      <c r="A74" s="55"/>
      <c r="B74" s="55"/>
      <c r="C74" s="55" t="s">
        <v>114</v>
      </c>
      <c r="D74" s="55">
        <v>1</v>
      </c>
      <c r="E74" s="55" t="s">
        <v>193</v>
      </c>
      <c r="F74" s="43" t="s">
        <v>14</v>
      </c>
      <c r="G74" s="55" t="s">
        <v>166</v>
      </c>
      <c r="H74" s="55" t="s">
        <v>194</v>
      </c>
      <c r="I74" s="55" t="s">
        <v>194</v>
      </c>
      <c r="J74" s="55" t="s">
        <v>194</v>
      </c>
      <c r="K74" s="55" t="s">
        <v>194</v>
      </c>
    </row>
    <row r="75" spans="1:11" x14ac:dyDescent="0.2">
      <c r="A75" s="55"/>
      <c r="B75" s="55"/>
      <c r="C75" s="55" t="s">
        <v>114</v>
      </c>
      <c r="D75" s="55">
        <v>1</v>
      </c>
      <c r="E75" s="55" t="s">
        <v>195</v>
      </c>
      <c r="F75" s="43" t="s">
        <v>14</v>
      </c>
      <c r="G75" s="55" t="s">
        <v>166</v>
      </c>
      <c r="H75" s="55" t="s">
        <v>166</v>
      </c>
      <c r="I75" s="55" t="s">
        <v>166</v>
      </c>
      <c r="J75" s="55" t="s">
        <v>166</v>
      </c>
      <c r="K75" s="55" t="s">
        <v>166</v>
      </c>
    </row>
    <row r="76" spans="1:11" x14ac:dyDescent="0.2">
      <c r="A76" s="55"/>
      <c r="B76" s="55"/>
      <c r="C76" s="55" t="s">
        <v>114</v>
      </c>
      <c r="D76" s="55">
        <v>1</v>
      </c>
      <c r="E76" s="55" t="s">
        <v>196</v>
      </c>
      <c r="F76" s="43" t="s">
        <v>14</v>
      </c>
      <c r="G76" s="55" t="s">
        <v>163</v>
      </c>
      <c r="H76" s="55" t="s">
        <v>163</v>
      </c>
      <c r="I76" s="55" t="s">
        <v>163</v>
      </c>
      <c r="J76" s="55" t="s">
        <v>163</v>
      </c>
      <c r="K76" s="55" t="s">
        <v>163</v>
      </c>
    </row>
    <row r="77" spans="1:11" x14ac:dyDescent="0.2">
      <c r="A77" s="55"/>
      <c r="B77" s="55"/>
      <c r="C77" s="55" t="s">
        <v>114</v>
      </c>
      <c r="D77" s="55">
        <v>1</v>
      </c>
      <c r="E77" s="55" t="s">
        <v>197</v>
      </c>
      <c r="F77" s="43" t="s">
        <v>14</v>
      </c>
      <c r="G77" s="55" t="s">
        <v>166</v>
      </c>
      <c r="H77" s="55" t="s">
        <v>37</v>
      </c>
      <c r="I77" s="55" t="s">
        <v>166</v>
      </c>
      <c r="J77" s="55" t="s">
        <v>166</v>
      </c>
      <c r="K77" s="55" t="s">
        <v>166</v>
      </c>
    </row>
    <row r="78" spans="1:11" x14ac:dyDescent="0.2">
      <c r="A78" s="55"/>
      <c r="B78" s="55"/>
      <c r="C78" s="55" t="s">
        <v>114</v>
      </c>
      <c r="D78" s="55">
        <v>1</v>
      </c>
      <c r="E78" s="55" t="s">
        <v>198</v>
      </c>
      <c r="F78" s="43" t="s">
        <v>14</v>
      </c>
      <c r="G78" s="55" t="s">
        <v>166</v>
      </c>
      <c r="H78" s="55" t="s">
        <v>166</v>
      </c>
      <c r="I78" s="55" t="s">
        <v>166</v>
      </c>
      <c r="J78" s="55" t="s">
        <v>166</v>
      </c>
      <c r="K78" s="55" t="s">
        <v>166</v>
      </c>
    </row>
    <row r="79" spans="1:11" x14ac:dyDescent="0.2">
      <c r="A79" s="55"/>
      <c r="B79" s="55"/>
      <c r="C79" s="55" t="s">
        <v>114</v>
      </c>
      <c r="D79" s="55">
        <v>1</v>
      </c>
      <c r="E79" s="55" t="s">
        <v>199</v>
      </c>
      <c r="F79" s="43" t="s">
        <v>14</v>
      </c>
      <c r="G79" s="55" t="s">
        <v>15</v>
      </c>
      <c r="H79" s="55" t="s">
        <v>15</v>
      </c>
      <c r="I79" s="55" t="s">
        <v>15</v>
      </c>
      <c r="J79" s="55" t="s">
        <v>15</v>
      </c>
      <c r="K79" s="55" t="s">
        <v>15</v>
      </c>
    </row>
    <row r="80" spans="1:11" x14ac:dyDescent="0.2">
      <c r="A80" s="55"/>
      <c r="B80" s="55"/>
      <c r="C80" s="55" t="s">
        <v>114</v>
      </c>
      <c r="D80" s="55">
        <v>1</v>
      </c>
      <c r="E80" s="55" t="s">
        <v>200</v>
      </c>
      <c r="F80" s="43" t="s">
        <v>14</v>
      </c>
      <c r="G80" s="55" t="s">
        <v>163</v>
      </c>
      <c r="H80" s="55" t="s">
        <v>163</v>
      </c>
      <c r="I80" s="55" t="s">
        <v>32</v>
      </c>
      <c r="J80" s="55" t="s">
        <v>163</v>
      </c>
      <c r="K80" s="55" t="s">
        <v>163</v>
      </c>
    </row>
    <row r="81" spans="1:11" x14ac:dyDescent="0.2">
      <c r="A81" s="55"/>
      <c r="B81" s="55"/>
      <c r="C81" s="55" t="s">
        <v>114</v>
      </c>
      <c r="D81" s="55">
        <v>1</v>
      </c>
      <c r="E81" s="55" t="s">
        <v>201</v>
      </c>
      <c r="F81" s="43" t="s">
        <v>14</v>
      </c>
      <c r="G81" s="55" t="s">
        <v>166</v>
      </c>
      <c r="H81" s="55" t="s">
        <v>166</v>
      </c>
      <c r="I81" s="55" t="s">
        <v>166</v>
      </c>
      <c r="J81" s="55" t="s">
        <v>166</v>
      </c>
      <c r="K81" s="55" t="s">
        <v>166</v>
      </c>
    </row>
    <row r="82" spans="1:11" x14ac:dyDescent="0.2">
      <c r="A82" s="55"/>
      <c r="B82" s="55"/>
      <c r="C82" s="55" t="s">
        <v>147</v>
      </c>
      <c r="D82" s="55">
        <v>1</v>
      </c>
      <c r="E82" s="55" t="s">
        <v>202</v>
      </c>
      <c r="F82" s="43" t="s">
        <v>14</v>
      </c>
      <c r="G82" s="55" t="s">
        <v>37</v>
      </c>
      <c r="H82" s="55" t="s">
        <v>166</v>
      </c>
      <c r="I82" s="55" t="s">
        <v>166</v>
      </c>
      <c r="J82" s="55" t="s">
        <v>166</v>
      </c>
      <c r="K82" s="55" t="s">
        <v>37</v>
      </c>
    </row>
    <row r="83" spans="1:11" x14ac:dyDescent="0.2">
      <c r="A83" s="55"/>
      <c r="B83" s="55"/>
      <c r="C83" s="55" t="s">
        <v>114</v>
      </c>
      <c r="D83" s="55">
        <v>1</v>
      </c>
      <c r="E83" s="55" t="s">
        <v>203</v>
      </c>
      <c r="F83" s="43" t="s">
        <v>14</v>
      </c>
      <c r="G83" s="55" t="s">
        <v>32</v>
      </c>
      <c r="H83" s="55" t="s">
        <v>32</v>
      </c>
      <c r="I83" s="55" t="s">
        <v>32</v>
      </c>
      <c r="J83" s="55" t="s">
        <v>32</v>
      </c>
      <c r="K83" s="55" t="s">
        <v>32</v>
      </c>
    </row>
    <row r="84" spans="1:11" x14ac:dyDescent="0.2">
      <c r="A84" s="55"/>
      <c r="B84" s="55"/>
      <c r="C84" s="55" t="s">
        <v>114</v>
      </c>
      <c r="D84" s="55">
        <v>1</v>
      </c>
      <c r="E84" s="55" t="s">
        <v>204</v>
      </c>
      <c r="F84" s="43" t="s">
        <v>14</v>
      </c>
      <c r="G84" s="55" t="s">
        <v>28</v>
      </c>
      <c r="H84" s="55" t="s">
        <v>15</v>
      </c>
      <c r="I84" s="55" t="s">
        <v>28</v>
      </c>
      <c r="J84" s="55" t="s">
        <v>166</v>
      </c>
      <c r="K84" s="55" t="s">
        <v>28</v>
      </c>
    </row>
    <row r="85" spans="1:11" x14ac:dyDescent="0.2">
      <c r="A85" s="55"/>
      <c r="B85" s="55"/>
      <c r="C85" s="55" t="s">
        <v>114</v>
      </c>
      <c r="D85" s="55">
        <v>1</v>
      </c>
      <c r="E85" s="55" t="s">
        <v>205</v>
      </c>
      <c r="F85" s="43" t="s">
        <v>14</v>
      </c>
      <c r="G85" s="55" t="s">
        <v>194</v>
      </c>
      <c r="H85" s="55" t="s">
        <v>194</v>
      </c>
      <c r="I85" s="55" t="s">
        <v>194</v>
      </c>
      <c r="J85" s="55" t="s">
        <v>194</v>
      </c>
      <c r="K85" s="55" t="s">
        <v>194</v>
      </c>
    </row>
    <row r="86" spans="1:11" x14ac:dyDescent="0.2">
      <c r="A86" s="55"/>
      <c r="B86" s="55"/>
      <c r="C86" s="55" t="s">
        <v>114</v>
      </c>
      <c r="D86" s="55">
        <v>1</v>
      </c>
      <c r="E86" s="55" t="s">
        <v>206</v>
      </c>
      <c r="F86" s="43" t="s">
        <v>14</v>
      </c>
      <c r="G86" s="55" t="s">
        <v>166</v>
      </c>
      <c r="H86" s="55" t="s">
        <v>166</v>
      </c>
      <c r="I86" s="55" t="s">
        <v>166</v>
      </c>
      <c r="J86" s="55" t="s">
        <v>166</v>
      </c>
      <c r="K86" s="55" t="s">
        <v>166</v>
      </c>
    </row>
    <row r="87" spans="1:11" x14ac:dyDescent="0.2">
      <c r="A87" s="55"/>
      <c r="B87" s="55"/>
      <c r="C87" s="55" t="s">
        <v>114</v>
      </c>
      <c r="D87" s="55">
        <v>1</v>
      </c>
      <c r="E87" s="55" t="s">
        <v>207</v>
      </c>
      <c r="F87" s="43" t="s">
        <v>14</v>
      </c>
      <c r="G87" s="55" t="s">
        <v>32</v>
      </c>
      <c r="H87" s="55" t="s">
        <v>32</v>
      </c>
      <c r="I87" s="55" t="s">
        <v>32</v>
      </c>
      <c r="J87" s="55" t="s">
        <v>32</v>
      </c>
      <c r="K87" s="55" t="s">
        <v>32</v>
      </c>
    </row>
    <row r="88" spans="1:11" x14ac:dyDescent="0.2">
      <c r="A88" s="55"/>
      <c r="B88" s="55"/>
      <c r="C88" s="55" t="s">
        <v>114</v>
      </c>
      <c r="D88" s="55">
        <v>1</v>
      </c>
      <c r="E88" s="55" t="s">
        <v>208</v>
      </c>
      <c r="F88" s="43" t="s">
        <v>14</v>
      </c>
      <c r="G88" s="55" t="s">
        <v>166</v>
      </c>
      <c r="H88" s="55" t="s">
        <v>166</v>
      </c>
      <c r="I88" s="55" t="s">
        <v>166</v>
      </c>
      <c r="J88" s="55" t="s">
        <v>166</v>
      </c>
      <c r="K88" s="55" t="s">
        <v>166</v>
      </c>
    </row>
    <row r="89" spans="1:11" x14ac:dyDescent="0.2">
      <c r="A89" s="55"/>
      <c r="B89" s="55"/>
      <c r="C89" s="55" t="s">
        <v>114</v>
      </c>
      <c r="D89" s="55">
        <v>1</v>
      </c>
      <c r="E89" s="55" t="s">
        <v>209</v>
      </c>
      <c r="F89" s="43" t="s">
        <v>14</v>
      </c>
      <c r="G89" s="55" t="s">
        <v>15</v>
      </c>
      <c r="H89" s="55" t="s">
        <v>15</v>
      </c>
      <c r="I89" s="55" t="s">
        <v>15</v>
      </c>
      <c r="J89" s="55" t="s">
        <v>15</v>
      </c>
      <c r="K89" s="55" t="s">
        <v>15</v>
      </c>
    </row>
    <row r="90" spans="1:11" x14ac:dyDescent="0.2">
      <c r="A90" s="55"/>
      <c r="B90" s="55"/>
      <c r="C90" s="55" t="s">
        <v>114</v>
      </c>
      <c r="D90" s="55">
        <v>1</v>
      </c>
      <c r="E90" s="55" t="s">
        <v>210</v>
      </c>
      <c r="F90" s="43" t="s">
        <v>14</v>
      </c>
      <c r="G90" s="55" t="s">
        <v>163</v>
      </c>
      <c r="H90" s="55" t="s">
        <v>163</v>
      </c>
      <c r="I90" s="55" t="s">
        <v>163</v>
      </c>
      <c r="J90" s="55" t="s">
        <v>163</v>
      </c>
      <c r="K90" s="55" t="s">
        <v>163</v>
      </c>
    </row>
    <row r="91" spans="1:11" x14ac:dyDescent="0.2">
      <c r="A91" s="55"/>
      <c r="B91" s="55"/>
      <c r="C91" s="55" t="s">
        <v>114</v>
      </c>
      <c r="D91" s="55">
        <v>1</v>
      </c>
      <c r="E91" s="55" t="s">
        <v>211</v>
      </c>
      <c r="F91" s="43" t="s">
        <v>14</v>
      </c>
      <c r="G91" s="55" t="s">
        <v>145</v>
      </c>
      <c r="H91" s="55" t="s">
        <v>15</v>
      </c>
      <c r="I91" s="55" t="s">
        <v>166</v>
      </c>
      <c r="J91" s="55" t="s">
        <v>166</v>
      </c>
      <c r="K91" s="55" t="s">
        <v>15</v>
      </c>
    </row>
    <row r="92" spans="1:11" x14ac:dyDescent="0.2">
      <c r="A92" s="55"/>
      <c r="B92" s="55"/>
      <c r="C92" s="55" t="s">
        <v>114</v>
      </c>
      <c r="D92" s="55">
        <v>1</v>
      </c>
      <c r="E92" s="55" t="s">
        <v>212</v>
      </c>
      <c r="F92" s="43" t="s">
        <v>14</v>
      </c>
      <c r="G92" s="55" t="s">
        <v>37</v>
      </c>
      <c r="H92" s="55" t="s">
        <v>163</v>
      </c>
      <c r="I92" s="55" t="s">
        <v>15</v>
      </c>
      <c r="J92" s="55" t="s">
        <v>163</v>
      </c>
      <c r="K92" s="55" t="s">
        <v>163</v>
      </c>
    </row>
    <row r="93" spans="1:11" x14ac:dyDescent="0.2">
      <c r="A93" s="55"/>
      <c r="B93" s="55"/>
      <c r="C93" s="55" t="s">
        <v>114</v>
      </c>
      <c r="D93" s="55">
        <v>1</v>
      </c>
      <c r="E93" s="55" t="s">
        <v>213</v>
      </c>
      <c r="F93" s="43" t="s">
        <v>14</v>
      </c>
      <c r="G93" s="55" t="s">
        <v>166</v>
      </c>
      <c r="H93" s="55" t="s">
        <v>166</v>
      </c>
      <c r="I93" s="55" t="s">
        <v>166</v>
      </c>
      <c r="J93" s="55" t="s">
        <v>166</v>
      </c>
      <c r="K93" s="55" t="s">
        <v>166</v>
      </c>
    </row>
    <row r="94" spans="1:11" x14ac:dyDescent="0.2">
      <c r="A94" s="55"/>
      <c r="B94" s="55"/>
      <c r="C94" s="55" t="s">
        <v>114</v>
      </c>
      <c r="D94" s="55">
        <v>1</v>
      </c>
      <c r="E94" s="55" t="s">
        <v>214</v>
      </c>
      <c r="F94" s="43" t="s">
        <v>14</v>
      </c>
      <c r="G94" s="55" t="s">
        <v>166</v>
      </c>
      <c r="H94" s="55" t="s">
        <v>166</v>
      </c>
      <c r="I94" s="55" t="s">
        <v>166</v>
      </c>
      <c r="J94" s="55" t="s">
        <v>166</v>
      </c>
      <c r="K94" s="55" t="s">
        <v>166</v>
      </c>
    </row>
    <row r="95" spans="1:11" x14ac:dyDescent="0.2">
      <c r="A95" s="55"/>
      <c r="B95" s="55"/>
      <c r="C95" s="55" t="s">
        <v>114</v>
      </c>
      <c r="D95" s="55">
        <v>1</v>
      </c>
      <c r="E95" s="55" t="s">
        <v>215</v>
      </c>
      <c r="F95" s="43" t="s">
        <v>14</v>
      </c>
      <c r="G95" s="55" t="s">
        <v>15</v>
      </c>
      <c r="H95" s="55" t="s">
        <v>28</v>
      </c>
      <c r="I95" s="55" t="s">
        <v>15</v>
      </c>
      <c r="J95" s="55" t="s">
        <v>28</v>
      </c>
      <c r="K95" s="55" t="s">
        <v>166</v>
      </c>
    </row>
    <row r="96" spans="1:11" x14ac:dyDescent="0.2">
      <c r="A96" s="55"/>
      <c r="B96" s="55"/>
      <c r="C96" s="55" t="s">
        <v>114</v>
      </c>
      <c r="D96" s="55">
        <v>1</v>
      </c>
      <c r="E96" s="55" t="s">
        <v>216</v>
      </c>
      <c r="F96" s="43" t="s">
        <v>14</v>
      </c>
      <c r="G96" s="55" t="s">
        <v>163</v>
      </c>
      <c r="H96" s="55" t="s">
        <v>163</v>
      </c>
      <c r="I96" s="55" t="s">
        <v>163</v>
      </c>
      <c r="J96" s="55" t="s">
        <v>163</v>
      </c>
      <c r="K96" s="55" t="s">
        <v>163</v>
      </c>
    </row>
    <row r="97" spans="1:11" x14ac:dyDescent="0.2">
      <c r="A97" s="55"/>
      <c r="B97" s="55"/>
      <c r="C97" s="55" t="s">
        <v>114</v>
      </c>
      <c r="D97" s="55">
        <v>1</v>
      </c>
      <c r="E97" s="55" t="s">
        <v>217</v>
      </c>
      <c r="F97" s="43" t="s">
        <v>14</v>
      </c>
      <c r="G97" s="55" t="s">
        <v>15</v>
      </c>
      <c r="H97" s="55" t="s">
        <v>37</v>
      </c>
      <c r="I97" s="55" t="s">
        <v>15</v>
      </c>
      <c r="J97" s="55" t="s">
        <v>37</v>
      </c>
      <c r="K97" s="55" t="s">
        <v>37</v>
      </c>
    </row>
    <row r="98" spans="1:11" x14ac:dyDescent="0.2">
      <c r="A98" s="55"/>
      <c r="B98" s="55"/>
      <c r="C98" s="55" t="s">
        <v>114</v>
      </c>
      <c r="D98" s="55">
        <v>1</v>
      </c>
      <c r="E98" s="55" t="s">
        <v>218</v>
      </c>
      <c r="F98" s="43" t="s">
        <v>14</v>
      </c>
      <c r="G98" s="55" t="s">
        <v>166</v>
      </c>
      <c r="H98" s="55" t="s">
        <v>166</v>
      </c>
      <c r="I98" s="55" t="s">
        <v>166</v>
      </c>
      <c r="J98" s="55" t="s">
        <v>166</v>
      </c>
      <c r="K98" s="55" t="s">
        <v>166</v>
      </c>
    </row>
    <row r="99" spans="1:11" x14ac:dyDescent="0.2">
      <c r="A99" s="55"/>
      <c r="B99" s="55"/>
      <c r="C99" s="55" t="s">
        <v>114</v>
      </c>
      <c r="D99" s="55">
        <v>1</v>
      </c>
      <c r="E99" s="55" t="s">
        <v>219</v>
      </c>
      <c r="F99" s="43" t="s">
        <v>14</v>
      </c>
      <c r="G99" s="55" t="s">
        <v>15</v>
      </c>
      <c r="H99" s="55" t="s">
        <v>15</v>
      </c>
      <c r="I99" s="55" t="s">
        <v>15</v>
      </c>
      <c r="J99" s="55" t="s">
        <v>15</v>
      </c>
      <c r="K99" s="55" t="s">
        <v>15</v>
      </c>
    </row>
    <row r="100" spans="1:11" x14ac:dyDescent="0.2">
      <c r="A100" s="55"/>
      <c r="B100" s="55"/>
      <c r="C100" s="55" t="s">
        <v>114</v>
      </c>
      <c r="D100" s="55">
        <v>1</v>
      </c>
      <c r="E100" s="55" t="s">
        <v>220</v>
      </c>
      <c r="F100" s="43" t="s">
        <v>14</v>
      </c>
      <c r="G100" s="55" t="s">
        <v>166</v>
      </c>
      <c r="H100" s="55" t="s">
        <v>166</v>
      </c>
      <c r="I100" s="55" t="s">
        <v>166</v>
      </c>
      <c r="J100" s="55" t="s">
        <v>15</v>
      </c>
      <c r="K100" s="55" t="s">
        <v>166</v>
      </c>
    </row>
    <row r="101" spans="1:11" x14ac:dyDescent="0.2">
      <c r="A101" s="55"/>
      <c r="B101" s="55"/>
      <c r="C101" s="55" t="s">
        <v>114</v>
      </c>
      <c r="D101" s="55">
        <v>1</v>
      </c>
      <c r="E101" s="55" t="s">
        <v>221</v>
      </c>
      <c r="F101" s="43" t="s">
        <v>14</v>
      </c>
      <c r="G101" s="55" t="s">
        <v>15</v>
      </c>
      <c r="H101" s="55" t="s">
        <v>166</v>
      </c>
      <c r="I101" s="55" t="s">
        <v>166</v>
      </c>
      <c r="J101" s="55" t="s">
        <v>15</v>
      </c>
      <c r="K101" s="55" t="s">
        <v>37</v>
      </c>
    </row>
    <row r="102" spans="1:11" x14ac:dyDescent="0.2">
      <c r="A102" s="55"/>
      <c r="B102" s="55"/>
      <c r="C102" s="55" t="s">
        <v>114</v>
      </c>
      <c r="D102" s="55">
        <v>1</v>
      </c>
      <c r="E102" s="55" t="s">
        <v>222</v>
      </c>
      <c r="F102" s="43" t="s">
        <v>14</v>
      </c>
      <c r="G102" s="55" t="s">
        <v>15</v>
      </c>
      <c r="H102" s="55" t="s">
        <v>15</v>
      </c>
      <c r="I102" s="55" t="s">
        <v>15</v>
      </c>
      <c r="J102" s="55" t="s">
        <v>15</v>
      </c>
      <c r="K102" s="55" t="s">
        <v>15</v>
      </c>
    </row>
    <row r="103" spans="1:11" x14ac:dyDescent="0.2">
      <c r="A103" s="55"/>
      <c r="B103" s="55"/>
      <c r="C103" s="55" t="s">
        <v>114</v>
      </c>
      <c r="D103" s="55">
        <v>1</v>
      </c>
      <c r="E103" s="55" t="s">
        <v>223</v>
      </c>
      <c r="F103" s="43" t="s">
        <v>14</v>
      </c>
      <c r="G103" s="55" t="s">
        <v>166</v>
      </c>
      <c r="H103" s="55" t="s">
        <v>166</v>
      </c>
      <c r="I103" s="55" t="s">
        <v>166</v>
      </c>
      <c r="J103" s="55" t="s">
        <v>166</v>
      </c>
      <c r="K103" s="55" t="s">
        <v>166</v>
      </c>
    </row>
    <row r="104" spans="1:11" x14ac:dyDescent="0.2">
      <c r="A104" s="55"/>
      <c r="B104" s="55"/>
      <c r="C104" s="55" t="s">
        <v>114</v>
      </c>
      <c r="D104" s="55">
        <v>1</v>
      </c>
      <c r="E104" s="55" t="s">
        <v>224</v>
      </c>
      <c r="F104" s="43" t="s">
        <v>14</v>
      </c>
      <c r="G104" s="55" t="s">
        <v>15</v>
      </c>
      <c r="H104" s="55" t="s">
        <v>15</v>
      </c>
      <c r="I104" s="55" t="s">
        <v>15</v>
      </c>
      <c r="J104" s="55" t="s">
        <v>15</v>
      </c>
      <c r="K104" s="55" t="s">
        <v>15</v>
      </c>
    </row>
    <row r="105" spans="1:11" x14ac:dyDescent="0.2">
      <c r="A105" s="55"/>
      <c r="B105" s="55"/>
      <c r="C105" s="55" t="s">
        <v>114</v>
      </c>
      <c r="D105" s="55">
        <v>1</v>
      </c>
      <c r="E105" s="55" t="s">
        <v>225</v>
      </c>
      <c r="F105" s="43" t="s">
        <v>14</v>
      </c>
      <c r="G105" s="55" t="s">
        <v>163</v>
      </c>
      <c r="H105" s="55" t="s">
        <v>166</v>
      </c>
      <c r="I105" s="55" t="s">
        <v>37</v>
      </c>
      <c r="J105" s="55" t="s">
        <v>105</v>
      </c>
      <c r="K105" s="55" t="s">
        <v>105</v>
      </c>
    </row>
    <row r="106" spans="1:11" x14ac:dyDescent="0.2">
      <c r="A106" s="55"/>
      <c r="B106" s="55"/>
      <c r="C106" s="55" t="s">
        <v>114</v>
      </c>
      <c r="D106" s="55">
        <v>1</v>
      </c>
      <c r="E106" s="55" t="s">
        <v>226</v>
      </c>
      <c r="F106" s="43" t="s">
        <v>14</v>
      </c>
      <c r="G106" s="55" t="s">
        <v>163</v>
      </c>
      <c r="H106" s="55" t="s">
        <v>163</v>
      </c>
      <c r="I106" s="55" t="s">
        <v>166</v>
      </c>
      <c r="J106" s="55" t="s">
        <v>163</v>
      </c>
      <c r="K106" s="55" t="s">
        <v>32</v>
      </c>
    </row>
    <row r="107" spans="1:11" x14ac:dyDescent="0.2">
      <c r="A107" s="55"/>
      <c r="B107" s="55"/>
      <c r="C107" s="55" t="s">
        <v>114</v>
      </c>
      <c r="D107" s="55">
        <v>1</v>
      </c>
      <c r="E107" s="55" t="s">
        <v>227</v>
      </c>
      <c r="F107" s="43" t="s">
        <v>14</v>
      </c>
      <c r="G107" s="55" t="s">
        <v>194</v>
      </c>
      <c r="H107" s="55" t="s">
        <v>194</v>
      </c>
      <c r="I107" s="55" t="s">
        <v>194</v>
      </c>
      <c r="J107" s="55" t="s">
        <v>194</v>
      </c>
      <c r="K107" s="55" t="s">
        <v>194</v>
      </c>
    </row>
    <row r="108" spans="1:11" x14ac:dyDescent="0.2">
      <c r="A108" s="55"/>
      <c r="B108" s="55"/>
      <c r="C108" s="55" t="s">
        <v>114</v>
      </c>
      <c r="D108" s="55">
        <v>1</v>
      </c>
      <c r="E108" s="55" t="s">
        <v>228</v>
      </c>
      <c r="F108" s="43" t="s">
        <v>14</v>
      </c>
      <c r="G108" s="55" t="s">
        <v>32</v>
      </c>
      <c r="H108" s="55" t="s">
        <v>32</v>
      </c>
      <c r="I108" s="55" t="s">
        <v>32</v>
      </c>
      <c r="J108" s="55" t="s">
        <v>32</v>
      </c>
      <c r="K108" s="55" t="s">
        <v>32</v>
      </c>
    </row>
    <row r="109" spans="1:11" x14ac:dyDescent="0.2">
      <c r="A109" s="55"/>
      <c r="B109" s="55"/>
      <c r="C109" s="55" t="s">
        <v>114</v>
      </c>
      <c r="D109" s="55">
        <v>1</v>
      </c>
      <c r="E109" s="55" t="s">
        <v>229</v>
      </c>
      <c r="F109" s="43" t="s">
        <v>14</v>
      </c>
      <c r="G109" s="55" t="s">
        <v>166</v>
      </c>
      <c r="H109" s="55" t="s">
        <v>166</v>
      </c>
      <c r="I109" s="55" t="s">
        <v>166</v>
      </c>
      <c r="J109" s="55" t="s">
        <v>166</v>
      </c>
      <c r="K109" s="55" t="s">
        <v>166</v>
      </c>
    </row>
    <row r="110" spans="1:11" x14ac:dyDescent="0.2">
      <c r="A110" s="55"/>
      <c r="B110" s="55"/>
      <c r="C110" s="55" t="s">
        <v>114</v>
      </c>
      <c r="D110" s="55">
        <v>1</v>
      </c>
      <c r="E110" s="55" t="s">
        <v>230</v>
      </c>
      <c r="F110" s="43" t="s">
        <v>14</v>
      </c>
      <c r="G110" s="55" t="s">
        <v>166</v>
      </c>
      <c r="H110" s="55" t="s">
        <v>166</v>
      </c>
      <c r="I110" s="55" t="s">
        <v>166</v>
      </c>
      <c r="J110" s="55" t="s">
        <v>166</v>
      </c>
      <c r="K110" s="55" t="s">
        <v>166</v>
      </c>
    </row>
    <row r="111" spans="1:11" x14ac:dyDescent="0.2">
      <c r="A111" s="55"/>
      <c r="B111" s="55"/>
      <c r="C111" s="55" t="s">
        <v>114</v>
      </c>
      <c r="D111" s="55">
        <v>1</v>
      </c>
      <c r="E111" s="55" t="s">
        <v>231</v>
      </c>
      <c r="F111" s="43" t="s">
        <v>44</v>
      </c>
      <c r="G111" s="55" t="s">
        <v>145</v>
      </c>
      <c r="H111" s="55" t="s">
        <v>32</v>
      </c>
      <c r="I111" s="55" t="s">
        <v>145</v>
      </c>
      <c r="J111" s="55" t="s">
        <v>32</v>
      </c>
      <c r="K111" s="55" t="s">
        <v>32</v>
      </c>
    </row>
    <row r="112" spans="1:11" x14ac:dyDescent="0.2">
      <c r="A112" s="55"/>
      <c r="B112" s="55"/>
      <c r="C112" s="55" t="s">
        <v>114</v>
      </c>
      <c r="D112" s="55">
        <v>1</v>
      </c>
      <c r="E112" s="55" t="s">
        <v>232</v>
      </c>
      <c r="F112" s="43" t="s">
        <v>14</v>
      </c>
      <c r="G112" s="55" t="s">
        <v>32</v>
      </c>
      <c r="H112" s="55" t="s">
        <v>166</v>
      </c>
      <c r="I112" s="55" t="s">
        <v>166</v>
      </c>
      <c r="J112" s="55" t="s">
        <v>32</v>
      </c>
      <c r="K112" s="55" t="s">
        <v>32</v>
      </c>
    </row>
    <row r="113" spans="1:11" x14ac:dyDescent="0.2">
      <c r="A113" s="57"/>
      <c r="B113" s="57"/>
      <c r="C113" s="57" t="s">
        <v>114</v>
      </c>
      <c r="D113" s="57">
        <v>1</v>
      </c>
      <c r="E113" s="57" t="s">
        <v>233</v>
      </c>
      <c r="F113" s="43" t="s">
        <v>14</v>
      </c>
      <c r="G113" s="57" t="s">
        <v>105</v>
      </c>
      <c r="H113" s="57" t="s">
        <v>105</v>
      </c>
      <c r="I113" s="57" t="s">
        <v>105</v>
      </c>
      <c r="J113" s="57" t="s">
        <v>105</v>
      </c>
      <c r="K113" s="57" t="s">
        <v>105</v>
      </c>
    </row>
  </sheetData>
  <mergeCells count="12">
    <mergeCell ref="O21:P21"/>
    <mergeCell ref="M1:W1"/>
    <mergeCell ref="M8:X8"/>
    <mergeCell ref="O12:Q12"/>
    <mergeCell ref="O13:P13"/>
    <mergeCell ref="O14:P14"/>
    <mergeCell ref="O15:P15"/>
    <mergeCell ref="O16:P16"/>
    <mergeCell ref="O17:P17"/>
    <mergeCell ref="O18:P18"/>
    <mergeCell ref="O19:P19"/>
    <mergeCell ref="O20:P2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3971-BB17-4929-8F18-D2CA0EE17EFB}">
  <dimension ref="A1:X87"/>
  <sheetViews>
    <sheetView workbookViewId="0">
      <selection activeCell="A2" sqref="A2:B167"/>
    </sheetView>
  </sheetViews>
  <sheetFormatPr baseColWidth="10" defaultColWidth="8.83203125" defaultRowHeight="15" x14ac:dyDescent="0.2"/>
  <cols>
    <col min="1" max="1" width="12.6640625" bestFit="1" customWidth="1"/>
    <col min="2" max="2" width="17.5" bestFit="1" customWidth="1"/>
    <col min="3" max="3" width="6.5" bestFit="1" customWidth="1"/>
    <col min="4" max="4" width="25" bestFit="1" customWidth="1"/>
    <col min="5" max="5" width="14.5" bestFit="1" customWidth="1"/>
    <col min="6" max="6" width="16.83203125" bestFit="1" customWidth="1"/>
    <col min="7" max="11" width="25.1640625" bestFit="1" customWidth="1"/>
    <col min="12" max="12" width="16" customWidth="1"/>
    <col min="13" max="13" width="33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61" t="s">
        <v>11</v>
      </c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4" x14ac:dyDescent="0.2">
      <c r="C2">
        <v>90016</v>
      </c>
      <c r="D2">
        <v>45</v>
      </c>
      <c r="E2" t="s">
        <v>234</v>
      </c>
      <c r="F2" t="s">
        <v>14</v>
      </c>
      <c r="G2" t="s">
        <v>89</v>
      </c>
      <c r="H2" t="s">
        <v>71</v>
      </c>
      <c r="I2" t="s">
        <v>89</v>
      </c>
      <c r="J2" t="s">
        <v>71</v>
      </c>
      <c r="K2" t="s">
        <v>89</v>
      </c>
      <c r="M2" s="2"/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3" t="s">
        <v>24</v>
      </c>
      <c r="W2" s="4" t="s">
        <v>25</v>
      </c>
    </row>
    <row r="3" spans="1:24" x14ac:dyDescent="0.2">
      <c r="C3">
        <v>92610</v>
      </c>
      <c r="D3">
        <v>40</v>
      </c>
      <c r="E3" s="1" t="s">
        <v>235</v>
      </c>
      <c r="F3" t="s">
        <v>14</v>
      </c>
      <c r="G3" t="s">
        <v>159</v>
      </c>
      <c r="H3" t="s">
        <v>93</v>
      </c>
      <c r="I3" t="s">
        <v>93</v>
      </c>
      <c r="J3" t="s">
        <v>93</v>
      </c>
      <c r="K3" t="s">
        <v>159</v>
      </c>
      <c r="M3" s="5" t="s">
        <v>29</v>
      </c>
      <c r="N3" s="6" cm="1">
        <f t="array" ref="N3">SUM(COUNTIF($G:$K,{"H.*","I.*"}))/W10</f>
        <v>0.29916897506925205</v>
      </c>
      <c r="O3" s="7">
        <f>COUNTIF($G:$K,"E.*")/W10</f>
        <v>0.11080332409972299</v>
      </c>
      <c r="P3" s="7" cm="1">
        <f t="array" ref="P3">SUM(COUNTIF($G:$K,{"J.*","K.*","L.*","M.*","N.*","O.*","P.*","Q.*","R.*","S.*","T.*","U.*","V.*","W.*"}))/W10</f>
        <v>6.3711911357340723E-2</v>
      </c>
      <c r="Q3" s="7">
        <f>COUNTIF($G:$K,"C.*")/W10</f>
        <v>1.3850415512465374E-2</v>
      </c>
      <c r="R3" s="7">
        <f>COUNTIF($G:$K,"A.*")/W10</f>
        <v>8.0332409972299165E-2</v>
      </c>
      <c r="S3" s="7">
        <v>0</v>
      </c>
      <c r="T3" s="7">
        <f>COUNTIF($G:$K,"B.*")/W10</f>
        <v>1.3850415512465374E-2</v>
      </c>
      <c r="U3" s="7">
        <f>COUNTIF($G:$K,"F.*")/W10</f>
        <v>8.3102493074792241E-2</v>
      </c>
      <c r="V3" s="8">
        <f>COUNTIF($G:$K,"D.*")/W10</f>
        <v>0.33518005540166207</v>
      </c>
      <c r="W3" s="7">
        <f>SUM(N3:V3)</f>
        <v>0.99999999999999989</v>
      </c>
    </row>
    <row r="4" spans="1:24" ht="16" x14ac:dyDescent="0.2">
      <c r="C4">
        <v>90808</v>
      </c>
      <c r="D4">
        <v>39</v>
      </c>
      <c r="E4" t="s">
        <v>236</v>
      </c>
      <c r="F4" t="s">
        <v>14</v>
      </c>
      <c r="G4" t="s">
        <v>89</v>
      </c>
      <c r="H4" t="s">
        <v>89</v>
      </c>
      <c r="I4" t="s">
        <v>89</v>
      </c>
      <c r="J4" t="s">
        <v>62</v>
      </c>
      <c r="K4" t="s">
        <v>62</v>
      </c>
      <c r="M4" s="9" t="s">
        <v>33</v>
      </c>
      <c r="N4" s="10" cm="1">
        <f t="array" ref="N4">SUM(_xlfn.BYCOL(G:K,_xlfn.LAMBDA(_xlpm.col,SUMIF(_xlpm.col,"H.*",D:D)+SUMIF(_xlpm.col,"I.*",D:D))))/N10</f>
        <v>9.3268518518518526</v>
      </c>
      <c r="O4" s="11" cm="1">
        <f t="array" ref="O4">SUM(_xlfn.BYCOL(G:K,_xlfn.LAMBDA(_xlpm.col,SUMIF(_xlpm.col,"E.*",D:D))))/O10</f>
        <v>1.28125</v>
      </c>
      <c r="P4" s="12" cm="1">
        <f t="array" ref="P4">SUM(_xlfn.BYCOL($G:$K,_xlfn.LAMBDA(_xlpm.col,SUMIF(_xlpm.col,"J.*",$D:$D)+SUMIF(_xlpm.col,"K.*",$D:$D)+SUMIF(_xlpm.col,"L.*",$D:$D)+SUMIF(_xlpm.col,"M.*",$D:$D)+SUMIF(_xlpm.col,"N.*",$D:$D)+SUMIF(_xlpm.col,"O.*",$D:$D)+SUMIF(_xlpm.col,"P.*",$D:$D)+SUMIF(_xlpm.col,"Q.*",$D:$D)+SUMIF(_xlpm.col,"R.*",$D:$D)+SUMIF(_xlpm.col,"S.*",$D:$D)+SUMIF(_xlpm.col,"T.*",$D:$D)+SUMIF(_xlpm.col,"U.*",$D:$D)+SUMIF(_xlpm.col,"V.*",$D:$D)+SUMIF(_xlpm.col,"W.*",$D:$D))))/$P10</f>
        <v>9.3478260869565215</v>
      </c>
      <c r="Q4" s="12" cm="1">
        <f t="array" ref="Q4">SUM(_xlfn.BYCOL(G:K,_xlfn.LAMBDA(_xlpm.col,SUMIF(_xlpm.col,"C.*",D:D))))/Q10</f>
        <v>36.4</v>
      </c>
      <c r="R4" s="12" cm="1">
        <f t="array" ref="R4">SUM(_xlfn.BYCOL(G:K,_xlfn.LAMBDA(_xlpm.col,SUMIF(_xlpm.col,"A.*",D:D))))/R10</f>
        <v>4.8172413793103441</v>
      </c>
      <c r="S4" s="12" t="s">
        <v>34</v>
      </c>
      <c r="T4" s="12" cm="1">
        <f t="array" ref="T4">SUM(_xlfn.BYCOL(G:K,_xlfn.LAMBDA(_xlpm.col,SUMIF(_xlpm.col,"B.*",D:D))))/T10</f>
        <v>17</v>
      </c>
      <c r="U4" s="12" t="s">
        <v>34</v>
      </c>
      <c r="V4" s="12" cm="1">
        <f t="array" ref="V4">SUM(_xlfn.BYCOL(G:K,_xlfn.LAMBDA(_xlpm.col,SUMIF(_xlpm.col,"D.*",D:D))))/V10</f>
        <v>0.90826446280991713</v>
      </c>
      <c r="W4" s="10">
        <f>AVERAGE(N4:V4)</f>
        <v>11.297347682989804</v>
      </c>
    </row>
    <row r="5" spans="1:24" x14ac:dyDescent="0.2">
      <c r="C5">
        <v>90065</v>
      </c>
      <c r="D5">
        <v>35</v>
      </c>
      <c r="E5" s="1" t="s">
        <v>237</v>
      </c>
      <c r="F5" t="s">
        <v>14</v>
      </c>
      <c r="G5" t="s">
        <v>159</v>
      </c>
      <c r="H5" t="s">
        <v>93</v>
      </c>
      <c r="I5" t="s">
        <v>159</v>
      </c>
      <c r="J5" t="s">
        <v>159</v>
      </c>
      <c r="K5" t="s">
        <v>159</v>
      </c>
      <c r="M5" s="5" t="s">
        <v>38</v>
      </c>
      <c r="N5" s="5"/>
      <c r="O5" s="5"/>
      <c r="P5" s="13" cm="1">
        <f t="array" ref="P5">SUM(_xlfn.BYCOL($G:$K,_xlfn.LAMBDA(_xlpm.col,SUMIF(_xlpm.col,"J.*",$D:$D)*2+SUMIF(_xlpm.col,"K.*",$D:$D)*3+SUMIF(_xlpm.col,"L.*",$D:$D)*4+SUMIF(_xlpm.col,"M.*",$D:$D)*5+SUMIF(_xlpm.col,"N.*",$D:$D)*6+SUMIF(_xlpm.col,"O.*",$D:$D)*7+SUMIF(_xlpm.col,"P.*",$D:$D)*8+SUMIF(_xlpm.col,"Q.*",$D:$D)*9+SUMIF(_xlpm.col,"R.*",$D:$D)*10+SUMIF(_xlpm.col,"S.*",$D:$D)*11+SUMIF(_xlpm.col,"T.*",$D:$D)*12+SUMIF(_xlpm.col,"U.*",$D:$D)*13+SUMIF(_xlpm.col,"V.*",$D:$D)*14+SUMIF(_xlpm.col,"W.*",$D:$D)*15)))/$P10</f>
        <v>23.391304347826086</v>
      </c>
      <c r="Q5" s="5"/>
      <c r="R5" s="5"/>
      <c r="S5" s="5"/>
      <c r="T5" s="5"/>
      <c r="U5" s="5"/>
      <c r="V5" s="5"/>
      <c r="W5" s="5"/>
    </row>
    <row r="6" spans="1:24" x14ac:dyDescent="0.2">
      <c r="C6">
        <v>92374</v>
      </c>
      <c r="D6">
        <v>34</v>
      </c>
      <c r="E6" s="1" t="s">
        <v>238</v>
      </c>
      <c r="F6" t="s">
        <v>14</v>
      </c>
      <c r="G6" t="s">
        <v>84</v>
      </c>
      <c r="H6" t="s">
        <v>93</v>
      </c>
      <c r="I6" t="s">
        <v>93</v>
      </c>
      <c r="J6" t="s">
        <v>93</v>
      </c>
      <c r="K6" t="s">
        <v>84</v>
      </c>
      <c r="M6" s="14" t="s">
        <v>41</v>
      </c>
      <c r="N6" s="14"/>
      <c r="O6" s="14"/>
      <c r="P6" s="15">
        <f>P5/P4</f>
        <v>2.5023255813953487</v>
      </c>
      <c r="Q6" s="14"/>
      <c r="R6" s="14"/>
      <c r="S6" s="14"/>
      <c r="T6" s="14"/>
      <c r="U6" s="14"/>
      <c r="V6" s="14"/>
      <c r="W6" s="14"/>
    </row>
    <row r="7" spans="1:24" x14ac:dyDescent="0.2">
      <c r="C7">
        <v>90063</v>
      </c>
      <c r="D7">
        <v>32</v>
      </c>
      <c r="E7" s="1" t="s">
        <v>239</v>
      </c>
      <c r="F7" t="s">
        <v>14</v>
      </c>
      <c r="G7" t="s">
        <v>93</v>
      </c>
      <c r="H7" t="s">
        <v>84</v>
      </c>
      <c r="I7" t="s">
        <v>71</v>
      </c>
      <c r="J7" t="s">
        <v>84</v>
      </c>
      <c r="K7" t="s">
        <v>84</v>
      </c>
      <c r="P7" s="16"/>
    </row>
    <row r="8" spans="1:24" x14ac:dyDescent="0.2">
      <c r="C8">
        <v>91030</v>
      </c>
      <c r="D8">
        <v>30</v>
      </c>
      <c r="E8" s="1" t="s">
        <v>240</v>
      </c>
      <c r="F8" t="s">
        <v>14</v>
      </c>
      <c r="G8" t="s">
        <v>93</v>
      </c>
      <c r="H8" t="s">
        <v>71</v>
      </c>
      <c r="I8" t="s">
        <v>93</v>
      </c>
      <c r="J8" t="s">
        <v>71</v>
      </c>
      <c r="K8" t="s">
        <v>89</v>
      </c>
      <c r="M8" s="62" t="s">
        <v>47</v>
      </c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9" spans="1:24" x14ac:dyDescent="0.2">
      <c r="C9">
        <v>91011</v>
      </c>
      <c r="D9">
        <v>30</v>
      </c>
      <c r="E9">
        <v>12345</v>
      </c>
      <c r="F9" t="s">
        <v>14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M9" s="17"/>
      <c r="N9" s="17" t="s">
        <v>16</v>
      </c>
      <c r="O9" s="17" t="s">
        <v>17</v>
      </c>
      <c r="P9" s="17" t="s">
        <v>18</v>
      </c>
      <c r="Q9" s="17" t="s">
        <v>19</v>
      </c>
      <c r="R9" s="17" t="s">
        <v>20</v>
      </c>
      <c r="S9" s="17" t="s">
        <v>21</v>
      </c>
      <c r="T9" s="17" t="s">
        <v>22</v>
      </c>
      <c r="U9" s="17" t="s">
        <v>23</v>
      </c>
      <c r="V9" s="17" t="s">
        <v>24</v>
      </c>
      <c r="W9" s="17" t="s">
        <v>25</v>
      </c>
      <c r="X9" s="18" t="s">
        <v>50</v>
      </c>
    </row>
    <row r="10" spans="1:24" x14ac:dyDescent="0.2">
      <c r="C10">
        <v>92833</v>
      </c>
      <c r="D10">
        <v>29.9</v>
      </c>
      <c r="E10" s="1" t="s">
        <v>241</v>
      </c>
      <c r="F10" t="s">
        <v>14</v>
      </c>
      <c r="G10" t="s">
        <v>159</v>
      </c>
      <c r="H10" t="s">
        <v>93</v>
      </c>
      <c r="I10" t="s">
        <v>159</v>
      </c>
      <c r="J10" t="s">
        <v>93</v>
      </c>
      <c r="K10" t="s">
        <v>159</v>
      </c>
      <c r="M10" s="19" t="s">
        <v>53</v>
      </c>
      <c r="N10" s="19" cm="1">
        <f t="array" ref="N10">SUM(COUNTIF($G:$K,{"H.*","I.*"}))</f>
        <v>108</v>
      </c>
      <c r="O10" s="19">
        <f>COUNTIF($G:$K,"E.*")</f>
        <v>40</v>
      </c>
      <c r="P10" s="19" cm="1">
        <f t="array" ref="P10">SUM(COUNTIF($G:$K,{"J.*","K.*","L.*","M.*","N.*","O.*","P.*","Q.*","R.*","S.*","T.*","U.*","V.*","W.*"}))</f>
        <v>23</v>
      </c>
      <c r="Q10" s="20">
        <f>COUNTIF($G:$K,"C.*")</f>
        <v>5</v>
      </c>
      <c r="R10" s="19">
        <f>COUNTIF($G:$K,"A.*")</f>
        <v>29</v>
      </c>
      <c r="S10" s="19">
        <v>0</v>
      </c>
      <c r="T10" s="19">
        <f>COUNTIF($G:$K,"B.*")</f>
        <v>5</v>
      </c>
      <c r="U10" s="19">
        <f>COUNTIF($G:$K,"F.*")</f>
        <v>30</v>
      </c>
      <c r="V10" s="19">
        <f>COUNTIF($G:$K,"D.*")</f>
        <v>121</v>
      </c>
      <c r="W10" s="21">
        <f>SUM(N10:V10)</f>
        <v>361</v>
      </c>
      <c r="X10" s="17">
        <f>COUNTIFS($G2:$K1000,"&lt;&gt;",$G2:$K1000,"&lt;&gt;OFF.*",$G2:$K1000,"&lt;&gt;AA.*",$G2:$K1000,"&lt;&gt;BB.*",$G2:$K1000,"&lt;&gt;G.*",$G2:$K1000,"&lt;&gt;X.*",$G2:$K1000,"&lt;&gt;Y.*",$G2:$K1000,"&lt;&gt;Z.*",G2:K1000,"&lt;&gt;CC.*")</f>
        <v>361</v>
      </c>
    </row>
    <row r="11" spans="1:24" x14ac:dyDescent="0.2">
      <c r="C11">
        <v>91001</v>
      </c>
      <c r="D11">
        <v>28.5</v>
      </c>
      <c r="E11" s="1" t="s">
        <v>242</v>
      </c>
      <c r="F11" t="s">
        <v>14</v>
      </c>
      <c r="G11" t="s">
        <v>243</v>
      </c>
      <c r="H11" t="s">
        <v>84</v>
      </c>
      <c r="I11" t="s">
        <v>243</v>
      </c>
      <c r="J11" t="s">
        <v>93</v>
      </c>
      <c r="K11" t="s">
        <v>84</v>
      </c>
    </row>
    <row r="12" spans="1:24" ht="16" x14ac:dyDescent="0.2">
      <c r="C12">
        <v>91106</v>
      </c>
      <c r="D12">
        <v>28</v>
      </c>
      <c r="E12" s="1" t="s">
        <v>244</v>
      </c>
      <c r="F12" t="s">
        <v>14</v>
      </c>
      <c r="G12" t="s">
        <v>93</v>
      </c>
      <c r="H12" t="s">
        <v>93</v>
      </c>
      <c r="I12" t="s">
        <v>93</v>
      </c>
      <c r="J12" t="s">
        <v>93</v>
      </c>
      <c r="K12" t="s">
        <v>93</v>
      </c>
      <c r="M12" s="22" t="s">
        <v>57</v>
      </c>
      <c r="O12" s="59" t="s">
        <v>58</v>
      </c>
      <c r="P12" s="63"/>
      <c r="Q12" s="60"/>
    </row>
    <row r="13" spans="1:24" ht="16" x14ac:dyDescent="0.2">
      <c r="C13">
        <v>91104</v>
      </c>
      <c r="D13">
        <v>27</v>
      </c>
      <c r="E13" s="1" t="s">
        <v>245</v>
      </c>
      <c r="F13" t="s">
        <v>14</v>
      </c>
      <c r="G13" t="s">
        <v>246</v>
      </c>
      <c r="H13" t="s">
        <v>246</v>
      </c>
      <c r="I13" t="s">
        <v>246</v>
      </c>
      <c r="J13" t="s">
        <v>243</v>
      </c>
      <c r="K13" t="s">
        <v>246</v>
      </c>
      <c r="M13" s="26" t="s">
        <v>62</v>
      </c>
      <c r="O13" s="64" t="s">
        <v>63</v>
      </c>
      <c r="P13" s="64"/>
      <c r="Q13" s="19" t="e">
        <f>2*W10/COUNTIFS(A:A,"&lt;&gt;",A:A,"&lt;&gt;FirstName")</f>
        <v>#DIV/0!</v>
      </c>
    </row>
    <row r="14" spans="1:24" ht="16" x14ac:dyDescent="0.2">
      <c r="C14">
        <v>92620</v>
      </c>
      <c r="D14">
        <v>27</v>
      </c>
      <c r="E14" s="1" t="s">
        <v>247</v>
      </c>
      <c r="F14" t="s">
        <v>14</v>
      </c>
      <c r="G14" t="s">
        <v>157</v>
      </c>
      <c r="H14" t="s">
        <v>157</v>
      </c>
      <c r="I14" t="s">
        <v>157</v>
      </c>
      <c r="J14" t="s">
        <v>157</v>
      </c>
      <c r="K14" t="s">
        <v>157</v>
      </c>
      <c r="M14" s="26" t="s">
        <v>66</v>
      </c>
      <c r="O14" s="62" t="s">
        <v>67</v>
      </c>
      <c r="P14" s="62"/>
      <c r="Q14" s="17">
        <v>351</v>
      </c>
    </row>
    <row r="15" spans="1:24" ht="16" x14ac:dyDescent="0.2">
      <c r="C15">
        <v>90065</v>
      </c>
      <c r="D15">
        <v>25</v>
      </c>
      <c r="E15">
        <v>103809</v>
      </c>
      <c r="F15" t="s">
        <v>14</v>
      </c>
      <c r="G15" t="s">
        <v>159</v>
      </c>
      <c r="H15" t="s">
        <v>159</v>
      </c>
      <c r="I15" t="s">
        <v>159</v>
      </c>
      <c r="J15" t="s">
        <v>159</v>
      </c>
      <c r="K15" t="s">
        <v>93</v>
      </c>
      <c r="M15" s="26" t="s">
        <v>71</v>
      </c>
      <c r="O15" s="65" t="s">
        <v>72</v>
      </c>
      <c r="P15" s="65"/>
      <c r="Q15" s="18">
        <f>COUNTIFS(A:A,"&lt;&gt;",A:A,"&lt;&gt;FirstName")</f>
        <v>0</v>
      </c>
    </row>
    <row r="16" spans="1:24" ht="16" x14ac:dyDescent="0.2">
      <c r="C16">
        <v>91770</v>
      </c>
      <c r="D16">
        <v>25</v>
      </c>
      <c r="E16" s="1" t="s">
        <v>248</v>
      </c>
      <c r="F16" t="s">
        <v>14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M16" s="26" t="s">
        <v>75</v>
      </c>
      <c r="O16" s="62" t="s">
        <v>76</v>
      </c>
      <c r="P16" s="59"/>
      <c r="Q16" s="27">
        <f>Q15/Q14</f>
        <v>0</v>
      </c>
      <c r="S16" t="s">
        <v>249</v>
      </c>
    </row>
    <row r="17" spans="3:22" ht="16" x14ac:dyDescent="0.2">
      <c r="C17">
        <v>91001</v>
      </c>
      <c r="D17">
        <v>25</v>
      </c>
      <c r="E17" t="s">
        <v>250</v>
      </c>
      <c r="F17" t="s">
        <v>14</v>
      </c>
      <c r="G17" t="s">
        <v>159</v>
      </c>
      <c r="H17" t="s">
        <v>159</v>
      </c>
      <c r="I17" t="s">
        <v>159</v>
      </c>
      <c r="J17" t="s">
        <v>159</v>
      </c>
      <c r="K17" t="s">
        <v>159</v>
      </c>
      <c r="M17" s="26" t="s">
        <v>79</v>
      </c>
      <c r="O17" s="66" t="s">
        <v>80</v>
      </c>
      <c r="P17" s="66"/>
      <c r="Q17" s="28">
        <v>32</v>
      </c>
      <c r="S17" t="s">
        <v>81</v>
      </c>
      <c r="T17">
        <f>(N4*N10+O4*O10+P4*P10+Q4*Q10+R4*R10+T4*T10+V4*V10)*348/86</f>
        <v>7243.8627906976753</v>
      </c>
    </row>
    <row r="18" spans="3:22" ht="16" x14ac:dyDescent="0.2">
      <c r="C18">
        <v>91786</v>
      </c>
      <c r="D18">
        <v>20</v>
      </c>
      <c r="E18" t="s">
        <v>251</v>
      </c>
      <c r="F18" t="s">
        <v>14</v>
      </c>
      <c r="G18" t="s">
        <v>93</v>
      </c>
      <c r="H18" t="s">
        <v>93</v>
      </c>
      <c r="I18" t="s">
        <v>93</v>
      </c>
      <c r="J18" t="s">
        <v>159</v>
      </c>
      <c r="K18" t="s">
        <v>159</v>
      </c>
      <c r="M18" s="26" t="s">
        <v>84</v>
      </c>
      <c r="O18" s="59" t="s">
        <v>85</v>
      </c>
      <c r="P18" s="60"/>
      <c r="Q18" s="17">
        <f>AVERAGE(D2:D1000)</f>
        <v>7.8680232558139558</v>
      </c>
      <c r="S18" t="s">
        <v>86</v>
      </c>
      <c r="T18">
        <f>T17*32</f>
        <v>231803.60930232561</v>
      </c>
    </row>
    <row r="19" spans="3:22" ht="16" x14ac:dyDescent="0.2">
      <c r="C19">
        <v>92506</v>
      </c>
      <c r="D19">
        <v>20</v>
      </c>
      <c r="E19" s="1" t="s">
        <v>252</v>
      </c>
      <c r="F19" t="s">
        <v>14</v>
      </c>
      <c r="G19" t="s">
        <v>93</v>
      </c>
      <c r="H19" t="s">
        <v>89</v>
      </c>
      <c r="I19" t="s">
        <v>93</v>
      </c>
      <c r="J19" t="s">
        <v>89</v>
      </c>
      <c r="K19" t="s">
        <v>93</v>
      </c>
      <c r="M19" s="26" t="s">
        <v>89</v>
      </c>
      <c r="O19" s="59" t="s">
        <v>90</v>
      </c>
      <c r="P19" s="60"/>
      <c r="Q19" s="17">
        <f>MEDIAN(D2:D1000)</f>
        <v>1.375</v>
      </c>
      <c r="S19" t="s">
        <v>91</v>
      </c>
      <c r="T19">
        <f>99.8/T18</f>
        <v>4.305368682583267E-4</v>
      </c>
    </row>
    <row r="20" spans="3:22" ht="16" x14ac:dyDescent="0.2">
      <c r="C20">
        <v>91709</v>
      </c>
      <c r="D20">
        <v>20</v>
      </c>
      <c r="E20" s="1" t="s">
        <v>253</v>
      </c>
      <c r="F20" t="s">
        <v>14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M20" s="26" t="s">
        <v>93</v>
      </c>
      <c r="O20" s="59" t="s">
        <v>94</v>
      </c>
      <c r="P20" s="60"/>
      <c r="Q20" s="17" t="e">
        <f>(SUM(D2:D1000)/Q15)*Q14</f>
        <v>#DIV/0!</v>
      </c>
    </row>
    <row r="21" spans="3:22" ht="16" x14ac:dyDescent="0.2">
      <c r="C21">
        <v>91746</v>
      </c>
      <c r="D21">
        <v>17</v>
      </c>
      <c r="E21" s="1" t="s">
        <v>254</v>
      </c>
      <c r="F21" t="s">
        <v>14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M21" s="26" t="s">
        <v>97</v>
      </c>
      <c r="O21" s="59" t="s">
        <v>98</v>
      </c>
      <c r="P21" s="60"/>
      <c r="Q21" s="27" t="e">
        <f>COUNTIF(D:D,"&lt;=5")/Q15</f>
        <v>#DIV/0!</v>
      </c>
      <c r="T21" t="s">
        <v>99</v>
      </c>
      <c r="U21" t="s">
        <v>100</v>
      </c>
      <c r="V21" t="s">
        <v>101</v>
      </c>
    </row>
    <row r="22" spans="3:22" ht="16" x14ac:dyDescent="0.2">
      <c r="C22">
        <v>91750</v>
      </c>
      <c r="D22">
        <v>7</v>
      </c>
      <c r="E22" s="1" t="s">
        <v>255</v>
      </c>
      <c r="F22" t="s">
        <v>14</v>
      </c>
      <c r="G22" t="s">
        <v>159</v>
      </c>
      <c r="H22" t="s">
        <v>159</v>
      </c>
      <c r="I22" t="s">
        <v>159</v>
      </c>
      <c r="J22" t="s">
        <v>159</v>
      </c>
      <c r="K22" t="s">
        <v>93</v>
      </c>
      <c r="M22" s="26" t="s">
        <v>106</v>
      </c>
      <c r="S22" t="s">
        <v>107</v>
      </c>
      <c r="T22">
        <f>N4*N10</f>
        <v>1007.3000000000001</v>
      </c>
      <c r="U22" t="e">
        <f>T22*(348/Q15)</f>
        <v>#DIV/0!</v>
      </c>
      <c r="V22" t="e">
        <f>U22*32</f>
        <v>#DIV/0!</v>
      </c>
    </row>
    <row r="23" spans="3:22" ht="16" x14ac:dyDescent="0.2">
      <c r="C23">
        <v>91762</v>
      </c>
      <c r="D23">
        <v>5</v>
      </c>
      <c r="E23" s="1" t="s">
        <v>256</v>
      </c>
      <c r="F23" t="s">
        <v>14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M23" s="26" t="s">
        <v>110</v>
      </c>
    </row>
    <row r="24" spans="3:22" ht="16" x14ac:dyDescent="0.2">
      <c r="C24">
        <v>91711</v>
      </c>
      <c r="D24">
        <v>5</v>
      </c>
      <c r="E24" s="1" t="s">
        <v>257</v>
      </c>
      <c r="F24" t="s">
        <v>14</v>
      </c>
      <c r="G24" t="s">
        <v>62</v>
      </c>
      <c r="H24" t="s">
        <v>62</v>
      </c>
      <c r="I24" t="s">
        <v>62</v>
      </c>
      <c r="J24" t="s">
        <v>62</v>
      </c>
      <c r="K24" t="s">
        <v>62</v>
      </c>
      <c r="M24" s="26" t="s">
        <v>113</v>
      </c>
    </row>
    <row r="25" spans="3:22" ht="16" x14ac:dyDescent="0.2">
      <c r="C25">
        <v>91767</v>
      </c>
      <c r="D25">
        <v>4.25</v>
      </c>
      <c r="E25" s="1" t="s">
        <v>258</v>
      </c>
      <c r="F25" t="s">
        <v>14</v>
      </c>
      <c r="G25" t="s">
        <v>84</v>
      </c>
      <c r="H25" t="s">
        <v>93</v>
      </c>
      <c r="I25" t="s">
        <v>93</v>
      </c>
      <c r="J25" t="s">
        <v>84</v>
      </c>
      <c r="K25" t="s">
        <v>93</v>
      </c>
      <c r="M25" s="26" t="s">
        <v>117</v>
      </c>
    </row>
    <row r="26" spans="3:22" ht="16" x14ac:dyDescent="0.2">
      <c r="C26">
        <v>91711</v>
      </c>
      <c r="D26">
        <v>3</v>
      </c>
      <c r="E26" s="1" t="s">
        <v>259</v>
      </c>
      <c r="F26" t="s">
        <v>14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M26" s="26" t="s">
        <v>120</v>
      </c>
    </row>
    <row r="27" spans="3:22" ht="16" x14ac:dyDescent="0.2">
      <c r="C27">
        <v>91711</v>
      </c>
      <c r="D27">
        <v>3</v>
      </c>
      <c r="E27" s="1" t="s">
        <v>260</v>
      </c>
      <c r="F27" t="s">
        <v>14</v>
      </c>
      <c r="G27" t="s">
        <v>93</v>
      </c>
      <c r="H27" t="s">
        <v>93</v>
      </c>
      <c r="I27" t="s">
        <v>93</v>
      </c>
      <c r="J27" t="s">
        <v>93</v>
      </c>
      <c r="K27" t="s">
        <v>93</v>
      </c>
      <c r="M27" s="26" t="s">
        <v>123</v>
      </c>
    </row>
    <row r="28" spans="3:22" ht="16" x14ac:dyDescent="0.2">
      <c r="C28">
        <v>91711</v>
      </c>
      <c r="D28">
        <v>3</v>
      </c>
      <c r="E28" s="1" t="s">
        <v>261</v>
      </c>
      <c r="F28" t="s">
        <v>14</v>
      </c>
      <c r="G28" t="s">
        <v>84</v>
      </c>
      <c r="H28" t="s">
        <v>62</v>
      </c>
      <c r="I28" t="s">
        <v>84</v>
      </c>
      <c r="J28" t="s">
        <v>62</v>
      </c>
      <c r="K28" t="s">
        <v>84</v>
      </c>
      <c r="M28" s="26" t="s">
        <v>126</v>
      </c>
    </row>
    <row r="29" spans="3:22" ht="16" x14ac:dyDescent="0.2">
      <c r="C29">
        <v>91711</v>
      </c>
      <c r="D29">
        <v>2.5</v>
      </c>
      <c r="E29">
        <v>101198231</v>
      </c>
      <c r="F29" t="s">
        <v>14</v>
      </c>
      <c r="G29" t="s">
        <v>62</v>
      </c>
      <c r="H29" t="s">
        <v>62</v>
      </c>
      <c r="I29" t="s">
        <v>62</v>
      </c>
      <c r="J29" t="s">
        <v>62</v>
      </c>
      <c r="K29" t="s">
        <v>62</v>
      </c>
      <c r="M29" s="26" t="s">
        <v>129</v>
      </c>
    </row>
    <row r="30" spans="3:22" ht="16" x14ac:dyDescent="0.2">
      <c r="C30">
        <v>91711</v>
      </c>
      <c r="D30">
        <v>2.25</v>
      </c>
      <c r="E30" s="1" t="s">
        <v>262</v>
      </c>
      <c r="F30" t="s">
        <v>14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M30" s="26" t="s">
        <v>132</v>
      </c>
    </row>
    <row r="31" spans="3:22" ht="16" x14ac:dyDescent="0.2">
      <c r="C31">
        <v>91711</v>
      </c>
      <c r="D31">
        <v>2.2000000000000002</v>
      </c>
      <c r="E31" s="1" t="s">
        <v>263</v>
      </c>
      <c r="F31" t="s">
        <v>14</v>
      </c>
      <c r="G31" t="s">
        <v>75</v>
      </c>
      <c r="H31" t="s">
        <v>75</v>
      </c>
      <c r="I31" t="s">
        <v>75</v>
      </c>
      <c r="J31" t="s">
        <v>75</v>
      </c>
      <c r="K31" t="s">
        <v>62</v>
      </c>
      <c r="M31" s="26" t="s">
        <v>134</v>
      </c>
    </row>
    <row r="32" spans="3:22" ht="16" x14ac:dyDescent="0.2">
      <c r="C32">
        <v>91711</v>
      </c>
      <c r="D32">
        <v>2</v>
      </c>
      <c r="E32" s="1" t="s">
        <v>264</v>
      </c>
      <c r="F32" t="s">
        <v>14</v>
      </c>
      <c r="G32" t="s">
        <v>62</v>
      </c>
      <c r="H32" t="s">
        <v>243</v>
      </c>
      <c r="I32" t="s">
        <v>243</v>
      </c>
      <c r="J32" t="s">
        <v>84</v>
      </c>
      <c r="K32" t="s">
        <v>62</v>
      </c>
      <c r="M32" s="26" t="s">
        <v>136</v>
      </c>
    </row>
    <row r="33" spans="3:13" ht="16" x14ac:dyDescent="0.2">
      <c r="C33">
        <v>91711</v>
      </c>
      <c r="D33">
        <v>2</v>
      </c>
      <c r="E33" s="1" t="s">
        <v>265</v>
      </c>
      <c r="F33" t="s">
        <v>14</v>
      </c>
      <c r="G33" t="s">
        <v>243</v>
      </c>
      <c r="H33" t="s">
        <v>243</v>
      </c>
      <c r="I33" t="s">
        <v>243</v>
      </c>
      <c r="J33" t="s">
        <v>243</v>
      </c>
      <c r="K33" t="s">
        <v>243</v>
      </c>
      <c r="M33" s="26" t="s">
        <v>138</v>
      </c>
    </row>
    <row r="34" spans="3:13" ht="16" x14ac:dyDescent="0.2">
      <c r="C34">
        <v>91711</v>
      </c>
      <c r="D34">
        <v>2</v>
      </c>
      <c r="E34" s="1" t="s">
        <v>266</v>
      </c>
      <c r="F34" t="s">
        <v>14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M34" s="26" t="s">
        <v>140</v>
      </c>
    </row>
    <row r="35" spans="3:13" ht="16" x14ac:dyDescent="0.2">
      <c r="C35">
        <v>91711</v>
      </c>
      <c r="D35">
        <v>2</v>
      </c>
      <c r="E35" s="1" t="s">
        <v>267</v>
      </c>
      <c r="F35" t="s">
        <v>14</v>
      </c>
      <c r="G35" t="s">
        <v>93</v>
      </c>
      <c r="H35" t="s">
        <v>159</v>
      </c>
      <c r="I35" t="s">
        <v>159</v>
      </c>
      <c r="J35" t="s">
        <v>159</v>
      </c>
      <c r="K35" t="s">
        <v>159</v>
      </c>
      <c r="M35" s="26" t="s">
        <v>143</v>
      </c>
    </row>
    <row r="36" spans="3:13" ht="16" x14ac:dyDescent="0.2">
      <c r="C36">
        <v>91711</v>
      </c>
      <c r="D36">
        <v>2</v>
      </c>
      <c r="E36" s="1" t="s">
        <v>268</v>
      </c>
      <c r="F36" t="s">
        <v>14</v>
      </c>
      <c r="G36" t="s">
        <v>93</v>
      </c>
      <c r="H36" t="s">
        <v>93</v>
      </c>
      <c r="I36" t="s">
        <v>93</v>
      </c>
      <c r="J36" t="s">
        <v>93</v>
      </c>
      <c r="K36" t="s">
        <v>93</v>
      </c>
      <c r="M36" s="26" t="s">
        <v>146</v>
      </c>
    </row>
    <row r="37" spans="3:13" ht="16" x14ac:dyDescent="0.2">
      <c r="C37">
        <v>91711</v>
      </c>
      <c r="D37">
        <v>2</v>
      </c>
      <c r="E37" s="1" t="s">
        <v>269</v>
      </c>
      <c r="F37" t="s">
        <v>14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M37" s="26" t="s">
        <v>149</v>
      </c>
    </row>
    <row r="38" spans="3:13" ht="16" x14ac:dyDescent="0.2">
      <c r="C38">
        <v>91711</v>
      </c>
      <c r="D38">
        <v>2</v>
      </c>
      <c r="E38" s="1" t="s">
        <v>270</v>
      </c>
      <c r="F38" t="s">
        <v>14</v>
      </c>
      <c r="G38" t="s">
        <v>79</v>
      </c>
      <c r="H38" t="s">
        <v>79</v>
      </c>
      <c r="I38" t="s">
        <v>153</v>
      </c>
      <c r="J38" t="s">
        <v>153</v>
      </c>
      <c r="K38" t="s">
        <v>153</v>
      </c>
      <c r="M38" s="26" t="s">
        <v>151</v>
      </c>
    </row>
    <row r="39" spans="3:13" ht="16" x14ac:dyDescent="0.2">
      <c r="C39">
        <v>91767</v>
      </c>
      <c r="D39">
        <v>1.8</v>
      </c>
      <c r="E39" s="1" t="s">
        <v>271</v>
      </c>
      <c r="F39" t="s">
        <v>14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M39" s="26" t="s">
        <v>153</v>
      </c>
    </row>
    <row r="40" spans="3:13" ht="16" x14ac:dyDescent="0.2">
      <c r="C40">
        <v>91711</v>
      </c>
      <c r="D40">
        <v>1.5</v>
      </c>
      <c r="E40" s="1" t="s">
        <v>272</v>
      </c>
      <c r="F40" t="s">
        <v>14</v>
      </c>
      <c r="G40" t="s">
        <v>93</v>
      </c>
      <c r="H40" t="s">
        <v>93</v>
      </c>
      <c r="I40" t="s">
        <v>75</v>
      </c>
      <c r="J40" t="s">
        <v>93</v>
      </c>
      <c r="K40" t="s">
        <v>75</v>
      </c>
      <c r="M40" s="26" t="s">
        <v>155</v>
      </c>
    </row>
    <row r="41" spans="3:13" ht="16" x14ac:dyDescent="0.2">
      <c r="C41">
        <v>91711</v>
      </c>
      <c r="D41">
        <v>1.5</v>
      </c>
      <c r="E41" s="1" t="s">
        <v>273</v>
      </c>
      <c r="F41" t="s">
        <v>14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M41" s="26" t="s">
        <v>157</v>
      </c>
    </row>
    <row r="42" spans="3:13" ht="16" x14ac:dyDescent="0.2">
      <c r="C42">
        <v>91711</v>
      </c>
      <c r="D42">
        <v>1.5</v>
      </c>
      <c r="E42" s="1" t="s">
        <v>274</v>
      </c>
      <c r="F42" t="s">
        <v>14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M42" s="29" t="s">
        <v>159</v>
      </c>
    </row>
    <row r="43" spans="3:13" x14ac:dyDescent="0.2">
      <c r="C43">
        <v>91711</v>
      </c>
      <c r="D43">
        <v>1.5</v>
      </c>
      <c r="E43">
        <v>10092220</v>
      </c>
      <c r="F43" t="s">
        <v>14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</row>
    <row r="44" spans="3:13" x14ac:dyDescent="0.2">
      <c r="C44">
        <v>91711</v>
      </c>
      <c r="D44">
        <v>1.5</v>
      </c>
      <c r="E44" s="1" t="s">
        <v>275</v>
      </c>
      <c r="F44" t="s">
        <v>14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</row>
    <row r="45" spans="3:13" x14ac:dyDescent="0.2">
      <c r="C45">
        <v>91711</v>
      </c>
      <c r="D45">
        <v>1.25</v>
      </c>
      <c r="E45" t="s">
        <v>276</v>
      </c>
      <c r="F45" t="s">
        <v>14</v>
      </c>
      <c r="G45" t="s">
        <v>93</v>
      </c>
      <c r="H45" t="s">
        <v>93</v>
      </c>
      <c r="I45" t="s">
        <v>93</v>
      </c>
      <c r="J45" t="s">
        <v>93</v>
      </c>
      <c r="K45" t="s">
        <v>93</v>
      </c>
    </row>
    <row r="46" spans="3:13" x14ac:dyDescent="0.2">
      <c r="C46">
        <v>91711</v>
      </c>
      <c r="D46">
        <v>1.2</v>
      </c>
      <c r="E46" s="1" t="s">
        <v>277</v>
      </c>
      <c r="F46" t="s">
        <v>14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</row>
    <row r="47" spans="3:13" x14ac:dyDescent="0.2">
      <c r="C47">
        <v>91711</v>
      </c>
      <c r="D47">
        <v>1.2</v>
      </c>
      <c r="E47" t="s">
        <v>278</v>
      </c>
      <c r="F47" t="s">
        <v>14</v>
      </c>
      <c r="G47" t="s">
        <v>159</v>
      </c>
      <c r="H47" t="s">
        <v>93</v>
      </c>
      <c r="I47" t="s">
        <v>159</v>
      </c>
      <c r="J47" t="s">
        <v>93</v>
      </c>
      <c r="K47" t="s">
        <v>159</v>
      </c>
    </row>
    <row r="48" spans="3:13" x14ac:dyDescent="0.2">
      <c r="C48">
        <v>91711</v>
      </c>
      <c r="D48">
        <v>1.2</v>
      </c>
      <c r="E48" s="1" t="s">
        <v>279</v>
      </c>
      <c r="F48" t="s">
        <v>14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</row>
    <row r="49" spans="3:11" x14ac:dyDescent="0.2">
      <c r="C49">
        <v>91711</v>
      </c>
      <c r="D49">
        <v>1.1000000000000001</v>
      </c>
      <c r="E49" s="1" t="s">
        <v>280</v>
      </c>
      <c r="F49" t="s">
        <v>14</v>
      </c>
      <c r="G49" t="s">
        <v>75</v>
      </c>
      <c r="H49" t="s">
        <v>93</v>
      </c>
      <c r="I49" t="s">
        <v>157</v>
      </c>
      <c r="J49" t="s">
        <v>157</v>
      </c>
      <c r="K49" t="s">
        <v>157</v>
      </c>
    </row>
    <row r="50" spans="3:11" x14ac:dyDescent="0.2">
      <c r="C50">
        <v>91711</v>
      </c>
      <c r="D50">
        <v>1.1000000000000001</v>
      </c>
      <c r="E50" s="1" t="s">
        <v>281</v>
      </c>
      <c r="F50" t="s">
        <v>14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</row>
    <row r="51" spans="3:11" x14ac:dyDescent="0.2">
      <c r="C51">
        <v>91711</v>
      </c>
      <c r="D51">
        <v>1</v>
      </c>
      <c r="E51">
        <v>100131171</v>
      </c>
      <c r="F51" t="s">
        <v>14</v>
      </c>
      <c r="G51" t="s">
        <v>75</v>
      </c>
      <c r="H51" t="s">
        <v>75</v>
      </c>
      <c r="I51" t="s">
        <v>75</v>
      </c>
      <c r="J51" t="s">
        <v>75</v>
      </c>
      <c r="K51" t="s">
        <v>75</v>
      </c>
    </row>
    <row r="52" spans="3:11" x14ac:dyDescent="0.2">
      <c r="C52">
        <v>91711</v>
      </c>
      <c r="D52">
        <v>1</v>
      </c>
      <c r="E52" s="1" t="s">
        <v>282</v>
      </c>
      <c r="F52" t="s">
        <v>14</v>
      </c>
      <c r="G52" t="s">
        <v>75</v>
      </c>
      <c r="H52" t="s">
        <v>75</v>
      </c>
      <c r="I52" t="s">
        <v>75</v>
      </c>
      <c r="J52" t="s">
        <v>75</v>
      </c>
      <c r="K52" t="s">
        <v>75</v>
      </c>
    </row>
    <row r="53" spans="3:11" x14ac:dyDescent="0.2">
      <c r="C53">
        <v>91786</v>
      </c>
      <c r="D53">
        <v>1</v>
      </c>
      <c r="E53" s="1" t="s">
        <v>283</v>
      </c>
      <c r="F53" t="s">
        <v>14</v>
      </c>
      <c r="G53" t="s">
        <v>159</v>
      </c>
      <c r="H53" t="s">
        <v>75</v>
      </c>
      <c r="I53" t="s">
        <v>75</v>
      </c>
      <c r="J53" t="s">
        <v>93</v>
      </c>
      <c r="K53" t="s">
        <v>157</v>
      </c>
    </row>
    <row r="54" spans="3:11" x14ac:dyDescent="0.2">
      <c r="C54">
        <v>91786</v>
      </c>
      <c r="D54">
        <v>1</v>
      </c>
      <c r="E54" s="1" t="s">
        <v>284</v>
      </c>
      <c r="F54" t="s">
        <v>14</v>
      </c>
      <c r="G54" t="s">
        <v>75</v>
      </c>
      <c r="H54" t="s">
        <v>75</v>
      </c>
      <c r="I54" t="s">
        <v>75</v>
      </c>
      <c r="J54" t="s">
        <v>84</v>
      </c>
      <c r="K54" t="s">
        <v>84</v>
      </c>
    </row>
    <row r="55" spans="3:11" x14ac:dyDescent="0.2">
      <c r="C55">
        <v>91711</v>
      </c>
      <c r="D55">
        <v>1</v>
      </c>
      <c r="E55" s="1" t="s">
        <v>285</v>
      </c>
      <c r="F55" t="s">
        <v>14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</row>
    <row r="56" spans="3:11" x14ac:dyDescent="0.2">
      <c r="C56">
        <v>91711</v>
      </c>
      <c r="D56">
        <v>1</v>
      </c>
      <c r="E56" s="1" t="s">
        <v>286</v>
      </c>
      <c r="F56" t="s">
        <v>14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</row>
    <row r="57" spans="3:11" x14ac:dyDescent="0.2">
      <c r="C57">
        <v>91711</v>
      </c>
      <c r="D57">
        <v>1</v>
      </c>
      <c r="E57" s="1" t="s">
        <v>287</v>
      </c>
      <c r="F57" t="s">
        <v>14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</row>
    <row r="58" spans="3:11" x14ac:dyDescent="0.2">
      <c r="C58">
        <v>91711</v>
      </c>
      <c r="D58">
        <v>1</v>
      </c>
      <c r="E58" s="1" t="s">
        <v>288</v>
      </c>
      <c r="F58" t="s">
        <v>14</v>
      </c>
      <c r="G58" t="s">
        <v>62</v>
      </c>
      <c r="H58" t="s">
        <v>159</v>
      </c>
      <c r="I58" t="s">
        <v>62</v>
      </c>
      <c r="J58" t="s">
        <v>159</v>
      </c>
      <c r="K58" t="s">
        <v>159</v>
      </c>
    </row>
    <row r="59" spans="3:11" x14ac:dyDescent="0.2">
      <c r="C59">
        <v>91711</v>
      </c>
      <c r="D59">
        <v>1</v>
      </c>
      <c r="E59" s="1" t="s">
        <v>289</v>
      </c>
      <c r="F59" t="s">
        <v>14</v>
      </c>
      <c r="G59" t="s">
        <v>79</v>
      </c>
      <c r="H59" t="s">
        <v>79</v>
      </c>
      <c r="I59" t="s">
        <v>93</v>
      </c>
      <c r="J59" t="s">
        <v>84</v>
      </c>
      <c r="K59" t="s">
        <v>84</v>
      </c>
    </row>
    <row r="60" spans="3:11" x14ac:dyDescent="0.2">
      <c r="C60">
        <v>91711</v>
      </c>
      <c r="D60">
        <v>1</v>
      </c>
      <c r="E60">
        <v>10365571</v>
      </c>
      <c r="F60" t="s">
        <v>14</v>
      </c>
      <c r="G60" t="s">
        <v>75</v>
      </c>
      <c r="H60" t="s">
        <v>75</v>
      </c>
      <c r="I60" t="s">
        <v>75</v>
      </c>
      <c r="J60" t="s">
        <v>75</v>
      </c>
      <c r="K60" t="s">
        <v>75</v>
      </c>
    </row>
    <row r="61" spans="3:11" x14ac:dyDescent="0.2">
      <c r="C61">
        <v>91759</v>
      </c>
      <c r="D61">
        <v>1</v>
      </c>
      <c r="E61" s="1" t="s">
        <v>290</v>
      </c>
      <c r="F61" t="s">
        <v>14</v>
      </c>
      <c r="G61" t="s">
        <v>75</v>
      </c>
      <c r="H61" t="s">
        <v>75</v>
      </c>
      <c r="I61" t="s">
        <v>75</v>
      </c>
      <c r="J61" t="s">
        <v>75</v>
      </c>
      <c r="K61" t="s">
        <v>75</v>
      </c>
    </row>
    <row r="62" spans="3:11" x14ac:dyDescent="0.2">
      <c r="C62">
        <v>91711</v>
      </c>
      <c r="D62">
        <v>1</v>
      </c>
      <c r="E62" s="1" t="s">
        <v>291</v>
      </c>
      <c r="F62" t="s">
        <v>14</v>
      </c>
      <c r="G62" t="s">
        <v>75</v>
      </c>
      <c r="H62" t="s">
        <v>75</v>
      </c>
      <c r="I62" t="s">
        <v>75</v>
      </c>
      <c r="J62" t="s">
        <v>75</v>
      </c>
      <c r="K62" t="s">
        <v>84</v>
      </c>
    </row>
    <row r="63" spans="3:11" x14ac:dyDescent="0.2">
      <c r="C63">
        <v>91711</v>
      </c>
      <c r="D63">
        <v>1</v>
      </c>
      <c r="E63" s="1" t="s">
        <v>292</v>
      </c>
      <c r="F63" t="s">
        <v>14</v>
      </c>
      <c r="G63" t="s">
        <v>75</v>
      </c>
      <c r="H63" t="s">
        <v>75</v>
      </c>
      <c r="I63" t="s">
        <v>75</v>
      </c>
      <c r="J63" t="s">
        <v>89</v>
      </c>
      <c r="K63" t="s">
        <v>75</v>
      </c>
    </row>
    <row r="64" spans="3:11" x14ac:dyDescent="0.2">
      <c r="C64">
        <v>91711</v>
      </c>
      <c r="D64">
        <v>1</v>
      </c>
      <c r="E64" s="1" t="s">
        <v>293</v>
      </c>
      <c r="F64" t="s">
        <v>14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</row>
    <row r="65" spans="3:11" x14ac:dyDescent="0.2">
      <c r="C65">
        <v>91711</v>
      </c>
      <c r="D65">
        <v>1</v>
      </c>
      <c r="E65" s="1" t="s">
        <v>294</v>
      </c>
      <c r="F65" t="s">
        <v>14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</row>
    <row r="66" spans="3:11" x14ac:dyDescent="0.2">
      <c r="C66">
        <v>91711</v>
      </c>
      <c r="D66">
        <v>1</v>
      </c>
      <c r="E66" s="1" t="s">
        <v>295</v>
      </c>
      <c r="F66" t="s">
        <v>14</v>
      </c>
      <c r="G66" t="s">
        <v>89</v>
      </c>
      <c r="H66" t="s">
        <v>75</v>
      </c>
      <c r="I66" t="s">
        <v>243</v>
      </c>
      <c r="J66" t="s">
        <v>75</v>
      </c>
      <c r="K66" t="s">
        <v>75</v>
      </c>
    </row>
    <row r="67" spans="3:11" x14ac:dyDescent="0.2">
      <c r="C67">
        <v>91711</v>
      </c>
      <c r="D67">
        <v>1</v>
      </c>
      <c r="E67" s="1" t="s">
        <v>296</v>
      </c>
      <c r="F67" t="s">
        <v>14</v>
      </c>
      <c r="G67" t="s">
        <v>62</v>
      </c>
      <c r="H67" t="s">
        <v>62</v>
      </c>
      <c r="I67" t="s">
        <v>62</v>
      </c>
      <c r="J67" t="s">
        <v>62</v>
      </c>
      <c r="K67" t="s">
        <v>62</v>
      </c>
    </row>
    <row r="68" spans="3:11" x14ac:dyDescent="0.2">
      <c r="C68">
        <v>91711</v>
      </c>
      <c r="D68">
        <v>1</v>
      </c>
      <c r="E68" s="1" t="s">
        <v>297</v>
      </c>
      <c r="F68" t="s">
        <v>14</v>
      </c>
      <c r="G68" t="s">
        <v>62</v>
      </c>
      <c r="H68" t="s">
        <v>62</v>
      </c>
      <c r="I68" t="s">
        <v>62</v>
      </c>
      <c r="J68" t="s">
        <v>62</v>
      </c>
      <c r="K68" t="s">
        <v>62</v>
      </c>
    </row>
    <row r="69" spans="3:11" x14ac:dyDescent="0.2">
      <c r="C69">
        <v>91711</v>
      </c>
      <c r="D69">
        <v>1</v>
      </c>
      <c r="E69" s="1" t="s">
        <v>298</v>
      </c>
      <c r="F69" t="s">
        <v>14</v>
      </c>
      <c r="G69" t="s">
        <v>79</v>
      </c>
      <c r="H69" t="s">
        <v>93</v>
      </c>
      <c r="I69" t="s">
        <v>79</v>
      </c>
      <c r="J69" t="s">
        <v>93</v>
      </c>
      <c r="K69" t="s">
        <v>79</v>
      </c>
    </row>
    <row r="70" spans="3:11" x14ac:dyDescent="0.2">
      <c r="C70">
        <v>91711</v>
      </c>
      <c r="D70">
        <v>1</v>
      </c>
      <c r="E70" s="1" t="s">
        <v>299</v>
      </c>
      <c r="F70" t="s">
        <v>14</v>
      </c>
      <c r="G70" t="s">
        <v>75</v>
      </c>
      <c r="H70" t="s">
        <v>75</v>
      </c>
      <c r="I70" t="s">
        <v>75</v>
      </c>
      <c r="J70" t="s">
        <v>75</v>
      </c>
      <c r="K70" t="s">
        <v>75</v>
      </c>
    </row>
    <row r="71" spans="3:11" x14ac:dyDescent="0.2">
      <c r="C71">
        <v>91711</v>
      </c>
      <c r="D71">
        <v>1</v>
      </c>
      <c r="E71" t="s">
        <v>300</v>
      </c>
      <c r="F71" t="s">
        <v>14</v>
      </c>
      <c r="G71" t="s">
        <v>79</v>
      </c>
      <c r="H71" t="s">
        <v>79</v>
      </c>
      <c r="I71" t="s">
        <v>79</v>
      </c>
      <c r="J71" t="s">
        <v>79</v>
      </c>
      <c r="K71" t="s">
        <v>79</v>
      </c>
    </row>
    <row r="72" spans="3:11" x14ac:dyDescent="0.2">
      <c r="C72">
        <v>91711</v>
      </c>
      <c r="D72">
        <v>1</v>
      </c>
      <c r="E72" s="1" t="s">
        <v>301</v>
      </c>
      <c r="F72" t="s">
        <v>14</v>
      </c>
      <c r="G72" t="s">
        <v>75</v>
      </c>
      <c r="H72" t="s">
        <v>75</v>
      </c>
      <c r="I72" t="s">
        <v>75</v>
      </c>
      <c r="J72" t="s">
        <v>75</v>
      </c>
      <c r="K72" t="s">
        <v>159</v>
      </c>
    </row>
    <row r="73" spans="3:11" x14ac:dyDescent="0.2">
      <c r="C73">
        <v>91711</v>
      </c>
      <c r="D73">
        <v>1</v>
      </c>
      <c r="E73" s="1" t="s">
        <v>302</v>
      </c>
      <c r="F73" t="s">
        <v>14</v>
      </c>
      <c r="G73" t="s">
        <v>84</v>
      </c>
      <c r="H73" t="s">
        <v>79</v>
      </c>
      <c r="I73" t="s">
        <v>84</v>
      </c>
      <c r="J73" t="s">
        <v>79</v>
      </c>
      <c r="K73" t="s">
        <v>79</v>
      </c>
    </row>
    <row r="74" spans="3:11" x14ac:dyDescent="0.2">
      <c r="C74">
        <v>91711</v>
      </c>
      <c r="D74">
        <v>1</v>
      </c>
      <c r="E74" s="1" t="s">
        <v>303</v>
      </c>
      <c r="F74" t="s">
        <v>14</v>
      </c>
      <c r="G74" t="s">
        <v>159</v>
      </c>
      <c r="H74" t="s">
        <v>243</v>
      </c>
      <c r="I74" t="s">
        <v>243</v>
      </c>
      <c r="J74" t="s">
        <v>243</v>
      </c>
      <c r="K74" t="s">
        <v>159</v>
      </c>
    </row>
    <row r="75" spans="3:11" x14ac:dyDescent="0.2">
      <c r="C75">
        <v>91711</v>
      </c>
      <c r="D75">
        <v>1</v>
      </c>
      <c r="E75" s="1" t="s">
        <v>304</v>
      </c>
      <c r="F75" t="s">
        <v>14</v>
      </c>
      <c r="G75" t="s">
        <v>93</v>
      </c>
      <c r="H75" t="s">
        <v>159</v>
      </c>
      <c r="I75" t="s">
        <v>93</v>
      </c>
      <c r="J75" t="s">
        <v>159</v>
      </c>
      <c r="K75" t="s">
        <v>75</v>
      </c>
    </row>
    <row r="76" spans="3:11" x14ac:dyDescent="0.2">
      <c r="C76">
        <v>91711</v>
      </c>
      <c r="D76">
        <v>1</v>
      </c>
      <c r="E76">
        <v>10120163</v>
      </c>
      <c r="F76" t="s">
        <v>14</v>
      </c>
      <c r="G76" t="s">
        <v>243</v>
      </c>
      <c r="H76" t="s">
        <v>243</v>
      </c>
      <c r="I76" t="s">
        <v>243</v>
      </c>
      <c r="J76" t="s">
        <v>243</v>
      </c>
      <c r="K76" t="s">
        <v>243</v>
      </c>
    </row>
    <row r="77" spans="3:11" x14ac:dyDescent="0.2">
      <c r="C77">
        <v>91711</v>
      </c>
      <c r="D77">
        <v>0.8</v>
      </c>
      <c r="E77" s="1" t="s">
        <v>305</v>
      </c>
      <c r="F77" t="s">
        <v>14</v>
      </c>
      <c r="G77" t="s">
        <v>75</v>
      </c>
      <c r="H77" t="s">
        <v>75</v>
      </c>
      <c r="I77" t="s">
        <v>75</v>
      </c>
      <c r="J77" t="s">
        <v>75</v>
      </c>
      <c r="K77" t="s">
        <v>75</v>
      </c>
    </row>
    <row r="78" spans="3:11" x14ac:dyDescent="0.2">
      <c r="C78">
        <v>91711</v>
      </c>
      <c r="D78">
        <v>0.7</v>
      </c>
      <c r="E78" s="1" t="s">
        <v>306</v>
      </c>
      <c r="F78" t="s">
        <v>14</v>
      </c>
      <c r="G78" t="s">
        <v>75</v>
      </c>
      <c r="H78" t="s">
        <v>75</v>
      </c>
      <c r="I78" t="s">
        <v>75</v>
      </c>
      <c r="J78" t="s">
        <v>75</v>
      </c>
      <c r="K78" t="s">
        <v>75</v>
      </c>
    </row>
    <row r="79" spans="3:11" x14ac:dyDescent="0.2">
      <c r="C79">
        <v>91711</v>
      </c>
      <c r="D79">
        <v>0.5</v>
      </c>
      <c r="E79" s="1" t="s">
        <v>307</v>
      </c>
      <c r="F79" t="s">
        <v>14</v>
      </c>
      <c r="G79" t="s">
        <v>75</v>
      </c>
      <c r="H79" t="s">
        <v>75</v>
      </c>
      <c r="I79" t="s">
        <v>75</v>
      </c>
      <c r="J79" t="s">
        <v>75</v>
      </c>
      <c r="K79" t="s">
        <v>75</v>
      </c>
    </row>
    <row r="80" spans="3:11" x14ac:dyDescent="0.2">
      <c r="C80">
        <v>91711</v>
      </c>
      <c r="D80">
        <v>0.5</v>
      </c>
      <c r="E80" s="1" t="s">
        <v>308</v>
      </c>
      <c r="F80" t="s">
        <v>14</v>
      </c>
      <c r="G80" t="s">
        <v>75</v>
      </c>
      <c r="H80" t="s">
        <v>75</v>
      </c>
      <c r="I80" t="s">
        <v>75</v>
      </c>
      <c r="J80" t="s">
        <v>75</v>
      </c>
      <c r="K80" t="s">
        <v>75</v>
      </c>
    </row>
    <row r="81" spans="3:11" x14ac:dyDescent="0.2">
      <c r="C81">
        <v>91711</v>
      </c>
      <c r="D81">
        <v>0.5</v>
      </c>
      <c r="E81" s="1" t="s">
        <v>309</v>
      </c>
      <c r="F81" t="s">
        <v>14</v>
      </c>
      <c r="G81" t="s">
        <v>75</v>
      </c>
      <c r="H81" t="s">
        <v>75</v>
      </c>
      <c r="I81" t="s">
        <v>75</v>
      </c>
      <c r="J81" t="s">
        <v>75</v>
      </c>
      <c r="K81" t="s">
        <v>75</v>
      </c>
    </row>
    <row r="82" spans="3:11" x14ac:dyDescent="0.2">
      <c r="C82">
        <v>91711</v>
      </c>
      <c r="D82">
        <v>0.5</v>
      </c>
      <c r="E82" s="1" t="s">
        <v>310</v>
      </c>
      <c r="F82" t="s">
        <v>14</v>
      </c>
      <c r="G82" t="s">
        <v>75</v>
      </c>
      <c r="H82" t="s">
        <v>75</v>
      </c>
      <c r="I82" t="s">
        <v>75</v>
      </c>
      <c r="J82" t="s">
        <v>75</v>
      </c>
      <c r="K82" t="s">
        <v>75</v>
      </c>
    </row>
    <row r="83" spans="3:11" x14ac:dyDescent="0.2">
      <c r="C83">
        <v>91711</v>
      </c>
      <c r="D83">
        <v>0.5</v>
      </c>
      <c r="E83" s="1" t="s">
        <v>311</v>
      </c>
      <c r="F83" t="s">
        <v>14</v>
      </c>
      <c r="G83" t="s">
        <v>79</v>
      </c>
      <c r="H83" t="s">
        <v>79</v>
      </c>
      <c r="I83" t="s">
        <v>79</v>
      </c>
      <c r="J83" t="s">
        <v>79</v>
      </c>
      <c r="K83" t="s">
        <v>79</v>
      </c>
    </row>
    <row r="84" spans="3:11" x14ac:dyDescent="0.2">
      <c r="C84">
        <v>91711</v>
      </c>
      <c r="D84">
        <v>0.5</v>
      </c>
      <c r="E84" s="1" t="s">
        <v>312</v>
      </c>
      <c r="F84" t="s">
        <v>14</v>
      </c>
      <c r="G84" t="s">
        <v>75</v>
      </c>
      <c r="H84" t="s">
        <v>75</v>
      </c>
      <c r="I84" t="s">
        <v>75</v>
      </c>
      <c r="J84" t="s">
        <v>75</v>
      </c>
      <c r="K84" t="s">
        <v>159</v>
      </c>
    </row>
    <row r="85" spans="3:11" x14ac:dyDescent="0.2">
      <c r="C85">
        <v>91711</v>
      </c>
      <c r="D85">
        <v>0.5</v>
      </c>
      <c r="E85" s="1" t="s">
        <v>313</v>
      </c>
      <c r="F85" t="s">
        <v>14</v>
      </c>
      <c r="G85" t="s">
        <v>75</v>
      </c>
      <c r="H85" t="s">
        <v>75</v>
      </c>
      <c r="I85" t="s">
        <v>75</v>
      </c>
      <c r="J85" t="s">
        <v>75</v>
      </c>
      <c r="K85" t="s">
        <v>93</v>
      </c>
    </row>
    <row r="86" spans="3:11" x14ac:dyDescent="0.2">
      <c r="C86">
        <v>91711</v>
      </c>
      <c r="D86">
        <v>0.5</v>
      </c>
      <c r="E86" s="1" t="s">
        <v>314</v>
      </c>
      <c r="F86" t="s">
        <v>14</v>
      </c>
      <c r="G86" t="s">
        <v>157</v>
      </c>
      <c r="H86" t="s">
        <v>157</v>
      </c>
      <c r="I86" t="s">
        <v>157</v>
      </c>
      <c r="J86" t="s">
        <v>157</v>
      </c>
      <c r="K86" t="s">
        <v>157</v>
      </c>
    </row>
    <row r="87" spans="3:11" x14ac:dyDescent="0.2">
      <c r="C87">
        <v>91711</v>
      </c>
      <c r="D87">
        <v>0.2</v>
      </c>
      <c r="E87" s="1" t="s">
        <v>315</v>
      </c>
      <c r="F87" t="s">
        <v>14</v>
      </c>
      <c r="G87" t="s">
        <v>75</v>
      </c>
      <c r="H87" t="s">
        <v>75</v>
      </c>
      <c r="I87" t="s">
        <v>75</v>
      </c>
      <c r="J87" t="s">
        <v>75</v>
      </c>
      <c r="K87" t="s">
        <v>75</v>
      </c>
    </row>
  </sheetData>
  <mergeCells count="12">
    <mergeCell ref="O21:P21"/>
    <mergeCell ref="M1:W1"/>
    <mergeCell ref="M8:X8"/>
    <mergeCell ref="O12:Q12"/>
    <mergeCell ref="O13:P13"/>
    <mergeCell ref="O14:P14"/>
    <mergeCell ref="O15:P15"/>
    <mergeCell ref="O16:P16"/>
    <mergeCell ref="O17:P17"/>
    <mergeCell ref="O18:P18"/>
    <mergeCell ref="O19:P19"/>
    <mergeCell ref="O20:P2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"/>
  <sheetViews>
    <sheetView workbookViewId="0">
      <selection activeCell="A2" sqref="A2:B148"/>
    </sheetView>
  </sheetViews>
  <sheetFormatPr baseColWidth="10" defaultColWidth="8.83203125" defaultRowHeight="15" x14ac:dyDescent="0.2"/>
  <cols>
    <col min="1" max="1" width="12.6640625" bestFit="1" customWidth="1"/>
    <col min="2" max="2" width="17.5" bestFit="1" customWidth="1"/>
    <col min="4" max="4" width="25" bestFit="1" customWidth="1"/>
    <col min="5" max="5" width="14.5" bestFit="1" customWidth="1"/>
    <col min="6" max="6" width="16.83203125" bestFit="1" customWidth="1"/>
    <col min="7" max="11" width="25.1640625" bestFit="1" customWidth="1"/>
    <col min="13" max="13" width="34.83203125" customWidth="1"/>
    <col min="14" max="14" width="14.6640625" customWidth="1"/>
    <col min="16" max="16" width="12.6640625" customWidth="1"/>
    <col min="17" max="17" width="16.33203125" customWidth="1"/>
    <col min="18" max="18" width="17.33203125" customWidth="1"/>
    <col min="19" max="19" width="13.6640625" customWidth="1"/>
    <col min="20" max="20" width="15.83203125" customWidth="1"/>
    <col min="21" max="21" width="18.5" customWidth="1"/>
    <col min="22" max="22" width="15" customWidth="1"/>
    <col min="24" max="24" width="17.1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61" t="s">
        <v>11</v>
      </c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4" x14ac:dyDescent="0.2">
      <c r="C2">
        <v>90016</v>
      </c>
      <c r="D2">
        <v>45</v>
      </c>
      <c r="E2" t="s">
        <v>234</v>
      </c>
      <c r="F2" t="s">
        <v>14</v>
      </c>
      <c r="G2" t="s">
        <v>89</v>
      </c>
      <c r="H2" t="s">
        <v>71</v>
      </c>
      <c r="I2" t="s">
        <v>89</v>
      </c>
      <c r="J2" t="s">
        <v>71</v>
      </c>
      <c r="K2" t="s">
        <v>89</v>
      </c>
      <c r="M2" s="2"/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3" t="s">
        <v>24</v>
      </c>
      <c r="W2" s="4" t="s">
        <v>25</v>
      </c>
    </row>
    <row r="3" spans="1:24" x14ac:dyDescent="0.2">
      <c r="C3">
        <v>92610</v>
      </c>
      <c r="D3">
        <v>40</v>
      </c>
      <c r="E3" s="1" t="s">
        <v>235</v>
      </c>
      <c r="F3" t="s">
        <v>14</v>
      </c>
      <c r="G3" t="s">
        <v>159</v>
      </c>
      <c r="H3" t="s">
        <v>93</v>
      </c>
      <c r="I3" t="s">
        <v>93</v>
      </c>
      <c r="J3" t="s">
        <v>93</v>
      </c>
      <c r="K3" t="s">
        <v>159</v>
      </c>
      <c r="M3" s="5" t="s">
        <v>29</v>
      </c>
      <c r="N3" s="6" cm="1">
        <f t="array" ref="N3">SUM(COUNTIF($G:$K,{"H.*","I.*"}))/W10</f>
        <v>0.29916897506925205</v>
      </c>
      <c r="O3" s="7">
        <f>COUNTIF($G:$K,"E.*")/W10</f>
        <v>0.11080332409972299</v>
      </c>
      <c r="P3" s="7" cm="1">
        <f t="array" ref="P3">SUM(COUNTIF($G:$K,{"J.*","K.*","L.*","M.*","N.*","O.*","P.*","Q.*","R.*","S.*","T.*","U.*","V.*","W.*"}))/W10</f>
        <v>6.3711911357340723E-2</v>
      </c>
      <c r="Q3" s="7">
        <f>COUNTIF($G:$K,"C.*")/W10</f>
        <v>1.3850415512465374E-2</v>
      </c>
      <c r="R3" s="7">
        <f>COUNTIF($G:$K,"A.*")/W10</f>
        <v>8.0332409972299165E-2</v>
      </c>
      <c r="S3" s="7">
        <v>0</v>
      </c>
      <c r="T3" s="7">
        <f>COUNTIF($G:$K,"B.*")/W10</f>
        <v>1.3850415512465374E-2</v>
      </c>
      <c r="U3" s="7">
        <f>COUNTIF($G:$K,"F.*")/W10</f>
        <v>8.3102493074792241E-2</v>
      </c>
      <c r="V3" s="8">
        <f>COUNTIF($G:$K,"D.*")/W10</f>
        <v>0.33518005540166207</v>
      </c>
      <c r="W3" s="7">
        <f>SUM(N3:V3)</f>
        <v>0.99999999999999989</v>
      </c>
    </row>
    <row r="4" spans="1:24" ht="16" x14ac:dyDescent="0.2">
      <c r="C4">
        <v>90808</v>
      </c>
      <c r="D4">
        <v>39</v>
      </c>
      <c r="E4" t="s">
        <v>236</v>
      </c>
      <c r="F4" t="s">
        <v>14</v>
      </c>
      <c r="G4" t="s">
        <v>89</v>
      </c>
      <c r="H4" t="s">
        <v>89</v>
      </c>
      <c r="I4" t="s">
        <v>89</v>
      </c>
      <c r="J4" t="s">
        <v>62</v>
      </c>
      <c r="K4" t="s">
        <v>62</v>
      </c>
      <c r="M4" s="9" t="s">
        <v>33</v>
      </c>
      <c r="N4" s="10" cm="1">
        <f t="array" ref="N4">SUM(_xlfn.BYCOL(G:K,_xlfn.LAMBDA(_xlpm.col,SUMIF(_xlpm.col,"H.*",D:D)+SUMIF(_xlpm.col,"I.*",D:D))))/N10</f>
        <v>9.3268518518518526</v>
      </c>
      <c r="O4" s="11" cm="1">
        <f t="array" ref="O4">SUM(_xlfn.BYCOL(G:K,_xlfn.LAMBDA(_xlpm.col,SUMIF(_xlpm.col,"E.*",D:D))))/O10</f>
        <v>1.28125</v>
      </c>
      <c r="P4" s="12" cm="1">
        <f t="array" ref="P4">SUM(_xlfn.BYCOL($G:$K,_xlfn.LAMBDA(_xlpm.col,SUMIF(_xlpm.col,"J.*",$D:$D)+SUMIF(_xlpm.col,"K.*",$D:$D)+SUMIF(_xlpm.col,"L.*",$D:$D)+SUMIF(_xlpm.col,"M.*",$D:$D)+SUMIF(_xlpm.col,"N.*",$D:$D)+SUMIF(_xlpm.col,"O.*",$D:$D)+SUMIF(_xlpm.col,"P.*",$D:$D)+SUMIF(_xlpm.col,"Q.*",$D:$D)+SUMIF(_xlpm.col,"R.*",$D:$D)+SUMIF(_xlpm.col,"S.*",$D:$D)+SUMIF(_xlpm.col,"T.*",$D:$D)+SUMIF(_xlpm.col,"U.*",$D:$D)+SUMIF(_xlpm.col,"V.*",$D:$D)+SUMIF(_xlpm.col,"W.*",$D:$D))))/$P10</f>
        <v>9.3478260869565215</v>
      </c>
      <c r="Q4" s="12" cm="1">
        <f t="array" ref="Q4">SUM(_xlfn.BYCOL(G:K,_xlfn.LAMBDA(_xlpm.col,SUMIF(_xlpm.col,"C.*",D:D))))/Q10</f>
        <v>36.4</v>
      </c>
      <c r="R4" s="12" cm="1">
        <f t="array" ref="R4">SUM(_xlfn.BYCOL(G:K,_xlfn.LAMBDA(_xlpm.col,SUMIF(_xlpm.col,"A.*",D:D))))/R10</f>
        <v>4.8172413793103441</v>
      </c>
      <c r="S4" s="12" t="s">
        <v>34</v>
      </c>
      <c r="T4" s="12" cm="1">
        <f t="array" ref="T4">SUM(_xlfn.BYCOL(G:K,_xlfn.LAMBDA(_xlpm.col,SUMIF(_xlpm.col,"B.*",D:D))))/T10</f>
        <v>17</v>
      </c>
      <c r="U4" s="12" t="s">
        <v>34</v>
      </c>
      <c r="V4" s="12" cm="1">
        <f t="array" ref="V4">SUM(_xlfn.BYCOL(G:K,_xlfn.LAMBDA(_xlpm.col,SUMIF(_xlpm.col,"D.*",D:D))))/V10</f>
        <v>0.90826446280991713</v>
      </c>
      <c r="W4" s="10">
        <f>AVERAGE(N4:V4)</f>
        <v>11.297347682989804</v>
      </c>
    </row>
    <row r="5" spans="1:24" x14ac:dyDescent="0.2">
      <c r="C5">
        <v>90065</v>
      </c>
      <c r="D5">
        <v>35</v>
      </c>
      <c r="E5" s="1" t="s">
        <v>237</v>
      </c>
      <c r="F5" t="s">
        <v>14</v>
      </c>
      <c r="G5" t="s">
        <v>159</v>
      </c>
      <c r="H5" t="s">
        <v>93</v>
      </c>
      <c r="I5" t="s">
        <v>159</v>
      </c>
      <c r="J5" t="s">
        <v>159</v>
      </c>
      <c r="K5" t="s">
        <v>159</v>
      </c>
      <c r="M5" s="5" t="s">
        <v>38</v>
      </c>
      <c r="N5" s="5"/>
      <c r="O5" s="5"/>
      <c r="P5" s="13" cm="1">
        <f t="array" ref="P5">SUM(_xlfn.BYCOL($G:$K,_xlfn.LAMBDA(_xlpm.col,SUMIF(_xlpm.col,"J.*",$D:$D)*2+SUMIF(_xlpm.col,"K.*",$D:$D)*3+SUMIF(_xlpm.col,"L.*",$D:$D)*4+SUMIF(_xlpm.col,"M.*",$D:$D)*5+SUMIF(_xlpm.col,"N.*",$D:$D)*6+SUMIF(_xlpm.col,"O.*",$D:$D)*7+SUMIF(_xlpm.col,"P.*",$D:$D)*8+SUMIF(_xlpm.col,"Q.*",$D:$D)*9+SUMIF(_xlpm.col,"R.*",$D:$D)*10+SUMIF(_xlpm.col,"S.*",$D:$D)*11+SUMIF(_xlpm.col,"T.*",$D:$D)*12+SUMIF(_xlpm.col,"U.*",$D:$D)*13+SUMIF(_xlpm.col,"V.*",$D:$D)*14+SUMIF(_xlpm.col,"W.*",$D:$D)*15)))/$P10</f>
        <v>23.391304347826086</v>
      </c>
      <c r="Q5" s="5"/>
      <c r="R5" s="5"/>
      <c r="S5" s="5"/>
      <c r="T5" s="5"/>
      <c r="U5" s="5"/>
      <c r="V5" s="5"/>
      <c r="W5" s="5"/>
    </row>
    <row r="6" spans="1:24" x14ac:dyDescent="0.2">
      <c r="C6">
        <v>92374</v>
      </c>
      <c r="D6">
        <v>34</v>
      </c>
      <c r="E6" s="1" t="s">
        <v>238</v>
      </c>
      <c r="F6" t="s">
        <v>14</v>
      </c>
      <c r="G6" t="s">
        <v>84</v>
      </c>
      <c r="H6" t="s">
        <v>93</v>
      </c>
      <c r="I6" t="s">
        <v>93</v>
      </c>
      <c r="J6" t="s">
        <v>93</v>
      </c>
      <c r="K6" t="s">
        <v>84</v>
      </c>
      <c r="M6" s="14" t="s">
        <v>41</v>
      </c>
      <c r="N6" s="14"/>
      <c r="O6" s="14"/>
      <c r="P6" s="15">
        <f>P5/P4</f>
        <v>2.5023255813953487</v>
      </c>
      <c r="Q6" s="14"/>
      <c r="R6" s="14"/>
      <c r="S6" s="14"/>
      <c r="T6" s="14"/>
      <c r="U6" s="14"/>
      <c r="V6" s="14"/>
      <c r="W6" s="14"/>
    </row>
    <row r="7" spans="1:24" x14ac:dyDescent="0.2">
      <c r="C7">
        <v>90063</v>
      </c>
      <c r="D7">
        <v>32</v>
      </c>
      <c r="E7" s="1" t="s">
        <v>239</v>
      </c>
      <c r="F7" t="s">
        <v>14</v>
      </c>
      <c r="G7" t="s">
        <v>93</v>
      </c>
      <c r="H7" t="s">
        <v>84</v>
      </c>
      <c r="I7" t="s">
        <v>71</v>
      </c>
      <c r="J7" t="s">
        <v>84</v>
      </c>
      <c r="K7" t="s">
        <v>84</v>
      </c>
      <c r="P7" s="16"/>
    </row>
    <row r="8" spans="1:24" x14ac:dyDescent="0.2">
      <c r="C8">
        <v>91030</v>
      </c>
      <c r="D8">
        <v>30</v>
      </c>
      <c r="E8" s="1" t="s">
        <v>240</v>
      </c>
      <c r="F8" t="s">
        <v>14</v>
      </c>
      <c r="G8" t="s">
        <v>93</v>
      </c>
      <c r="H8" t="s">
        <v>71</v>
      </c>
      <c r="I8" t="s">
        <v>93</v>
      </c>
      <c r="J8" t="s">
        <v>71</v>
      </c>
      <c r="K8" t="s">
        <v>89</v>
      </c>
      <c r="M8" s="62" t="s">
        <v>47</v>
      </c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9" spans="1:24" x14ac:dyDescent="0.2">
      <c r="C9">
        <v>91011</v>
      </c>
      <c r="D9">
        <v>30</v>
      </c>
      <c r="E9">
        <v>12345</v>
      </c>
      <c r="F9" t="s">
        <v>14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M9" s="17"/>
      <c r="N9" s="17" t="s">
        <v>16</v>
      </c>
      <c r="O9" s="17" t="s">
        <v>17</v>
      </c>
      <c r="P9" s="17" t="s">
        <v>18</v>
      </c>
      <c r="Q9" s="17" t="s">
        <v>19</v>
      </c>
      <c r="R9" s="17" t="s">
        <v>20</v>
      </c>
      <c r="S9" s="17" t="s">
        <v>21</v>
      </c>
      <c r="T9" s="17" t="s">
        <v>22</v>
      </c>
      <c r="U9" s="17" t="s">
        <v>23</v>
      </c>
      <c r="V9" s="17" t="s">
        <v>24</v>
      </c>
      <c r="W9" s="17" t="s">
        <v>25</v>
      </c>
      <c r="X9" s="18" t="s">
        <v>50</v>
      </c>
    </row>
    <row r="10" spans="1:24" x14ac:dyDescent="0.2">
      <c r="C10">
        <v>92833</v>
      </c>
      <c r="D10">
        <v>29.9</v>
      </c>
      <c r="E10" s="1" t="s">
        <v>241</v>
      </c>
      <c r="F10" t="s">
        <v>14</v>
      </c>
      <c r="G10" t="s">
        <v>159</v>
      </c>
      <c r="H10" t="s">
        <v>93</v>
      </c>
      <c r="I10" t="s">
        <v>159</v>
      </c>
      <c r="J10" t="s">
        <v>93</v>
      </c>
      <c r="K10" t="s">
        <v>159</v>
      </c>
      <c r="M10" s="19" t="s">
        <v>53</v>
      </c>
      <c r="N10" s="19" cm="1">
        <f t="array" ref="N10">SUM(COUNTIF($G:$K,{"H.*","I.*"}))</f>
        <v>108</v>
      </c>
      <c r="O10" s="19">
        <f>COUNTIF($G:$K,"E.*")</f>
        <v>40</v>
      </c>
      <c r="P10" s="19" cm="1">
        <f t="array" ref="P10">SUM(COUNTIF($G:$K,{"J.*","K.*","L.*","M.*","N.*","O.*","P.*","Q.*","R.*","S.*","T.*","U.*","V.*","W.*"}))</f>
        <v>23</v>
      </c>
      <c r="Q10" s="20">
        <f>COUNTIF($G:$K,"C.*")</f>
        <v>5</v>
      </c>
      <c r="R10" s="19">
        <f>COUNTIF($G:$K,"A.*")</f>
        <v>29</v>
      </c>
      <c r="S10" s="19">
        <v>0</v>
      </c>
      <c r="T10" s="19">
        <f>COUNTIF($G:$K,"B.*")</f>
        <v>5</v>
      </c>
      <c r="U10" s="19">
        <f>COUNTIF($G:$K,"F.*")</f>
        <v>30</v>
      </c>
      <c r="V10" s="19">
        <f>COUNTIF($G:$K,"D.*")</f>
        <v>121</v>
      </c>
      <c r="W10" s="21">
        <f>SUM(N10:V10)</f>
        <v>361</v>
      </c>
      <c r="X10" s="17">
        <f>COUNTIFS($G2:$K1000,"&lt;&gt;",$G2:$K1000,"&lt;&gt;OFF.*",$G2:$K1000,"&lt;&gt;AA.*",$G2:$K1000,"&lt;&gt;BB.*",$G2:$K1000,"&lt;&gt;G.*",$G2:$K1000,"&lt;&gt;X.*",$G2:$K1000,"&lt;&gt;Y.*",$G2:$K1000,"&lt;&gt;Z.*",G2:K1000,"&lt;&gt;CC.*")</f>
        <v>361</v>
      </c>
    </row>
    <row r="11" spans="1:24" x14ac:dyDescent="0.2">
      <c r="C11">
        <v>91001</v>
      </c>
      <c r="D11">
        <v>28.5</v>
      </c>
      <c r="E11" s="1" t="s">
        <v>242</v>
      </c>
      <c r="F11" t="s">
        <v>14</v>
      </c>
      <c r="G11" t="s">
        <v>243</v>
      </c>
      <c r="H11" t="s">
        <v>84</v>
      </c>
      <c r="I11" t="s">
        <v>243</v>
      </c>
      <c r="J11" t="s">
        <v>93</v>
      </c>
      <c r="K11" t="s">
        <v>84</v>
      </c>
    </row>
    <row r="12" spans="1:24" ht="16" x14ac:dyDescent="0.2">
      <c r="C12">
        <v>91106</v>
      </c>
      <c r="D12">
        <v>28</v>
      </c>
      <c r="E12" s="1" t="s">
        <v>244</v>
      </c>
      <c r="F12" t="s">
        <v>14</v>
      </c>
      <c r="G12" t="s">
        <v>93</v>
      </c>
      <c r="H12" t="s">
        <v>93</v>
      </c>
      <c r="I12" t="s">
        <v>93</v>
      </c>
      <c r="J12" t="s">
        <v>93</v>
      </c>
      <c r="K12" t="s">
        <v>93</v>
      </c>
      <c r="M12" s="22" t="s">
        <v>57</v>
      </c>
      <c r="O12" s="59" t="s">
        <v>58</v>
      </c>
      <c r="P12" s="63"/>
      <c r="Q12" s="60"/>
    </row>
    <row r="13" spans="1:24" ht="16" x14ac:dyDescent="0.2">
      <c r="C13">
        <v>91104</v>
      </c>
      <c r="D13">
        <v>27</v>
      </c>
      <c r="E13" s="1" t="s">
        <v>245</v>
      </c>
      <c r="F13" t="s">
        <v>14</v>
      </c>
      <c r="G13" t="s">
        <v>246</v>
      </c>
      <c r="H13" t="s">
        <v>246</v>
      </c>
      <c r="I13" t="s">
        <v>246</v>
      </c>
      <c r="J13" t="s">
        <v>243</v>
      </c>
      <c r="K13" t="s">
        <v>246</v>
      </c>
      <c r="M13" s="26" t="s">
        <v>62</v>
      </c>
      <c r="O13" s="64" t="s">
        <v>63</v>
      </c>
      <c r="P13" s="64"/>
      <c r="Q13" s="19" t="e">
        <f>2*W10/COUNTIFS(A:A,"&lt;&gt;",A:A,"&lt;&gt;FirstName")</f>
        <v>#DIV/0!</v>
      </c>
    </row>
    <row r="14" spans="1:24" ht="16" x14ac:dyDescent="0.2">
      <c r="C14">
        <v>92620</v>
      </c>
      <c r="D14">
        <v>27</v>
      </c>
      <c r="E14" s="1" t="s">
        <v>247</v>
      </c>
      <c r="F14" t="s">
        <v>14</v>
      </c>
      <c r="G14" t="s">
        <v>157</v>
      </c>
      <c r="H14" t="s">
        <v>157</v>
      </c>
      <c r="I14" t="s">
        <v>157</v>
      </c>
      <c r="J14" t="s">
        <v>157</v>
      </c>
      <c r="K14" t="s">
        <v>157</v>
      </c>
      <c r="M14" s="26" t="s">
        <v>66</v>
      </c>
      <c r="O14" s="62" t="s">
        <v>67</v>
      </c>
      <c r="P14" s="62"/>
      <c r="Q14" s="17">
        <v>323</v>
      </c>
    </row>
    <row r="15" spans="1:24" ht="16" x14ac:dyDescent="0.2">
      <c r="C15">
        <v>90065</v>
      </c>
      <c r="D15">
        <v>25</v>
      </c>
      <c r="E15">
        <v>103809</v>
      </c>
      <c r="F15" t="s">
        <v>14</v>
      </c>
      <c r="G15" t="s">
        <v>159</v>
      </c>
      <c r="H15" t="s">
        <v>159</v>
      </c>
      <c r="I15" t="s">
        <v>159</v>
      </c>
      <c r="J15" t="s">
        <v>159</v>
      </c>
      <c r="K15" t="s">
        <v>93</v>
      </c>
      <c r="M15" s="26" t="s">
        <v>71</v>
      </c>
      <c r="O15" s="65" t="s">
        <v>72</v>
      </c>
      <c r="P15" s="65"/>
      <c r="Q15" s="18">
        <f>COUNTIFS(A:A,"&lt;&gt;",A:A,"&lt;&gt;FirstName")</f>
        <v>0</v>
      </c>
    </row>
    <row r="16" spans="1:24" ht="16" x14ac:dyDescent="0.2">
      <c r="C16">
        <v>91770</v>
      </c>
      <c r="D16">
        <v>25</v>
      </c>
      <c r="E16" s="1" t="s">
        <v>248</v>
      </c>
      <c r="F16" t="s">
        <v>14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M16" s="26" t="s">
        <v>75</v>
      </c>
      <c r="O16" s="62" t="s">
        <v>76</v>
      </c>
      <c r="P16" s="59"/>
      <c r="Q16" s="27">
        <f>Q15/Q14</f>
        <v>0</v>
      </c>
      <c r="S16" t="s">
        <v>249</v>
      </c>
    </row>
    <row r="17" spans="3:22" ht="16" x14ac:dyDescent="0.2">
      <c r="C17">
        <v>91001</v>
      </c>
      <c r="D17">
        <v>25</v>
      </c>
      <c r="E17" t="s">
        <v>250</v>
      </c>
      <c r="F17" t="s">
        <v>14</v>
      </c>
      <c r="G17" t="s">
        <v>159</v>
      </c>
      <c r="H17" t="s">
        <v>159</v>
      </c>
      <c r="I17" t="s">
        <v>159</v>
      </c>
      <c r="J17" t="s">
        <v>159</v>
      </c>
      <c r="K17" t="s">
        <v>159</v>
      </c>
      <c r="M17" s="26" t="s">
        <v>79</v>
      </c>
      <c r="O17" s="66" t="s">
        <v>80</v>
      </c>
      <c r="P17" s="66"/>
      <c r="Q17" s="28">
        <v>32</v>
      </c>
      <c r="S17" t="s">
        <v>81</v>
      </c>
      <c r="T17">
        <f>(N4*N10+O4*O10+P4*P10+Q4*Q10+R4*R10+T4*T10+V4*V10)*348/86</f>
        <v>7243.8627906976753</v>
      </c>
    </row>
    <row r="18" spans="3:22" ht="16" x14ac:dyDescent="0.2">
      <c r="C18">
        <v>91786</v>
      </c>
      <c r="D18">
        <v>20</v>
      </c>
      <c r="E18" t="s">
        <v>251</v>
      </c>
      <c r="F18" t="s">
        <v>14</v>
      </c>
      <c r="G18" t="s">
        <v>93</v>
      </c>
      <c r="H18" t="s">
        <v>93</v>
      </c>
      <c r="I18" t="s">
        <v>93</v>
      </c>
      <c r="J18" t="s">
        <v>159</v>
      </c>
      <c r="K18" t="s">
        <v>159</v>
      </c>
      <c r="M18" s="26" t="s">
        <v>84</v>
      </c>
      <c r="O18" s="59" t="s">
        <v>85</v>
      </c>
      <c r="P18" s="60"/>
      <c r="Q18" s="17">
        <f>AVERAGE(D2:D1000)</f>
        <v>7.8680232558139558</v>
      </c>
      <c r="S18" t="s">
        <v>86</v>
      </c>
      <c r="T18">
        <f>T17*32</f>
        <v>231803.60930232561</v>
      </c>
    </row>
    <row r="19" spans="3:22" ht="16" x14ac:dyDescent="0.2">
      <c r="C19">
        <v>92506</v>
      </c>
      <c r="D19">
        <v>20</v>
      </c>
      <c r="E19" s="1" t="s">
        <v>252</v>
      </c>
      <c r="F19" t="s">
        <v>14</v>
      </c>
      <c r="G19" t="s">
        <v>93</v>
      </c>
      <c r="H19" t="s">
        <v>89</v>
      </c>
      <c r="I19" t="s">
        <v>93</v>
      </c>
      <c r="J19" t="s">
        <v>89</v>
      </c>
      <c r="K19" t="s">
        <v>93</v>
      </c>
      <c r="M19" s="26" t="s">
        <v>89</v>
      </c>
      <c r="O19" s="59" t="s">
        <v>90</v>
      </c>
      <c r="P19" s="60"/>
      <c r="Q19" s="17">
        <f>MEDIAN(D2:D1000)</f>
        <v>1.375</v>
      </c>
      <c r="S19" t="s">
        <v>91</v>
      </c>
      <c r="T19">
        <f>99.8/T18</f>
        <v>4.305368682583267E-4</v>
      </c>
    </row>
    <row r="20" spans="3:22" ht="16" x14ac:dyDescent="0.2">
      <c r="C20">
        <v>91709</v>
      </c>
      <c r="D20">
        <v>20</v>
      </c>
      <c r="E20" s="1" t="s">
        <v>253</v>
      </c>
      <c r="F20" t="s">
        <v>14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M20" s="26" t="s">
        <v>93</v>
      </c>
      <c r="O20" s="59" t="s">
        <v>94</v>
      </c>
      <c r="P20" s="60"/>
      <c r="Q20" s="17" t="e">
        <f>(SUM(D2:D1000)/Q15)*Q14</f>
        <v>#DIV/0!</v>
      </c>
    </row>
    <row r="21" spans="3:22" ht="16" x14ac:dyDescent="0.2">
      <c r="C21">
        <v>91746</v>
      </c>
      <c r="D21">
        <v>17</v>
      </c>
      <c r="E21" s="1" t="s">
        <v>254</v>
      </c>
      <c r="F21" t="s">
        <v>14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M21" s="26" t="s">
        <v>97</v>
      </c>
      <c r="O21" s="59" t="s">
        <v>98</v>
      </c>
      <c r="P21" s="60"/>
      <c r="Q21" s="27" t="e">
        <f>COUNTIF(D:D,"&lt;=5")/Q15</f>
        <v>#DIV/0!</v>
      </c>
      <c r="T21" t="s">
        <v>99</v>
      </c>
      <c r="U21" t="s">
        <v>100</v>
      </c>
      <c r="V21" t="s">
        <v>101</v>
      </c>
    </row>
    <row r="22" spans="3:22" ht="16" x14ac:dyDescent="0.2">
      <c r="C22">
        <v>91750</v>
      </c>
      <c r="D22">
        <v>7</v>
      </c>
      <c r="E22" s="1" t="s">
        <v>255</v>
      </c>
      <c r="F22" t="s">
        <v>14</v>
      </c>
      <c r="G22" t="s">
        <v>159</v>
      </c>
      <c r="H22" t="s">
        <v>159</v>
      </c>
      <c r="I22" t="s">
        <v>159</v>
      </c>
      <c r="J22" t="s">
        <v>159</v>
      </c>
      <c r="K22" t="s">
        <v>93</v>
      </c>
      <c r="M22" s="26" t="s">
        <v>106</v>
      </c>
      <c r="S22" t="s">
        <v>107</v>
      </c>
      <c r="T22">
        <f>N4*N10</f>
        <v>1007.3000000000001</v>
      </c>
      <c r="U22" t="e">
        <f>T22*(348/Q15)</f>
        <v>#DIV/0!</v>
      </c>
      <c r="V22" t="e">
        <f>U22*32</f>
        <v>#DIV/0!</v>
      </c>
    </row>
    <row r="23" spans="3:22" ht="16" x14ac:dyDescent="0.2">
      <c r="C23">
        <v>91762</v>
      </c>
      <c r="D23">
        <v>5</v>
      </c>
      <c r="E23" s="1" t="s">
        <v>256</v>
      </c>
      <c r="F23" t="s">
        <v>14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M23" s="26" t="s">
        <v>110</v>
      </c>
    </row>
    <row r="24" spans="3:22" ht="16" x14ac:dyDescent="0.2">
      <c r="C24">
        <v>91711</v>
      </c>
      <c r="D24">
        <v>5</v>
      </c>
      <c r="E24" s="1" t="s">
        <v>257</v>
      </c>
      <c r="F24" t="s">
        <v>14</v>
      </c>
      <c r="G24" t="s">
        <v>62</v>
      </c>
      <c r="H24" t="s">
        <v>62</v>
      </c>
      <c r="I24" t="s">
        <v>62</v>
      </c>
      <c r="J24" t="s">
        <v>62</v>
      </c>
      <c r="K24" t="s">
        <v>62</v>
      </c>
      <c r="M24" s="26" t="s">
        <v>113</v>
      </c>
    </row>
    <row r="25" spans="3:22" ht="16" x14ac:dyDescent="0.2">
      <c r="C25">
        <v>91767</v>
      </c>
      <c r="D25">
        <v>4.25</v>
      </c>
      <c r="E25" s="1" t="s">
        <v>258</v>
      </c>
      <c r="F25" t="s">
        <v>14</v>
      </c>
      <c r="G25" t="s">
        <v>84</v>
      </c>
      <c r="H25" t="s">
        <v>93</v>
      </c>
      <c r="I25" t="s">
        <v>93</v>
      </c>
      <c r="J25" t="s">
        <v>84</v>
      </c>
      <c r="K25" t="s">
        <v>93</v>
      </c>
      <c r="M25" s="26" t="s">
        <v>117</v>
      </c>
    </row>
    <row r="26" spans="3:22" ht="16" x14ac:dyDescent="0.2">
      <c r="C26">
        <v>91711</v>
      </c>
      <c r="D26">
        <v>3</v>
      </c>
      <c r="E26" s="1" t="s">
        <v>259</v>
      </c>
      <c r="F26" t="s">
        <v>14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M26" s="26" t="s">
        <v>120</v>
      </c>
    </row>
    <row r="27" spans="3:22" ht="16" x14ac:dyDescent="0.2">
      <c r="C27">
        <v>91711</v>
      </c>
      <c r="D27">
        <v>3</v>
      </c>
      <c r="E27" s="1" t="s">
        <v>260</v>
      </c>
      <c r="F27" t="s">
        <v>14</v>
      </c>
      <c r="G27" t="s">
        <v>93</v>
      </c>
      <c r="H27" t="s">
        <v>93</v>
      </c>
      <c r="I27" t="s">
        <v>93</v>
      </c>
      <c r="J27" t="s">
        <v>93</v>
      </c>
      <c r="K27" t="s">
        <v>93</v>
      </c>
      <c r="M27" s="26" t="s">
        <v>123</v>
      </c>
    </row>
    <row r="28" spans="3:22" ht="16" x14ac:dyDescent="0.2">
      <c r="C28">
        <v>91711</v>
      </c>
      <c r="D28">
        <v>3</v>
      </c>
      <c r="E28" s="1" t="s">
        <v>261</v>
      </c>
      <c r="F28" t="s">
        <v>14</v>
      </c>
      <c r="G28" t="s">
        <v>84</v>
      </c>
      <c r="H28" t="s">
        <v>62</v>
      </c>
      <c r="I28" t="s">
        <v>84</v>
      </c>
      <c r="J28" t="s">
        <v>62</v>
      </c>
      <c r="K28" t="s">
        <v>84</v>
      </c>
      <c r="M28" s="26" t="s">
        <v>126</v>
      </c>
    </row>
    <row r="29" spans="3:22" ht="16" x14ac:dyDescent="0.2">
      <c r="C29">
        <v>91711</v>
      </c>
      <c r="D29">
        <v>2.5</v>
      </c>
      <c r="E29">
        <v>101198231</v>
      </c>
      <c r="F29" t="s">
        <v>14</v>
      </c>
      <c r="G29" t="s">
        <v>62</v>
      </c>
      <c r="H29" t="s">
        <v>62</v>
      </c>
      <c r="I29" t="s">
        <v>62</v>
      </c>
      <c r="J29" t="s">
        <v>62</v>
      </c>
      <c r="K29" t="s">
        <v>62</v>
      </c>
      <c r="M29" s="26" t="s">
        <v>129</v>
      </c>
    </row>
    <row r="30" spans="3:22" ht="16" x14ac:dyDescent="0.2">
      <c r="C30">
        <v>91711</v>
      </c>
      <c r="D30">
        <v>2.25</v>
      </c>
      <c r="E30" s="1" t="s">
        <v>262</v>
      </c>
      <c r="F30" t="s">
        <v>14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M30" s="26" t="s">
        <v>132</v>
      </c>
    </row>
    <row r="31" spans="3:22" ht="16" x14ac:dyDescent="0.2">
      <c r="C31">
        <v>91711</v>
      </c>
      <c r="D31">
        <v>2.2000000000000002</v>
      </c>
      <c r="E31" s="1" t="s">
        <v>263</v>
      </c>
      <c r="F31" t="s">
        <v>14</v>
      </c>
      <c r="G31" t="s">
        <v>75</v>
      </c>
      <c r="H31" t="s">
        <v>75</v>
      </c>
      <c r="I31" t="s">
        <v>75</v>
      </c>
      <c r="J31" t="s">
        <v>75</v>
      </c>
      <c r="K31" t="s">
        <v>62</v>
      </c>
      <c r="M31" s="26" t="s">
        <v>134</v>
      </c>
    </row>
    <row r="32" spans="3:22" ht="16" x14ac:dyDescent="0.2">
      <c r="C32">
        <v>91711</v>
      </c>
      <c r="D32">
        <v>2</v>
      </c>
      <c r="E32" s="1" t="s">
        <v>264</v>
      </c>
      <c r="F32" t="s">
        <v>14</v>
      </c>
      <c r="G32" t="s">
        <v>62</v>
      </c>
      <c r="H32" t="s">
        <v>243</v>
      </c>
      <c r="I32" t="s">
        <v>243</v>
      </c>
      <c r="J32" t="s">
        <v>84</v>
      </c>
      <c r="K32" t="s">
        <v>62</v>
      </c>
      <c r="M32" s="26" t="s">
        <v>136</v>
      </c>
    </row>
    <row r="33" spans="3:13" ht="16" x14ac:dyDescent="0.2">
      <c r="C33">
        <v>91711</v>
      </c>
      <c r="D33">
        <v>2</v>
      </c>
      <c r="E33" s="1" t="s">
        <v>265</v>
      </c>
      <c r="F33" t="s">
        <v>14</v>
      </c>
      <c r="G33" t="s">
        <v>243</v>
      </c>
      <c r="H33" t="s">
        <v>243</v>
      </c>
      <c r="I33" t="s">
        <v>243</v>
      </c>
      <c r="J33" t="s">
        <v>243</v>
      </c>
      <c r="K33" t="s">
        <v>243</v>
      </c>
      <c r="M33" s="26" t="s">
        <v>138</v>
      </c>
    </row>
    <row r="34" spans="3:13" ht="16" x14ac:dyDescent="0.2">
      <c r="C34">
        <v>91711</v>
      </c>
      <c r="D34">
        <v>2</v>
      </c>
      <c r="E34" s="1" t="s">
        <v>266</v>
      </c>
      <c r="F34" t="s">
        <v>14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M34" s="26" t="s">
        <v>140</v>
      </c>
    </row>
    <row r="35" spans="3:13" ht="16" x14ac:dyDescent="0.2">
      <c r="C35">
        <v>91711</v>
      </c>
      <c r="D35">
        <v>2</v>
      </c>
      <c r="E35" s="1" t="s">
        <v>267</v>
      </c>
      <c r="F35" t="s">
        <v>14</v>
      </c>
      <c r="G35" t="s">
        <v>93</v>
      </c>
      <c r="H35" t="s">
        <v>159</v>
      </c>
      <c r="I35" t="s">
        <v>159</v>
      </c>
      <c r="J35" t="s">
        <v>159</v>
      </c>
      <c r="K35" t="s">
        <v>159</v>
      </c>
      <c r="M35" s="26" t="s">
        <v>143</v>
      </c>
    </row>
    <row r="36" spans="3:13" ht="16" x14ac:dyDescent="0.2">
      <c r="C36">
        <v>91711</v>
      </c>
      <c r="D36">
        <v>2</v>
      </c>
      <c r="E36" s="1" t="s">
        <v>268</v>
      </c>
      <c r="F36" t="s">
        <v>14</v>
      </c>
      <c r="G36" t="s">
        <v>93</v>
      </c>
      <c r="H36" t="s">
        <v>93</v>
      </c>
      <c r="I36" t="s">
        <v>93</v>
      </c>
      <c r="J36" t="s">
        <v>93</v>
      </c>
      <c r="K36" t="s">
        <v>93</v>
      </c>
      <c r="M36" s="26" t="s">
        <v>146</v>
      </c>
    </row>
    <row r="37" spans="3:13" ht="16" x14ac:dyDescent="0.2">
      <c r="C37">
        <v>91711</v>
      </c>
      <c r="D37">
        <v>2</v>
      </c>
      <c r="E37" s="1" t="s">
        <v>269</v>
      </c>
      <c r="F37" t="s">
        <v>14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M37" s="26" t="s">
        <v>149</v>
      </c>
    </row>
    <row r="38" spans="3:13" ht="16" x14ac:dyDescent="0.2">
      <c r="C38">
        <v>91711</v>
      </c>
      <c r="D38">
        <v>2</v>
      </c>
      <c r="E38" s="1" t="s">
        <v>270</v>
      </c>
      <c r="F38" t="s">
        <v>14</v>
      </c>
      <c r="G38" t="s">
        <v>79</v>
      </c>
      <c r="H38" t="s">
        <v>79</v>
      </c>
      <c r="I38" t="s">
        <v>153</v>
      </c>
      <c r="J38" t="s">
        <v>153</v>
      </c>
      <c r="K38" t="s">
        <v>153</v>
      </c>
      <c r="M38" s="26" t="s">
        <v>151</v>
      </c>
    </row>
    <row r="39" spans="3:13" ht="16" x14ac:dyDescent="0.2">
      <c r="C39">
        <v>91767</v>
      </c>
      <c r="D39">
        <v>1.8</v>
      </c>
      <c r="E39" s="1" t="s">
        <v>271</v>
      </c>
      <c r="F39" t="s">
        <v>14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M39" s="26" t="s">
        <v>153</v>
      </c>
    </row>
    <row r="40" spans="3:13" ht="16" x14ac:dyDescent="0.2">
      <c r="C40">
        <v>91711</v>
      </c>
      <c r="D40">
        <v>1.5</v>
      </c>
      <c r="E40" s="1" t="s">
        <v>272</v>
      </c>
      <c r="F40" t="s">
        <v>14</v>
      </c>
      <c r="G40" t="s">
        <v>93</v>
      </c>
      <c r="H40" t="s">
        <v>93</v>
      </c>
      <c r="I40" t="s">
        <v>75</v>
      </c>
      <c r="J40" t="s">
        <v>93</v>
      </c>
      <c r="K40" t="s">
        <v>75</v>
      </c>
      <c r="M40" s="26" t="s">
        <v>155</v>
      </c>
    </row>
    <row r="41" spans="3:13" ht="16" x14ac:dyDescent="0.2">
      <c r="C41">
        <v>91711</v>
      </c>
      <c r="D41">
        <v>1.5</v>
      </c>
      <c r="E41" s="1" t="s">
        <v>273</v>
      </c>
      <c r="F41" t="s">
        <v>14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M41" s="26" t="s">
        <v>157</v>
      </c>
    </row>
    <row r="42" spans="3:13" ht="16" x14ac:dyDescent="0.2">
      <c r="C42">
        <v>91711</v>
      </c>
      <c r="D42">
        <v>1.5</v>
      </c>
      <c r="E42" s="1" t="s">
        <v>274</v>
      </c>
      <c r="F42" t="s">
        <v>14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M42" s="29" t="s">
        <v>159</v>
      </c>
    </row>
    <row r="43" spans="3:13" x14ac:dyDescent="0.2">
      <c r="C43">
        <v>91711</v>
      </c>
      <c r="D43">
        <v>1.5</v>
      </c>
      <c r="E43">
        <v>10092220</v>
      </c>
      <c r="F43" t="s">
        <v>14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</row>
    <row r="44" spans="3:13" x14ac:dyDescent="0.2">
      <c r="C44">
        <v>91711</v>
      </c>
      <c r="D44">
        <v>1.5</v>
      </c>
      <c r="E44" s="1" t="s">
        <v>275</v>
      </c>
      <c r="F44" t="s">
        <v>14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</row>
    <row r="45" spans="3:13" x14ac:dyDescent="0.2">
      <c r="C45">
        <v>91711</v>
      </c>
      <c r="D45">
        <v>1.25</v>
      </c>
      <c r="E45" t="s">
        <v>276</v>
      </c>
      <c r="F45" t="s">
        <v>14</v>
      </c>
      <c r="G45" t="s">
        <v>93</v>
      </c>
      <c r="H45" t="s">
        <v>93</v>
      </c>
      <c r="I45" t="s">
        <v>93</v>
      </c>
      <c r="J45" t="s">
        <v>93</v>
      </c>
      <c r="K45" t="s">
        <v>93</v>
      </c>
    </row>
    <row r="46" spans="3:13" x14ac:dyDescent="0.2">
      <c r="C46">
        <v>91711</v>
      </c>
      <c r="D46">
        <v>1.2</v>
      </c>
      <c r="E46" s="1" t="s">
        <v>277</v>
      </c>
      <c r="F46" t="s">
        <v>14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</row>
    <row r="47" spans="3:13" x14ac:dyDescent="0.2">
      <c r="C47">
        <v>91711</v>
      </c>
      <c r="D47">
        <v>1.2</v>
      </c>
      <c r="E47" t="s">
        <v>278</v>
      </c>
      <c r="F47" t="s">
        <v>14</v>
      </c>
      <c r="G47" t="s">
        <v>159</v>
      </c>
      <c r="H47" t="s">
        <v>93</v>
      </c>
      <c r="I47" t="s">
        <v>159</v>
      </c>
      <c r="J47" t="s">
        <v>93</v>
      </c>
      <c r="K47" t="s">
        <v>159</v>
      </c>
    </row>
    <row r="48" spans="3:13" x14ac:dyDescent="0.2">
      <c r="C48">
        <v>91711</v>
      </c>
      <c r="D48">
        <v>1.2</v>
      </c>
      <c r="E48" s="1" t="s">
        <v>279</v>
      </c>
      <c r="F48" t="s">
        <v>14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</row>
    <row r="49" spans="3:11" x14ac:dyDescent="0.2">
      <c r="C49">
        <v>91711</v>
      </c>
      <c r="D49">
        <v>1.1000000000000001</v>
      </c>
      <c r="E49" s="1" t="s">
        <v>280</v>
      </c>
      <c r="F49" t="s">
        <v>14</v>
      </c>
      <c r="G49" t="s">
        <v>75</v>
      </c>
      <c r="H49" t="s">
        <v>93</v>
      </c>
      <c r="I49" t="s">
        <v>157</v>
      </c>
      <c r="J49" t="s">
        <v>157</v>
      </c>
      <c r="K49" t="s">
        <v>157</v>
      </c>
    </row>
    <row r="50" spans="3:11" x14ac:dyDescent="0.2">
      <c r="C50">
        <v>91711</v>
      </c>
      <c r="D50">
        <v>1.1000000000000001</v>
      </c>
      <c r="E50" s="1" t="s">
        <v>281</v>
      </c>
      <c r="F50" t="s">
        <v>14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</row>
    <row r="51" spans="3:11" x14ac:dyDescent="0.2">
      <c r="C51">
        <v>91711</v>
      </c>
      <c r="D51">
        <v>1</v>
      </c>
      <c r="E51">
        <v>100131171</v>
      </c>
      <c r="F51" t="s">
        <v>14</v>
      </c>
      <c r="G51" t="s">
        <v>75</v>
      </c>
      <c r="H51" t="s">
        <v>75</v>
      </c>
      <c r="I51" t="s">
        <v>75</v>
      </c>
      <c r="J51" t="s">
        <v>75</v>
      </c>
      <c r="K51" t="s">
        <v>75</v>
      </c>
    </row>
    <row r="52" spans="3:11" x14ac:dyDescent="0.2">
      <c r="C52">
        <v>91711</v>
      </c>
      <c r="D52">
        <v>1</v>
      </c>
      <c r="E52" s="1" t="s">
        <v>282</v>
      </c>
      <c r="F52" t="s">
        <v>14</v>
      </c>
      <c r="G52" t="s">
        <v>75</v>
      </c>
      <c r="H52" t="s">
        <v>75</v>
      </c>
      <c r="I52" t="s">
        <v>75</v>
      </c>
      <c r="J52" t="s">
        <v>75</v>
      </c>
      <c r="K52" t="s">
        <v>75</v>
      </c>
    </row>
    <row r="53" spans="3:11" x14ac:dyDescent="0.2">
      <c r="C53">
        <v>91786</v>
      </c>
      <c r="D53">
        <v>1</v>
      </c>
      <c r="E53" s="1" t="s">
        <v>283</v>
      </c>
      <c r="F53" t="s">
        <v>14</v>
      </c>
      <c r="G53" t="s">
        <v>159</v>
      </c>
      <c r="H53" t="s">
        <v>75</v>
      </c>
      <c r="I53" t="s">
        <v>75</v>
      </c>
      <c r="J53" t="s">
        <v>93</v>
      </c>
      <c r="K53" t="s">
        <v>157</v>
      </c>
    </row>
    <row r="54" spans="3:11" x14ac:dyDescent="0.2">
      <c r="C54">
        <v>91786</v>
      </c>
      <c r="D54">
        <v>1</v>
      </c>
      <c r="E54" s="1" t="s">
        <v>284</v>
      </c>
      <c r="F54" t="s">
        <v>14</v>
      </c>
      <c r="G54" t="s">
        <v>75</v>
      </c>
      <c r="H54" t="s">
        <v>75</v>
      </c>
      <c r="I54" t="s">
        <v>75</v>
      </c>
      <c r="J54" t="s">
        <v>84</v>
      </c>
      <c r="K54" t="s">
        <v>84</v>
      </c>
    </row>
    <row r="55" spans="3:11" x14ac:dyDescent="0.2">
      <c r="C55">
        <v>91711</v>
      </c>
      <c r="D55">
        <v>1</v>
      </c>
      <c r="E55" s="1" t="s">
        <v>285</v>
      </c>
      <c r="F55" t="s">
        <v>14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</row>
    <row r="56" spans="3:11" x14ac:dyDescent="0.2">
      <c r="C56">
        <v>91711</v>
      </c>
      <c r="D56">
        <v>1</v>
      </c>
      <c r="E56" s="1" t="s">
        <v>286</v>
      </c>
      <c r="F56" t="s">
        <v>14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</row>
    <row r="57" spans="3:11" x14ac:dyDescent="0.2">
      <c r="C57">
        <v>91711</v>
      </c>
      <c r="D57">
        <v>1</v>
      </c>
      <c r="E57" s="1" t="s">
        <v>287</v>
      </c>
      <c r="F57" t="s">
        <v>14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</row>
    <row r="58" spans="3:11" x14ac:dyDescent="0.2">
      <c r="C58">
        <v>91711</v>
      </c>
      <c r="D58">
        <v>1</v>
      </c>
      <c r="E58" s="1" t="s">
        <v>288</v>
      </c>
      <c r="F58" t="s">
        <v>14</v>
      </c>
      <c r="G58" t="s">
        <v>62</v>
      </c>
      <c r="H58" t="s">
        <v>159</v>
      </c>
      <c r="I58" t="s">
        <v>62</v>
      </c>
      <c r="J58" t="s">
        <v>159</v>
      </c>
      <c r="K58" t="s">
        <v>159</v>
      </c>
    </row>
    <row r="59" spans="3:11" x14ac:dyDescent="0.2">
      <c r="C59">
        <v>91711</v>
      </c>
      <c r="D59">
        <v>1</v>
      </c>
      <c r="E59" s="1" t="s">
        <v>289</v>
      </c>
      <c r="F59" t="s">
        <v>14</v>
      </c>
      <c r="G59" t="s">
        <v>79</v>
      </c>
      <c r="H59" t="s">
        <v>79</v>
      </c>
      <c r="I59" t="s">
        <v>93</v>
      </c>
      <c r="J59" t="s">
        <v>84</v>
      </c>
      <c r="K59" t="s">
        <v>84</v>
      </c>
    </row>
    <row r="60" spans="3:11" x14ac:dyDescent="0.2">
      <c r="C60">
        <v>91711</v>
      </c>
      <c r="D60">
        <v>1</v>
      </c>
      <c r="E60">
        <v>10365571</v>
      </c>
      <c r="F60" t="s">
        <v>14</v>
      </c>
      <c r="G60" t="s">
        <v>75</v>
      </c>
      <c r="H60" t="s">
        <v>75</v>
      </c>
      <c r="I60" t="s">
        <v>75</v>
      </c>
      <c r="J60" t="s">
        <v>75</v>
      </c>
      <c r="K60" t="s">
        <v>75</v>
      </c>
    </row>
    <row r="61" spans="3:11" x14ac:dyDescent="0.2">
      <c r="C61">
        <v>91759</v>
      </c>
      <c r="D61">
        <v>1</v>
      </c>
      <c r="E61" s="1" t="s">
        <v>290</v>
      </c>
      <c r="F61" t="s">
        <v>14</v>
      </c>
      <c r="G61" t="s">
        <v>75</v>
      </c>
      <c r="H61" t="s">
        <v>75</v>
      </c>
      <c r="I61" t="s">
        <v>75</v>
      </c>
      <c r="J61" t="s">
        <v>75</v>
      </c>
      <c r="K61" t="s">
        <v>75</v>
      </c>
    </row>
    <row r="62" spans="3:11" x14ac:dyDescent="0.2">
      <c r="C62">
        <v>91711</v>
      </c>
      <c r="D62">
        <v>1</v>
      </c>
      <c r="E62" s="1" t="s">
        <v>291</v>
      </c>
      <c r="F62" t="s">
        <v>14</v>
      </c>
      <c r="G62" t="s">
        <v>75</v>
      </c>
      <c r="H62" t="s">
        <v>75</v>
      </c>
      <c r="I62" t="s">
        <v>75</v>
      </c>
      <c r="J62" t="s">
        <v>75</v>
      </c>
      <c r="K62" t="s">
        <v>84</v>
      </c>
    </row>
    <row r="63" spans="3:11" x14ac:dyDescent="0.2">
      <c r="C63">
        <v>91711</v>
      </c>
      <c r="D63">
        <v>1</v>
      </c>
      <c r="E63" s="1" t="s">
        <v>292</v>
      </c>
      <c r="F63" t="s">
        <v>14</v>
      </c>
      <c r="G63" t="s">
        <v>75</v>
      </c>
      <c r="H63" t="s">
        <v>75</v>
      </c>
      <c r="I63" t="s">
        <v>75</v>
      </c>
      <c r="J63" t="s">
        <v>89</v>
      </c>
      <c r="K63" t="s">
        <v>75</v>
      </c>
    </row>
    <row r="64" spans="3:11" x14ac:dyDescent="0.2">
      <c r="C64">
        <v>91711</v>
      </c>
      <c r="D64">
        <v>1</v>
      </c>
      <c r="E64" s="1" t="s">
        <v>293</v>
      </c>
      <c r="F64" t="s">
        <v>14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</row>
    <row r="65" spans="3:11" x14ac:dyDescent="0.2">
      <c r="C65">
        <v>91711</v>
      </c>
      <c r="D65">
        <v>1</v>
      </c>
      <c r="E65" s="1" t="s">
        <v>294</v>
      </c>
      <c r="F65" t="s">
        <v>14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</row>
    <row r="66" spans="3:11" x14ac:dyDescent="0.2">
      <c r="C66">
        <v>91711</v>
      </c>
      <c r="D66">
        <v>1</v>
      </c>
      <c r="E66" s="1" t="s">
        <v>295</v>
      </c>
      <c r="F66" t="s">
        <v>14</v>
      </c>
      <c r="G66" t="s">
        <v>89</v>
      </c>
      <c r="H66" t="s">
        <v>75</v>
      </c>
      <c r="I66" t="s">
        <v>243</v>
      </c>
      <c r="J66" t="s">
        <v>75</v>
      </c>
      <c r="K66" t="s">
        <v>75</v>
      </c>
    </row>
    <row r="67" spans="3:11" x14ac:dyDescent="0.2">
      <c r="C67">
        <v>91711</v>
      </c>
      <c r="D67">
        <v>1</v>
      </c>
      <c r="E67" s="1" t="s">
        <v>296</v>
      </c>
      <c r="F67" t="s">
        <v>14</v>
      </c>
      <c r="G67" t="s">
        <v>62</v>
      </c>
      <c r="H67" t="s">
        <v>62</v>
      </c>
      <c r="I67" t="s">
        <v>62</v>
      </c>
      <c r="J67" t="s">
        <v>62</v>
      </c>
      <c r="K67" t="s">
        <v>62</v>
      </c>
    </row>
    <row r="68" spans="3:11" x14ac:dyDescent="0.2">
      <c r="C68">
        <v>91711</v>
      </c>
      <c r="D68">
        <v>1</v>
      </c>
      <c r="E68" s="1" t="s">
        <v>297</v>
      </c>
      <c r="F68" t="s">
        <v>14</v>
      </c>
      <c r="G68" t="s">
        <v>62</v>
      </c>
      <c r="H68" t="s">
        <v>62</v>
      </c>
      <c r="I68" t="s">
        <v>62</v>
      </c>
      <c r="J68" t="s">
        <v>62</v>
      </c>
      <c r="K68" t="s">
        <v>62</v>
      </c>
    </row>
    <row r="69" spans="3:11" x14ac:dyDescent="0.2">
      <c r="C69">
        <v>91711</v>
      </c>
      <c r="D69">
        <v>1</v>
      </c>
      <c r="E69" s="1" t="s">
        <v>298</v>
      </c>
      <c r="F69" t="s">
        <v>14</v>
      </c>
      <c r="G69" t="s">
        <v>79</v>
      </c>
      <c r="H69" t="s">
        <v>93</v>
      </c>
      <c r="I69" t="s">
        <v>79</v>
      </c>
      <c r="J69" t="s">
        <v>93</v>
      </c>
      <c r="K69" t="s">
        <v>79</v>
      </c>
    </row>
    <row r="70" spans="3:11" x14ac:dyDescent="0.2">
      <c r="C70">
        <v>91711</v>
      </c>
      <c r="D70">
        <v>1</v>
      </c>
      <c r="E70" s="1" t="s">
        <v>299</v>
      </c>
      <c r="F70" t="s">
        <v>14</v>
      </c>
      <c r="G70" t="s">
        <v>75</v>
      </c>
      <c r="H70" t="s">
        <v>75</v>
      </c>
      <c r="I70" t="s">
        <v>75</v>
      </c>
      <c r="J70" t="s">
        <v>75</v>
      </c>
      <c r="K70" t="s">
        <v>75</v>
      </c>
    </row>
    <row r="71" spans="3:11" x14ac:dyDescent="0.2">
      <c r="C71">
        <v>91711</v>
      </c>
      <c r="D71">
        <v>1</v>
      </c>
      <c r="E71" t="s">
        <v>300</v>
      </c>
      <c r="F71" t="s">
        <v>14</v>
      </c>
      <c r="G71" t="s">
        <v>79</v>
      </c>
      <c r="H71" t="s">
        <v>79</v>
      </c>
      <c r="I71" t="s">
        <v>79</v>
      </c>
      <c r="J71" t="s">
        <v>79</v>
      </c>
      <c r="K71" t="s">
        <v>79</v>
      </c>
    </row>
    <row r="72" spans="3:11" x14ac:dyDescent="0.2">
      <c r="C72">
        <v>91711</v>
      </c>
      <c r="D72">
        <v>1</v>
      </c>
      <c r="E72" s="1" t="s">
        <v>301</v>
      </c>
      <c r="F72" t="s">
        <v>14</v>
      </c>
      <c r="G72" t="s">
        <v>75</v>
      </c>
      <c r="H72" t="s">
        <v>75</v>
      </c>
      <c r="I72" t="s">
        <v>75</v>
      </c>
      <c r="J72" t="s">
        <v>75</v>
      </c>
      <c r="K72" t="s">
        <v>159</v>
      </c>
    </row>
    <row r="73" spans="3:11" x14ac:dyDescent="0.2">
      <c r="C73">
        <v>91711</v>
      </c>
      <c r="D73">
        <v>1</v>
      </c>
      <c r="E73" s="1" t="s">
        <v>302</v>
      </c>
      <c r="F73" t="s">
        <v>14</v>
      </c>
      <c r="G73" t="s">
        <v>84</v>
      </c>
      <c r="H73" t="s">
        <v>79</v>
      </c>
      <c r="I73" t="s">
        <v>84</v>
      </c>
      <c r="J73" t="s">
        <v>79</v>
      </c>
      <c r="K73" t="s">
        <v>79</v>
      </c>
    </row>
    <row r="74" spans="3:11" x14ac:dyDescent="0.2">
      <c r="C74">
        <v>91711</v>
      </c>
      <c r="D74">
        <v>1</v>
      </c>
      <c r="E74" s="1" t="s">
        <v>303</v>
      </c>
      <c r="F74" t="s">
        <v>14</v>
      </c>
      <c r="G74" t="s">
        <v>159</v>
      </c>
      <c r="H74" t="s">
        <v>243</v>
      </c>
      <c r="I74" t="s">
        <v>243</v>
      </c>
      <c r="J74" t="s">
        <v>243</v>
      </c>
      <c r="K74" t="s">
        <v>159</v>
      </c>
    </row>
    <row r="75" spans="3:11" x14ac:dyDescent="0.2">
      <c r="C75">
        <v>91711</v>
      </c>
      <c r="D75">
        <v>1</v>
      </c>
      <c r="E75" s="1" t="s">
        <v>304</v>
      </c>
      <c r="F75" t="s">
        <v>14</v>
      </c>
      <c r="G75" t="s">
        <v>93</v>
      </c>
      <c r="H75" t="s">
        <v>159</v>
      </c>
      <c r="I75" t="s">
        <v>93</v>
      </c>
      <c r="J75" t="s">
        <v>159</v>
      </c>
      <c r="K75" t="s">
        <v>75</v>
      </c>
    </row>
    <row r="76" spans="3:11" x14ac:dyDescent="0.2">
      <c r="C76">
        <v>91711</v>
      </c>
      <c r="D76">
        <v>1</v>
      </c>
      <c r="E76">
        <v>10120163</v>
      </c>
      <c r="F76" t="s">
        <v>14</v>
      </c>
      <c r="G76" t="s">
        <v>243</v>
      </c>
      <c r="H76" t="s">
        <v>243</v>
      </c>
      <c r="I76" t="s">
        <v>243</v>
      </c>
      <c r="J76" t="s">
        <v>243</v>
      </c>
      <c r="K76" t="s">
        <v>243</v>
      </c>
    </row>
    <row r="77" spans="3:11" x14ac:dyDescent="0.2">
      <c r="C77">
        <v>91711</v>
      </c>
      <c r="D77">
        <v>0.8</v>
      </c>
      <c r="E77" s="1" t="s">
        <v>305</v>
      </c>
      <c r="F77" t="s">
        <v>14</v>
      </c>
      <c r="G77" t="s">
        <v>75</v>
      </c>
      <c r="H77" t="s">
        <v>75</v>
      </c>
      <c r="I77" t="s">
        <v>75</v>
      </c>
      <c r="J77" t="s">
        <v>75</v>
      </c>
      <c r="K77" t="s">
        <v>75</v>
      </c>
    </row>
    <row r="78" spans="3:11" x14ac:dyDescent="0.2">
      <c r="C78">
        <v>91711</v>
      </c>
      <c r="D78">
        <v>0.7</v>
      </c>
      <c r="E78" s="1" t="s">
        <v>306</v>
      </c>
      <c r="F78" t="s">
        <v>14</v>
      </c>
      <c r="G78" t="s">
        <v>75</v>
      </c>
      <c r="H78" t="s">
        <v>75</v>
      </c>
      <c r="I78" t="s">
        <v>75</v>
      </c>
      <c r="J78" t="s">
        <v>75</v>
      </c>
      <c r="K78" t="s">
        <v>75</v>
      </c>
    </row>
    <row r="79" spans="3:11" x14ac:dyDescent="0.2">
      <c r="C79">
        <v>91711</v>
      </c>
      <c r="D79">
        <v>0.5</v>
      </c>
      <c r="E79" s="1" t="s">
        <v>307</v>
      </c>
      <c r="F79" t="s">
        <v>14</v>
      </c>
      <c r="G79" t="s">
        <v>75</v>
      </c>
      <c r="H79" t="s">
        <v>75</v>
      </c>
      <c r="I79" t="s">
        <v>75</v>
      </c>
      <c r="J79" t="s">
        <v>75</v>
      </c>
      <c r="K79" t="s">
        <v>75</v>
      </c>
    </row>
    <row r="80" spans="3:11" x14ac:dyDescent="0.2">
      <c r="C80">
        <v>91711</v>
      </c>
      <c r="D80">
        <v>0.5</v>
      </c>
      <c r="E80" s="1" t="s">
        <v>308</v>
      </c>
      <c r="F80" t="s">
        <v>14</v>
      </c>
      <c r="G80" t="s">
        <v>75</v>
      </c>
      <c r="H80" t="s">
        <v>75</v>
      </c>
      <c r="I80" t="s">
        <v>75</v>
      </c>
      <c r="J80" t="s">
        <v>75</v>
      </c>
      <c r="K80" t="s">
        <v>75</v>
      </c>
    </row>
    <row r="81" spans="3:11" x14ac:dyDescent="0.2">
      <c r="C81">
        <v>91711</v>
      </c>
      <c r="D81">
        <v>0.5</v>
      </c>
      <c r="E81" s="1" t="s">
        <v>309</v>
      </c>
      <c r="F81" t="s">
        <v>14</v>
      </c>
      <c r="G81" t="s">
        <v>75</v>
      </c>
      <c r="H81" t="s">
        <v>75</v>
      </c>
      <c r="I81" t="s">
        <v>75</v>
      </c>
      <c r="J81" t="s">
        <v>75</v>
      </c>
      <c r="K81" t="s">
        <v>75</v>
      </c>
    </row>
    <row r="82" spans="3:11" x14ac:dyDescent="0.2">
      <c r="C82">
        <v>91711</v>
      </c>
      <c r="D82">
        <v>0.5</v>
      </c>
      <c r="E82" s="1" t="s">
        <v>310</v>
      </c>
      <c r="F82" t="s">
        <v>14</v>
      </c>
      <c r="G82" t="s">
        <v>75</v>
      </c>
      <c r="H82" t="s">
        <v>75</v>
      </c>
      <c r="I82" t="s">
        <v>75</v>
      </c>
      <c r="J82" t="s">
        <v>75</v>
      </c>
      <c r="K82" t="s">
        <v>75</v>
      </c>
    </row>
    <row r="83" spans="3:11" x14ac:dyDescent="0.2">
      <c r="C83">
        <v>91711</v>
      </c>
      <c r="D83">
        <v>0.5</v>
      </c>
      <c r="E83" s="1" t="s">
        <v>311</v>
      </c>
      <c r="F83" t="s">
        <v>14</v>
      </c>
      <c r="G83" t="s">
        <v>79</v>
      </c>
      <c r="H83" t="s">
        <v>79</v>
      </c>
      <c r="I83" t="s">
        <v>79</v>
      </c>
      <c r="J83" t="s">
        <v>79</v>
      </c>
      <c r="K83" t="s">
        <v>79</v>
      </c>
    </row>
    <row r="84" spans="3:11" x14ac:dyDescent="0.2">
      <c r="C84">
        <v>91711</v>
      </c>
      <c r="D84">
        <v>0.5</v>
      </c>
      <c r="E84" s="1" t="s">
        <v>312</v>
      </c>
      <c r="F84" t="s">
        <v>14</v>
      </c>
      <c r="G84" t="s">
        <v>75</v>
      </c>
      <c r="H84" t="s">
        <v>75</v>
      </c>
      <c r="I84" t="s">
        <v>75</v>
      </c>
      <c r="J84" t="s">
        <v>75</v>
      </c>
      <c r="K84" t="s">
        <v>159</v>
      </c>
    </row>
    <row r="85" spans="3:11" x14ac:dyDescent="0.2">
      <c r="C85">
        <v>91711</v>
      </c>
      <c r="D85">
        <v>0.5</v>
      </c>
      <c r="E85" s="1" t="s">
        <v>313</v>
      </c>
      <c r="F85" t="s">
        <v>14</v>
      </c>
      <c r="G85" t="s">
        <v>75</v>
      </c>
      <c r="H85" t="s">
        <v>75</v>
      </c>
      <c r="I85" t="s">
        <v>75</v>
      </c>
      <c r="J85" t="s">
        <v>75</v>
      </c>
      <c r="K85" t="s">
        <v>93</v>
      </c>
    </row>
    <row r="86" spans="3:11" x14ac:dyDescent="0.2">
      <c r="C86">
        <v>91711</v>
      </c>
      <c r="D86">
        <v>0.5</v>
      </c>
      <c r="E86" s="1" t="s">
        <v>314</v>
      </c>
      <c r="F86" t="s">
        <v>14</v>
      </c>
      <c r="G86" t="s">
        <v>157</v>
      </c>
      <c r="H86" t="s">
        <v>157</v>
      </c>
      <c r="I86" t="s">
        <v>157</v>
      </c>
      <c r="J86" t="s">
        <v>157</v>
      </c>
      <c r="K86" t="s">
        <v>157</v>
      </c>
    </row>
    <row r="87" spans="3:11" x14ac:dyDescent="0.2">
      <c r="C87">
        <v>91711</v>
      </c>
      <c r="D87">
        <v>0.2</v>
      </c>
      <c r="E87" s="1" t="s">
        <v>315</v>
      </c>
      <c r="F87" t="s">
        <v>14</v>
      </c>
      <c r="G87" t="s">
        <v>75</v>
      </c>
      <c r="H87" t="s">
        <v>75</v>
      </c>
      <c r="I87" t="s">
        <v>75</v>
      </c>
      <c r="J87" t="s">
        <v>75</v>
      </c>
      <c r="K87" t="s">
        <v>75</v>
      </c>
    </row>
  </sheetData>
  <mergeCells count="12">
    <mergeCell ref="O21:P21"/>
    <mergeCell ref="M1:W1"/>
    <mergeCell ref="M8:X8"/>
    <mergeCell ref="O12:Q12"/>
    <mergeCell ref="O13:P13"/>
    <mergeCell ref="O14:P14"/>
    <mergeCell ref="O15:P15"/>
    <mergeCell ref="O16:P16"/>
    <mergeCell ref="O17:P17"/>
    <mergeCell ref="O18:P18"/>
    <mergeCell ref="O19:P19"/>
    <mergeCell ref="O20:P2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1FEB-9D79-4A56-AA4B-F0CB6A4CCBB5}">
  <dimension ref="A1:X124"/>
  <sheetViews>
    <sheetView workbookViewId="0">
      <selection activeCell="A2" sqref="A2:B222"/>
    </sheetView>
  </sheetViews>
  <sheetFormatPr baseColWidth="10" defaultColWidth="8.83203125" defaultRowHeight="15" x14ac:dyDescent="0.2"/>
  <cols>
    <col min="1" max="1" width="12.6640625" bestFit="1" customWidth="1"/>
    <col min="2" max="2" width="21.83203125" bestFit="1" customWidth="1"/>
    <col min="4" max="4" width="25" bestFit="1" customWidth="1"/>
    <col min="5" max="5" width="14.5" bestFit="1" customWidth="1"/>
    <col min="6" max="6" width="14.1640625" bestFit="1" customWidth="1"/>
    <col min="7" max="11" width="25.1640625" bestFit="1" customWidth="1"/>
    <col min="13" max="13" width="34.83203125" customWidth="1"/>
    <col min="14" max="14" width="14.6640625" customWidth="1"/>
    <col min="16" max="16" width="12.6640625" customWidth="1"/>
    <col min="17" max="17" width="16.33203125" customWidth="1"/>
    <col min="18" max="18" width="17.33203125" customWidth="1"/>
    <col min="19" max="19" width="13.6640625" customWidth="1"/>
    <col min="20" max="20" width="13.83203125" customWidth="1"/>
    <col min="21" max="21" width="18.5" customWidth="1"/>
    <col min="22" max="22" width="15" customWidth="1"/>
    <col min="24" max="24" width="17.1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61" t="s">
        <v>11</v>
      </c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4" x14ac:dyDescent="0.2">
      <c r="C2">
        <v>93117</v>
      </c>
      <c r="D2">
        <v>142</v>
      </c>
      <c r="E2">
        <v>10023651</v>
      </c>
      <c r="F2" t="s">
        <v>14</v>
      </c>
      <c r="G2" t="s">
        <v>93</v>
      </c>
      <c r="H2" t="s">
        <v>89</v>
      </c>
      <c r="I2" t="s">
        <v>93</v>
      </c>
      <c r="J2" t="s">
        <v>89</v>
      </c>
      <c r="K2" t="s">
        <v>89</v>
      </c>
      <c r="M2" s="2"/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3" t="s">
        <v>24</v>
      </c>
      <c r="W2" s="4" t="s">
        <v>25</v>
      </c>
    </row>
    <row r="3" spans="1:24" x14ac:dyDescent="0.2">
      <c r="C3">
        <v>92069</v>
      </c>
      <c r="D3">
        <v>90</v>
      </c>
      <c r="E3">
        <v>10370297</v>
      </c>
      <c r="F3" t="s">
        <v>14</v>
      </c>
      <c r="G3" t="s">
        <v>93</v>
      </c>
      <c r="H3" t="s">
        <v>93</v>
      </c>
      <c r="I3" t="s">
        <v>84</v>
      </c>
      <c r="J3" t="s">
        <v>93</v>
      </c>
      <c r="K3" t="s">
        <v>84</v>
      </c>
      <c r="M3" s="5" t="s">
        <v>29</v>
      </c>
      <c r="N3" s="6" cm="1">
        <f t="array" ref="N3">SUM(COUNTIF($G:$K,{"H.*","I.*"}))/W10</f>
        <v>0.37996219281663518</v>
      </c>
      <c r="O3" s="7">
        <f>COUNTIF($G:$K,"E.*")/W10</f>
        <v>0.12854442344045369</v>
      </c>
      <c r="P3" s="7" cm="1">
        <f t="array" ref="P3">SUM(COUNTIF($G:$K,{"J.*","K.*","L.*","M.*","N.*","O.*","P.*","Q.*","R.*","S.*","T.*","U.*","V.*","W.*"}))/W10</f>
        <v>7.9395085066162566E-2</v>
      </c>
      <c r="Q3" s="7">
        <f>COUNTIF($G:$K,"C.*")/W10</f>
        <v>1.890359168241966E-3</v>
      </c>
      <c r="R3" s="7">
        <f>COUNTIF($G:$K,"A.*")/W10</f>
        <v>6.8052930056710773E-2</v>
      </c>
      <c r="S3" s="7">
        <v>0</v>
      </c>
      <c r="T3" s="7">
        <f>COUNTIF($G:$K,"B.*")/W10</f>
        <v>0</v>
      </c>
      <c r="U3" s="7">
        <f>COUNTIF($G:$K,"F.*")/W10</f>
        <v>9.6408317580340269E-2</v>
      </c>
      <c r="V3" s="8">
        <f>COUNTIF($G:$K,"D.*")/W10</f>
        <v>0.24574669187145556</v>
      </c>
      <c r="W3" s="7">
        <f>SUM(N3:V3)</f>
        <v>1</v>
      </c>
    </row>
    <row r="4" spans="1:24" ht="16" x14ac:dyDescent="0.2">
      <c r="C4">
        <v>92624</v>
      </c>
      <c r="D4">
        <v>58</v>
      </c>
      <c r="E4">
        <v>10235574</v>
      </c>
      <c r="F4" t="s">
        <v>14</v>
      </c>
      <c r="G4" t="s">
        <v>62</v>
      </c>
      <c r="H4" t="s">
        <v>62</v>
      </c>
      <c r="I4" t="s">
        <v>62</v>
      </c>
      <c r="J4" t="s">
        <v>62</v>
      </c>
      <c r="K4" t="s">
        <v>62</v>
      </c>
      <c r="M4" s="9" t="s">
        <v>33</v>
      </c>
      <c r="N4" s="10" cm="1">
        <f t="array" ref="N4">SUM(_xlfn.BYCOL(G:K,_xlfn.LAMBDA(_xlpm.col,SUMIF(_xlpm.col,"H.*",D:D)+SUMIF(_xlpm.col,"I.*",D:D))))/N10</f>
        <v>17.383084577114428</v>
      </c>
      <c r="O4" s="11" cm="1">
        <f t="array" ref="O4">SUM(_xlfn.BYCOL(G:K,_xlfn.LAMBDA(_xlpm.col,SUMIF(_xlpm.col,"E.*",D:D))))/O10</f>
        <v>1.4411764705882353</v>
      </c>
      <c r="P4" s="12" cm="1">
        <f t="array" ref="P4">SUM(_xlfn.BYCOL($G:$K,_xlfn.LAMBDA(_xlpm.col,SUMIF(_xlpm.col,"J.*",$D:$D)+SUMIF(_xlpm.col,"K.*",$D:$D)+SUMIF(_xlpm.col,"L.*",$D:$D)+SUMIF(_xlpm.col,"M.*",$D:$D)+SUMIF(_xlpm.col,"N.*",$D:$D)+SUMIF(_xlpm.col,"O.*",$D:$D)+SUMIF(_xlpm.col,"P.*",$D:$D)+SUMIF(_xlpm.col,"Q.*",$D:$D)+SUMIF(_xlpm.col,"R.*",$D:$D)+SUMIF(_xlpm.col,"S.*",$D:$D)+SUMIF(_xlpm.col,"T.*",$D:$D)+SUMIF(_xlpm.col,"U.*",$D:$D)+SUMIF(_xlpm.col,"V.*",$D:$D)+SUMIF(_xlpm.col,"W.*",$D:$D))))/$P10</f>
        <v>3.8571428571428572</v>
      </c>
      <c r="Q4" s="12" cm="1">
        <f t="array" ref="Q4">SUM(_xlfn.BYCOL(G:K,_xlfn.LAMBDA(_xlpm.col,SUMIF(_xlpm.col,"C.*",D:D))))/Q10</f>
        <v>32</v>
      </c>
      <c r="R4" s="12" cm="1">
        <f t="array" ref="R4">SUM(_xlfn.BYCOL(G:K,_xlfn.LAMBDA(_xlpm.col,SUMIF(_xlpm.col,"A.*",D:D))))/R10</f>
        <v>19.666666666666668</v>
      </c>
      <c r="S4" s="12" t="s">
        <v>34</v>
      </c>
      <c r="T4" s="12"/>
      <c r="U4" s="12" t="s">
        <v>34</v>
      </c>
      <c r="V4" s="12" cm="1">
        <f t="array" ref="V4">SUM(_xlfn.BYCOL(G:K,_xlfn.LAMBDA(_xlpm.col,SUMIF(_xlpm.col,"D.*",D:D))))/V10</f>
        <v>1.0046153846153845</v>
      </c>
      <c r="W4" s="10">
        <f>AVERAGE(N4:V4)</f>
        <v>12.558780992687931</v>
      </c>
    </row>
    <row r="5" spans="1:24" x14ac:dyDescent="0.2">
      <c r="C5">
        <v>92657</v>
      </c>
      <c r="D5">
        <v>53</v>
      </c>
      <c r="E5">
        <v>10366466</v>
      </c>
      <c r="F5" t="s">
        <v>14</v>
      </c>
      <c r="G5" t="s">
        <v>62</v>
      </c>
      <c r="H5" t="s">
        <v>84</v>
      </c>
      <c r="I5" t="s">
        <v>62</v>
      </c>
      <c r="J5" t="s">
        <v>84</v>
      </c>
      <c r="K5" t="s">
        <v>62</v>
      </c>
      <c r="M5" s="5" t="s">
        <v>38</v>
      </c>
      <c r="N5" s="5"/>
      <c r="O5" s="5"/>
      <c r="P5" s="13" cm="1">
        <f t="array" ref="P5">SUM(_xlfn.BYCOL($G:$K,_xlfn.LAMBDA(_xlpm.col,SUMIF(_xlpm.col,"J.*",$D:$D)*2+SUMIF(_xlpm.col,"K.*",$D:$D)*3+SUMIF(_xlpm.col,"L.*",$D:$D)*4+SUMIF(_xlpm.col,"M.*",$D:$D)*5+SUMIF(_xlpm.col,"N.*",$D:$D)*6+SUMIF(_xlpm.col,"O.*",$D:$D)*7+SUMIF(_xlpm.col,"P.*",$D:$D)*8+SUMIF(_xlpm.col,"Q.*",$D:$D)*9+SUMIF(_xlpm.col,"R.*",$D:$D)*10+SUMIF(_xlpm.col,"S.*",$D:$D)*11+SUMIF(_xlpm.col,"T.*",$D:$D)*12+SUMIF(_xlpm.col,"U.*",$D:$D)*13+SUMIF(_xlpm.col,"V.*",$D:$D)*14+SUMIF(_xlpm.col,"W.*",$D:$D)*15)))/$P10</f>
        <v>8.1428571428571423</v>
      </c>
      <c r="Q5" s="5"/>
      <c r="R5" s="5"/>
      <c r="S5" s="5"/>
      <c r="T5" s="5"/>
      <c r="U5" s="5"/>
      <c r="V5" s="5"/>
      <c r="W5" s="5"/>
    </row>
    <row r="6" spans="1:24" x14ac:dyDescent="0.2">
      <c r="C6">
        <v>92321</v>
      </c>
      <c r="D6">
        <v>50</v>
      </c>
      <c r="E6">
        <v>0</v>
      </c>
      <c r="F6" t="s">
        <v>14</v>
      </c>
      <c r="G6" t="s">
        <v>159</v>
      </c>
      <c r="H6" t="s">
        <v>159</v>
      </c>
      <c r="I6" t="s">
        <v>93</v>
      </c>
      <c r="J6" t="s">
        <v>159</v>
      </c>
      <c r="K6" t="s">
        <v>159</v>
      </c>
      <c r="M6" s="14" t="s">
        <v>41</v>
      </c>
      <c r="N6" s="14"/>
      <c r="O6" s="14"/>
      <c r="P6" s="15">
        <f>P5/P4</f>
        <v>2.1111111111111112</v>
      </c>
      <c r="Q6" s="14"/>
      <c r="R6" s="14"/>
      <c r="S6" s="14"/>
      <c r="T6" s="14"/>
      <c r="U6" s="14"/>
      <c r="V6" s="14"/>
      <c r="W6" s="14"/>
    </row>
    <row r="7" spans="1:24" x14ac:dyDescent="0.2">
      <c r="C7">
        <v>91401</v>
      </c>
      <c r="D7">
        <v>46</v>
      </c>
      <c r="E7">
        <v>10363029</v>
      </c>
      <c r="F7" t="s">
        <v>14</v>
      </c>
      <c r="G7" t="s">
        <v>93</v>
      </c>
      <c r="H7" t="s">
        <v>93</v>
      </c>
      <c r="I7" t="s">
        <v>93</v>
      </c>
      <c r="J7" t="s">
        <v>93</v>
      </c>
      <c r="K7" t="s">
        <v>89</v>
      </c>
      <c r="P7" s="16"/>
    </row>
    <row r="8" spans="1:24" x14ac:dyDescent="0.2">
      <c r="C8">
        <v>92610</v>
      </c>
      <c r="D8">
        <v>42</v>
      </c>
      <c r="E8">
        <v>10042877</v>
      </c>
      <c r="F8" t="s">
        <v>14</v>
      </c>
      <c r="G8" t="s">
        <v>159</v>
      </c>
      <c r="H8" t="s">
        <v>93</v>
      </c>
      <c r="I8" t="s">
        <v>93</v>
      </c>
      <c r="J8" t="s">
        <v>93</v>
      </c>
      <c r="K8" t="s">
        <v>159</v>
      </c>
      <c r="M8" s="62" t="s">
        <v>47</v>
      </c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9" spans="1:24" x14ac:dyDescent="0.2">
      <c r="C9">
        <v>92656</v>
      </c>
      <c r="D9">
        <v>40</v>
      </c>
      <c r="E9">
        <v>10156964</v>
      </c>
      <c r="F9" t="s">
        <v>14</v>
      </c>
      <c r="G9" t="s">
        <v>159</v>
      </c>
      <c r="H9" t="s">
        <v>159</v>
      </c>
      <c r="I9" t="s">
        <v>159</v>
      </c>
      <c r="J9" t="s">
        <v>159</v>
      </c>
      <c r="K9" t="s">
        <v>159</v>
      </c>
      <c r="M9" s="17"/>
      <c r="N9" s="17" t="s">
        <v>16</v>
      </c>
      <c r="O9" s="17" t="s">
        <v>17</v>
      </c>
      <c r="P9" s="17" t="s">
        <v>18</v>
      </c>
      <c r="Q9" s="17" t="s">
        <v>19</v>
      </c>
      <c r="R9" s="17" t="s">
        <v>20</v>
      </c>
      <c r="S9" s="17" t="s">
        <v>21</v>
      </c>
      <c r="T9" s="17" t="s">
        <v>22</v>
      </c>
      <c r="U9" s="17" t="s">
        <v>23</v>
      </c>
      <c r="V9" s="17" t="s">
        <v>24</v>
      </c>
      <c r="W9" s="17" t="s">
        <v>25</v>
      </c>
      <c r="X9" s="18" t="s">
        <v>50</v>
      </c>
    </row>
    <row r="10" spans="1:24" x14ac:dyDescent="0.2">
      <c r="C10">
        <v>91208</v>
      </c>
      <c r="D10">
        <v>40</v>
      </c>
      <c r="E10">
        <v>10362531</v>
      </c>
      <c r="F10" t="s">
        <v>14</v>
      </c>
      <c r="G10" t="s">
        <v>159</v>
      </c>
      <c r="H10" t="s">
        <v>93</v>
      </c>
      <c r="I10" t="s">
        <v>159</v>
      </c>
      <c r="J10" t="s">
        <v>159</v>
      </c>
      <c r="K10" t="s">
        <v>159</v>
      </c>
      <c r="M10" s="19" t="s">
        <v>317</v>
      </c>
      <c r="N10" s="19" cm="1">
        <f t="array" ref="N10">SUM(COUNTIF($G:$K,{"H.*","I.*"}))</f>
        <v>201</v>
      </c>
      <c r="O10" s="19">
        <f>COUNTIF($G:$K,"E.*")</f>
        <v>68</v>
      </c>
      <c r="P10" s="19" cm="1">
        <f t="array" ref="P10">SUM(COUNTIF($G:$K,{"J.*","K.*","L.*","M.*","N.*","O.*","P.*","Q.*","R.*","S.*","T.*","U.*","V.*","W.*"}))</f>
        <v>42</v>
      </c>
      <c r="Q10" s="20">
        <f>COUNTIF($G:$K,"C.*")</f>
        <v>1</v>
      </c>
      <c r="R10" s="19">
        <f>COUNTIF($G:$K,"A.*")</f>
        <v>36</v>
      </c>
      <c r="S10" s="19">
        <v>0</v>
      </c>
      <c r="T10" s="19">
        <f>COUNTIF($G:$K,"B.*")</f>
        <v>0</v>
      </c>
      <c r="U10" s="19">
        <f>COUNTIF($G:$K,"F.*")</f>
        <v>51</v>
      </c>
      <c r="V10" s="19">
        <f>COUNTIF($G:$K,"D.*")</f>
        <v>130</v>
      </c>
      <c r="W10" s="21">
        <f>SUM(N10:V10)</f>
        <v>529</v>
      </c>
      <c r="X10" s="17">
        <f>COUNTIFS($G2:$K1000,"&lt;&gt;",$G2:$K1000,"&lt;&gt;OFF.*",$G2:$K1000,"&lt;&gt;AA.*",$G2:$K1000,"&lt;&gt;BB.*",$G2:$K1000,"&lt;&gt;G.*",$G2:$K1000,"&lt;&gt;X.*",$G2:$K1000,"&lt;&gt;Y.*",$G2:$K1000,"&lt;&gt;Z.*",G2:K1000,"&lt;&gt;CC.*")</f>
        <v>529</v>
      </c>
    </row>
    <row r="11" spans="1:24" x14ac:dyDescent="0.2">
      <c r="C11">
        <v>91106</v>
      </c>
      <c r="D11">
        <v>40</v>
      </c>
      <c r="E11">
        <v>10256410</v>
      </c>
      <c r="F11" t="s">
        <v>14</v>
      </c>
      <c r="G11" t="s">
        <v>84</v>
      </c>
      <c r="H11" t="s">
        <v>84</v>
      </c>
      <c r="I11" t="s">
        <v>243</v>
      </c>
      <c r="J11" t="s">
        <v>84</v>
      </c>
      <c r="K11" t="s">
        <v>243</v>
      </c>
    </row>
    <row r="12" spans="1:24" ht="16" x14ac:dyDescent="0.2">
      <c r="C12">
        <v>91601</v>
      </c>
      <c r="D12">
        <v>40</v>
      </c>
      <c r="E12">
        <v>10358182</v>
      </c>
      <c r="F12" t="s">
        <v>14</v>
      </c>
      <c r="G12" t="s">
        <v>89</v>
      </c>
      <c r="H12" t="s">
        <v>93</v>
      </c>
      <c r="I12" t="s">
        <v>89</v>
      </c>
      <c r="J12" t="s">
        <v>93</v>
      </c>
      <c r="K12" t="s">
        <v>93</v>
      </c>
      <c r="M12" s="22" t="s">
        <v>57</v>
      </c>
      <c r="O12" s="59" t="s">
        <v>58</v>
      </c>
      <c r="P12" s="63"/>
      <c r="Q12" s="60"/>
    </row>
    <row r="13" spans="1:24" ht="16" x14ac:dyDescent="0.2">
      <c r="C13">
        <v>92620</v>
      </c>
      <c r="D13">
        <v>36</v>
      </c>
      <c r="E13">
        <v>10008115</v>
      </c>
      <c r="F13" t="s">
        <v>14</v>
      </c>
      <c r="G13" t="s">
        <v>93</v>
      </c>
      <c r="H13" t="s">
        <v>93</v>
      </c>
      <c r="I13" t="s">
        <v>157</v>
      </c>
      <c r="J13" t="s">
        <v>93</v>
      </c>
      <c r="K13" t="s">
        <v>159</v>
      </c>
      <c r="M13" s="26" t="s">
        <v>62</v>
      </c>
      <c r="O13" s="64" t="s">
        <v>63</v>
      </c>
      <c r="P13" s="64"/>
      <c r="Q13" s="19" t="e">
        <f>2*W10/COUNTIFS(A:A,"&lt;&gt;",A:A,"&lt;&gt;FirstName")</f>
        <v>#DIV/0!</v>
      </c>
    </row>
    <row r="14" spans="1:24" ht="16" x14ac:dyDescent="0.2">
      <c r="C14">
        <v>92359</v>
      </c>
      <c r="D14">
        <v>35</v>
      </c>
      <c r="E14">
        <v>10370519</v>
      </c>
      <c r="F14" t="s">
        <v>14</v>
      </c>
      <c r="G14" t="s">
        <v>84</v>
      </c>
      <c r="H14" t="s">
        <v>93</v>
      </c>
      <c r="I14" t="s">
        <v>84</v>
      </c>
      <c r="J14" t="s">
        <v>93</v>
      </c>
      <c r="K14" t="s">
        <v>84</v>
      </c>
      <c r="M14" s="26" t="s">
        <v>66</v>
      </c>
      <c r="O14" s="62" t="s">
        <v>67</v>
      </c>
      <c r="P14" s="62"/>
      <c r="Q14" s="17">
        <v>326</v>
      </c>
    </row>
    <row r="15" spans="1:24" ht="16" x14ac:dyDescent="0.2">
      <c r="C15">
        <v>90065</v>
      </c>
      <c r="D15">
        <v>35</v>
      </c>
      <c r="E15">
        <v>10091019</v>
      </c>
      <c r="F15" t="s">
        <v>14</v>
      </c>
      <c r="G15" t="s">
        <v>93</v>
      </c>
      <c r="H15" t="s">
        <v>159</v>
      </c>
      <c r="I15" t="s">
        <v>93</v>
      </c>
      <c r="J15" t="s">
        <v>159</v>
      </c>
      <c r="K15" t="s">
        <v>93</v>
      </c>
      <c r="M15" s="26" t="s">
        <v>71</v>
      </c>
      <c r="O15" s="65" t="s">
        <v>72</v>
      </c>
      <c r="P15" s="65"/>
      <c r="Q15" s="18">
        <f>COUNTIFS(A:A,"&lt;&gt;",A:A,"&lt;&gt;FirstName")</f>
        <v>0</v>
      </c>
    </row>
    <row r="16" spans="1:24" ht="16" x14ac:dyDescent="0.2">
      <c r="C16">
        <v>90808</v>
      </c>
      <c r="D16">
        <v>35</v>
      </c>
      <c r="E16">
        <v>10163975</v>
      </c>
      <c r="F16" t="s">
        <v>14</v>
      </c>
      <c r="G16" t="s">
        <v>84</v>
      </c>
      <c r="H16" t="s">
        <v>93</v>
      </c>
      <c r="I16" t="s">
        <v>93</v>
      </c>
      <c r="J16" t="s">
        <v>93</v>
      </c>
      <c r="K16" t="s">
        <v>93</v>
      </c>
      <c r="M16" s="26" t="s">
        <v>75</v>
      </c>
      <c r="O16" s="62" t="s">
        <v>76</v>
      </c>
      <c r="P16" s="59"/>
      <c r="Q16" s="27">
        <f>Q15/Q14</f>
        <v>0</v>
      </c>
    </row>
    <row r="17" spans="3:17" ht="16" x14ac:dyDescent="0.2">
      <c r="C17">
        <v>90065</v>
      </c>
      <c r="D17">
        <v>35</v>
      </c>
      <c r="E17">
        <v>103809</v>
      </c>
      <c r="F17" t="s">
        <v>14</v>
      </c>
      <c r="G17" t="s">
        <v>159</v>
      </c>
      <c r="H17" t="s">
        <v>159</v>
      </c>
      <c r="I17" t="s">
        <v>159</v>
      </c>
      <c r="J17" t="s">
        <v>159</v>
      </c>
      <c r="K17" t="s">
        <v>93</v>
      </c>
      <c r="M17" s="26" t="s">
        <v>79</v>
      </c>
      <c r="O17" s="66" t="s">
        <v>80</v>
      </c>
      <c r="P17" s="66"/>
      <c r="Q17" s="28">
        <v>32</v>
      </c>
    </row>
    <row r="18" spans="3:17" ht="16" x14ac:dyDescent="0.2">
      <c r="C18">
        <v>92374</v>
      </c>
      <c r="D18">
        <v>34</v>
      </c>
      <c r="E18">
        <v>10356603</v>
      </c>
      <c r="F18" t="s">
        <v>14</v>
      </c>
      <c r="G18" t="s">
        <v>84</v>
      </c>
      <c r="H18" t="s">
        <v>93</v>
      </c>
      <c r="I18" t="s">
        <v>84</v>
      </c>
      <c r="J18" t="s">
        <v>93</v>
      </c>
      <c r="K18" t="s">
        <v>84</v>
      </c>
      <c r="M18" s="26" t="s">
        <v>84</v>
      </c>
      <c r="O18" s="59" t="s">
        <v>85</v>
      </c>
      <c r="P18" s="60"/>
      <c r="Q18" s="17">
        <f>AVERAGE(D2:D1000)</f>
        <v>12.83658536585366</v>
      </c>
    </row>
    <row r="19" spans="3:17" ht="16" x14ac:dyDescent="0.2">
      <c r="C19">
        <v>90065</v>
      </c>
      <c r="D19">
        <v>32</v>
      </c>
      <c r="E19">
        <v>10370320</v>
      </c>
      <c r="F19" t="s">
        <v>14</v>
      </c>
      <c r="G19" t="s">
        <v>159</v>
      </c>
      <c r="H19" t="s">
        <v>62</v>
      </c>
      <c r="I19" t="s">
        <v>159</v>
      </c>
      <c r="J19" t="s">
        <v>62</v>
      </c>
      <c r="K19" t="s">
        <v>159</v>
      </c>
      <c r="M19" s="26" t="s">
        <v>89</v>
      </c>
      <c r="O19" s="59" t="s">
        <v>90</v>
      </c>
      <c r="P19" s="60"/>
      <c r="Q19" s="17">
        <f>MEDIAN(D2:D1000)</f>
        <v>2</v>
      </c>
    </row>
    <row r="20" spans="3:17" ht="16" x14ac:dyDescent="0.2">
      <c r="C20">
        <v>91205</v>
      </c>
      <c r="D20">
        <v>32</v>
      </c>
      <c r="E20">
        <v>10364484</v>
      </c>
      <c r="F20" t="s">
        <v>14</v>
      </c>
      <c r="G20" t="s">
        <v>93</v>
      </c>
      <c r="H20" t="s">
        <v>93</v>
      </c>
      <c r="I20" t="s">
        <v>84</v>
      </c>
      <c r="J20" t="s">
        <v>93</v>
      </c>
      <c r="K20" t="s">
        <v>89</v>
      </c>
      <c r="M20" s="26" t="s">
        <v>93</v>
      </c>
      <c r="O20" s="59" t="s">
        <v>94</v>
      </c>
      <c r="P20" s="60"/>
      <c r="Q20" s="17" t="e">
        <f>(SUM(D2:D1000)/Q15)*Q14</f>
        <v>#DIV/0!</v>
      </c>
    </row>
    <row r="21" spans="3:17" ht="16" x14ac:dyDescent="0.2">
      <c r="C21">
        <v>91711</v>
      </c>
      <c r="D21">
        <v>32</v>
      </c>
      <c r="E21">
        <v>10351684</v>
      </c>
      <c r="F21" t="s">
        <v>14</v>
      </c>
      <c r="G21" t="s">
        <v>93</v>
      </c>
      <c r="H21" t="s">
        <v>84</v>
      </c>
      <c r="I21" t="s">
        <v>71</v>
      </c>
      <c r="J21" t="s">
        <v>93</v>
      </c>
      <c r="K21" t="s">
        <v>84</v>
      </c>
      <c r="M21" s="26" t="s">
        <v>97</v>
      </c>
      <c r="O21" s="59" t="s">
        <v>98</v>
      </c>
      <c r="P21" s="60"/>
      <c r="Q21" s="27" t="e">
        <f>COUNTIF(D:D,"&lt;=5")/Q15</f>
        <v>#DIV/0!</v>
      </c>
    </row>
    <row r="22" spans="3:17" ht="16" x14ac:dyDescent="0.2">
      <c r="C22">
        <v>90046</v>
      </c>
      <c r="D22">
        <v>30</v>
      </c>
      <c r="E22">
        <v>10043312</v>
      </c>
      <c r="F22" t="s">
        <v>14</v>
      </c>
      <c r="G22" t="s">
        <v>93</v>
      </c>
      <c r="H22" t="s">
        <v>93</v>
      </c>
      <c r="I22" t="s">
        <v>93</v>
      </c>
      <c r="J22" t="s">
        <v>93</v>
      </c>
      <c r="K22" t="s">
        <v>93</v>
      </c>
      <c r="M22" s="26" t="s">
        <v>106</v>
      </c>
    </row>
    <row r="23" spans="3:17" ht="16" x14ac:dyDescent="0.2">
      <c r="C23">
        <v>91030</v>
      </c>
      <c r="D23">
        <v>30</v>
      </c>
      <c r="E23">
        <v>10361342</v>
      </c>
      <c r="F23" t="s">
        <v>14</v>
      </c>
      <c r="G23" t="s">
        <v>84</v>
      </c>
      <c r="H23" t="s">
        <v>93</v>
      </c>
      <c r="I23" t="s">
        <v>84</v>
      </c>
      <c r="J23" t="s">
        <v>93</v>
      </c>
      <c r="K23" t="s">
        <v>84</v>
      </c>
      <c r="M23" s="26" t="s">
        <v>110</v>
      </c>
    </row>
    <row r="24" spans="3:17" ht="16" x14ac:dyDescent="0.2">
      <c r="C24">
        <v>91030</v>
      </c>
      <c r="D24">
        <v>30</v>
      </c>
      <c r="E24">
        <v>10158952</v>
      </c>
      <c r="F24" t="s">
        <v>14</v>
      </c>
      <c r="G24" t="s">
        <v>93</v>
      </c>
      <c r="H24" t="s">
        <v>89</v>
      </c>
      <c r="I24" t="s">
        <v>93</v>
      </c>
      <c r="J24" t="s">
        <v>89</v>
      </c>
      <c r="K24" t="s">
        <v>89</v>
      </c>
      <c r="M24" s="26" t="s">
        <v>113</v>
      </c>
    </row>
    <row r="25" spans="3:17" ht="16" x14ac:dyDescent="0.2">
      <c r="C25">
        <v>92833</v>
      </c>
      <c r="D25">
        <v>30</v>
      </c>
      <c r="E25">
        <v>10355964</v>
      </c>
      <c r="F25" t="s">
        <v>14</v>
      </c>
      <c r="G25" t="s">
        <v>159</v>
      </c>
      <c r="H25" t="s">
        <v>93</v>
      </c>
      <c r="I25" t="s">
        <v>159</v>
      </c>
      <c r="J25" t="s">
        <v>93</v>
      </c>
      <c r="K25" t="s">
        <v>159</v>
      </c>
      <c r="M25" s="26" t="s">
        <v>117</v>
      </c>
    </row>
    <row r="26" spans="3:17" ht="16" x14ac:dyDescent="0.2">
      <c r="C26">
        <v>91006</v>
      </c>
      <c r="D26">
        <v>30</v>
      </c>
      <c r="E26">
        <v>10109770</v>
      </c>
      <c r="F26" t="s">
        <v>14</v>
      </c>
      <c r="G26" t="s">
        <v>62</v>
      </c>
      <c r="H26" t="s">
        <v>62</v>
      </c>
      <c r="I26" t="s">
        <v>62</v>
      </c>
      <c r="J26" t="s">
        <v>62</v>
      </c>
      <c r="K26" t="s">
        <v>62</v>
      </c>
      <c r="M26" s="26" t="s">
        <v>120</v>
      </c>
    </row>
    <row r="27" spans="3:17" ht="16" x14ac:dyDescent="0.2">
      <c r="C27">
        <v>91107</v>
      </c>
      <c r="D27">
        <v>30</v>
      </c>
      <c r="E27">
        <v>10260966</v>
      </c>
      <c r="F27" t="s">
        <v>14</v>
      </c>
      <c r="G27" t="s">
        <v>93</v>
      </c>
      <c r="H27" t="s">
        <v>159</v>
      </c>
      <c r="I27" t="s">
        <v>93</v>
      </c>
      <c r="J27" t="s">
        <v>159</v>
      </c>
      <c r="K27" t="s">
        <v>93</v>
      </c>
      <c r="M27" s="26" t="s">
        <v>123</v>
      </c>
    </row>
    <row r="28" spans="3:17" ht="16" x14ac:dyDescent="0.2">
      <c r="C28">
        <v>91105</v>
      </c>
      <c r="D28">
        <v>30</v>
      </c>
      <c r="E28">
        <v>10138393</v>
      </c>
      <c r="F28" t="s">
        <v>14</v>
      </c>
      <c r="G28" t="s">
        <v>93</v>
      </c>
      <c r="H28" t="s">
        <v>93</v>
      </c>
      <c r="I28" t="s">
        <v>93</v>
      </c>
      <c r="J28" t="s">
        <v>93</v>
      </c>
      <c r="K28" t="s">
        <v>93</v>
      </c>
      <c r="M28" s="26" t="s">
        <v>126</v>
      </c>
    </row>
    <row r="29" spans="3:17" ht="16" x14ac:dyDescent="0.2">
      <c r="C29">
        <v>91001</v>
      </c>
      <c r="D29">
        <v>29</v>
      </c>
      <c r="E29">
        <v>10358353</v>
      </c>
      <c r="F29" t="s">
        <v>14</v>
      </c>
      <c r="G29" t="s">
        <v>159</v>
      </c>
      <c r="H29" t="s">
        <v>93</v>
      </c>
      <c r="I29" t="s">
        <v>159</v>
      </c>
      <c r="J29" t="s">
        <v>93</v>
      </c>
      <c r="K29" t="s">
        <v>159</v>
      </c>
      <c r="M29" s="26" t="s">
        <v>129</v>
      </c>
    </row>
    <row r="30" spans="3:17" ht="16" x14ac:dyDescent="0.2">
      <c r="C30">
        <v>91104</v>
      </c>
      <c r="D30">
        <v>27</v>
      </c>
      <c r="E30">
        <v>102135971</v>
      </c>
      <c r="F30" t="s">
        <v>14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M30" s="26" t="s">
        <v>132</v>
      </c>
    </row>
    <row r="31" spans="3:17" ht="16" x14ac:dyDescent="0.2">
      <c r="C31">
        <v>91024</v>
      </c>
      <c r="D31">
        <v>26</v>
      </c>
      <c r="E31">
        <v>10043194</v>
      </c>
      <c r="F31" t="s">
        <v>14</v>
      </c>
      <c r="G31" t="s">
        <v>159</v>
      </c>
      <c r="H31" t="s">
        <v>93</v>
      </c>
      <c r="I31" t="s">
        <v>93</v>
      </c>
      <c r="J31" t="s">
        <v>159</v>
      </c>
      <c r="K31" t="s">
        <v>159</v>
      </c>
      <c r="M31" s="26" t="s">
        <v>134</v>
      </c>
    </row>
    <row r="32" spans="3:17" ht="16" x14ac:dyDescent="0.2">
      <c r="C32">
        <v>92506</v>
      </c>
      <c r="D32">
        <v>26</v>
      </c>
      <c r="E32">
        <v>10361324</v>
      </c>
      <c r="F32" t="s">
        <v>14</v>
      </c>
      <c r="G32" t="s">
        <v>93</v>
      </c>
      <c r="H32" t="s">
        <v>93</v>
      </c>
      <c r="I32" t="s">
        <v>93</v>
      </c>
      <c r="J32" t="s">
        <v>89</v>
      </c>
      <c r="K32" t="s">
        <v>89</v>
      </c>
      <c r="M32" s="26" t="s">
        <v>136</v>
      </c>
    </row>
    <row r="33" spans="3:13" ht="16" x14ac:dyDescent="0.2">
      <c r="C33">
        <v>91106</v>
      </c>
      <c r="D33">
        <v>26</v>
      </c>
      <c r="E33">
        <v>10307642</v>
      </c>
      <c r="F33" t="s">
        <v>14</v>
      </c>
      <c r="G33" t="s">
        <v>93</v>
      </c>
      <c r="H33" t="s">
        <v>84</v>
      </c>
      <c r="I33" t="s">
        <v>93</v>
      </c>
      <c r="J33" t="s">
        <v>93</v>
      </c>
      <c r="K33" t="s">
        <v>93</v>
      </c>
      <c r="M33" s="26" t="s">
        <v>138</v>
      </c>
    </row>
    <row r="34" spans="3:13" ht="16" x14ac:dyDescent="0.2">
      <c r="C34">
        <v>91106</v>
      </c>
      <c r="D34">
        <v>26</v>
      </c>
      <c r="E34">
        <v>10089127</v>
      </c>
      <c r="F34" t="s">
        <v>14</v>
      </c>
      <c r="G34" t="s">
        <v>93</v>
      </c>
      <c r="H34" t="s">
        <v>93</v>
      </c>
      <c r="I34" t="s">
        <v>93</v>
      </c>
      <c r="J34" t="s">
        <v>93</v>
      </c>
      <c r="K34" t="s">
        <v>93</v>
      </c>
      <c r="M34" s="26" t="s">
        <v>140</v>
      </c>
    </row>
    <row r="35" spans="3:13" ht="16" x14ac:dyDescent="0.2">
      <c r="C35">
        <v>91104</v>
      </c>
      <c r="D35">
        <v>26</v>
      </c>
      <c r="E35">
        <v>10043346</v>
      </c>
      <c r="F35" t="s">
        <v>14</v>
      </c>
      <c r="G35" t="s">
        <v>93</v>
      </c>
      <c r="H35" t="s">
        <v>93</v>
      </c>
      <c r="I35" t="s">
        <v>93</v>
      </c>
      <c r="J35" t="s">
        <v>93</v>
      </c>
      <c r="K35" t="s">
        <v>84</v>
      </c>
      <c r="M35" s="26" t="s">
        <v>143</v>
      </c>
    </row>
    <row r="36" spans="3:13" ht="16" x14ac:dyDescent="0.2">
      <c r="C36">
        <v>91107</v>
      </c>
      <c r="D36">
        <v>24</v>
      </c>
      <c r="E36">
        <v>10345516</v>
      </c>
      <c r="F36" t="s">
        <v>14</v>
      </c>
      <c r="G36" t="s">
        <v>93</v>
      </c>
      <c r="H36" t="s">
        <v>93</v>
      </c>
      <c r="I36" t="s">
        <v>93</v>
      </c>
      <c r="J36" t="s">
        <v>93</v>
      </c>
      <c r="K36" t="s">
        <v>93</v>
      </c>
      <c r="M36" s="26" t="s">
        <v>146</v>
      </c>
    </row>
    <row r="37" spans="3:13" ht="16" x14ac:dyDescent="0.2">
      <c r="C37">
        <v>92509</v>
      </c>
      <c r="D37">
        <v>22</v>
      </c>
      <c r="E37">
        <v>10357931</v>
      </c>
      <c r="F37" t="s">
        <v>14</v>
      </c>
      <c r="G37" t="s">
        <v>159</v>
      </c>
      <c r="H37" t="s">
        <v>93</v>
      </c>
      <c r="I37" t="s">
        <v>159</v>
      </c>
      <c r="J37" t="s">
        <v>93</v>
      </c>
      <c r="K37" t="s">
        <v>159</v>
      </c>
      <c r="M37" s="26" t="s">
        <v>149</v>
      </c>
    </row>
    <row r="38" spans="3:13" ht="16" x14ac:dyDescent="0.2">
      <c r="C38">
        <v>91741</v>
      </c>
      <c r="D38">
        <v>18</v>
      </c>
      <c r="E38">
        <v>10361272</v>
      </c>
      <c r="F38" t="s">
        <v>14</v>
      </c>
      <c r="G38" t="s">
        <v>93</v>
      </c>
      <c r="H38" t="s">
        <v>93</v>
      </c>
      <c r="I38" t="s">
        <v>93</v>
      </c>
      <c r="J38" t="s">
        <v>93</v>
      </c>
      <c r="K38" t="s">
        <v>159</v>
      </c>
      <c r="M38" s="26" t="s">
        <v>151</v>
      </c>
    </row>
    <row r="39" spans="3:13" ht="16" x14ac:dyDescent="0.2">
      <c r="C39">
        <v>92335</v>
      </c>
      <c r="D39">
        <v>18</v>
      </c>
      <c r="E39">
        <v>10278300</v>
      </c>
      <c r="F39" t="s">
        <v>14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M39" s="26" t="s">
        <v>153</v>
      </c>
    </row>
    <row r="40" spans="3:13" ht="16" x14ac:dyDescent="0.2">
      <c r="C40">
        <v>91759</v>
      </c>
      <c r="D40">
        <v>15</v>
      </c>
      <c r="E40">
        <v>10282330</v>
      </c>
      <c r="F40" t="s">
        <v>14</v>
      </c>
      <c r="G40" t="s">
        <v>93</v>
      </c>
      <c r="H40" t="s">
        <v>93</v>
      </c>
      <c r="I40" t="s">
        <v>93</v>
      </c>
      <c r="J40" t="s">
        <v>93</v>
      </c>
      <c r="K40" t="s">
        <v>93</v>
      </c>
      <c r="M40" s="26" t="s">
        <v>155</v>
      </c>
    </row>
    <row r="41" spans="3:13" ht="16" x14ac:dyDescent="0.2">
      <c r="C41">
        <v>91784</v>
      </c>
      <c r="D41">
        <v>8</v>
      </c>
      <c r="E41">
        <v>10213581</v>
      </c>
      <c r="F41" t="s">
        <v>14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M41" s="26" t="s">
        <v>157</v>
      </c>
    </row>
    <row r="42" spans="3:13" ht="16" x14ac:dyDescent="0.2">
      <c r="C42">
        <v>91750</v>
      </c>
      <c r="D42">
        <v>7</v>
      </c>
      <c r="E42">
        <v>10085922</v>
      </c>
      <c r="F42" t="s">
        <v>14</v>
      </c>
      <c r="G42" t="s">
        <v>159</v>
      </c>
      <c r="H42" t="s">
        <v>159</v>
      </c>
      <c r="I42" t="s">
        <v>159</v>
      </c>
      <c r="J42" t="s">
        <v>159</v>
      </c>
      <c r="K42" t="s">
        <v>93</v>
      </c>
      <c r="M42" s="29" t="s">
        <v>159</v>
      </c>
    </row>
    <row r="43" spans="3:13" x14ac:dyDescent="0.2">
      <c r="C43">
        <v>91711</v>
      </c>
      <c r="D43">
        <v>5</v>
      </c>
      <c r="E43">
        <v>10364482</v>
      </c>
      <c r="F43" t="s">
        <v>14</v>
      </c>
      <c r="G43" t="s">
        <v>243</v>
      </c>
      <c r="H43" t="s">
        <v>243</v>
      </c>
      <c r="I43" t="s">
        <v>243</v>
      </c>
      <c r="J43" t="s">
        <v>243</v>
      </c>
      <c r="K43" t="s">
        <v>243</v>
      </c>
    </row>
    <row r="44" spans="3:13" x14ac:dyDescent="0.2">
      <c r="C44">
        <v>91784</v>
      </c>
      <c r="D44">
        <v>5</v>
      </c>
      <c r="E44">
        <v>10142045</v>
      </c>
      <c r="F44" t="s">
        <v>14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</row>
    <row r="45" spans="3:13" x14ac:dyDescent="0.2">
      <c r="C45">
        <v>91750</v>
      </c>
      <c r="D45">
        <v>4</v>
      </c>
      <c r="E45">
        <v>100815</v>
      </c>
      <c r="F45" t="s">
        <v>14</v>
      </c>
      <c r="G45" t="s">
        <v>93</v>
      </c>
      <c r="H45" t="s">
        <v>93</v>
      </c>
      <c r="I45" t="s">
        <v>157</v>
      </c>
      <c r="J45" t="s">
        <v>157</v>
      </c>
      <c r="K45" t="s">
        <v>157</v>
      </c>
    </row>
    <row r="46" spans="3:13" x14ac:dyDescent="0.2">
      <c r="C46">
        <v>91711</v>
      </c>
      <c r="D46">
        <v>3</v>
      </c>
      <c r="E46">
        <v>10097581</v>
      </c>
      <c r="F46" t="s">
        <v>14</v>
      </c>
      <c r="G46" t="s">
        <v>93</v>
      </c>
      <c r="H46" t="s">
        <v>84</v>
      </c>
      <c r="I46" t="s">
        <v>84</v>
      </c>
      <c r="J46" t="s">
        <v>93</v>
      </c>
      <c r="K46" t="s">
        <v>93</v>
      </c>
    </row>
    <row r="47" spans="3:13" x14ac:dyDescent="0.2">
      <c r="C47">
        <v>91711</v>
      </c>
      <c r="D47">
        <v>3</v>
      </c>
      <c r="E47">
        <v>10032294</v>
      </c>
      <c r="F47" t="s">
        <v>14</v>
      </c>
      <c r="G47" t="s">
        <v>79</v>
      </c>
      <c r="H47" t="s">
        <v>79</v>
      </c>
      <c r="I47" t="s">
        <v>79</v>
      </c>
      <c r="J47" t="s">
        <v>93</v>
      </c>
      <c r="K47" t="s">
        <v>79</v>
      </c>
    </row>
    <row r="48" spans="3:13" x14ac:dyDescent="0.2">
      <c r="C48">
        <v>91711</v>
      </c>
      <c r="D48">
        <v>3</v>
      </c>
      <c r="E48">
        <v>10346813</v>
      </c>
      <c r="F48" t="s">
        <v>14</v>
      </c>
      <c r="G48" t="s">
        <v>243</v>
      </c>
      <c r="H48" t="s">
        <v>243</v>
      </c>
      <c r="I48" t="s">
        <v>243</v>
      </c>
      <c r="J48" t="s">
        <v>243</v>
      </c>
      <c r="K48" t="s">
        <v>243</v>
      </c>
    </row>
    <row r="49" spans="3:11" x14ac:dyDescent="0.2">
      <c r="C49">
        <v>91711</v>
      </c>
      <c r="D49">
        <v>3</v>
      </c>
      <c r="E49">
        <v>10179974</v>
      </c>
      <c r="F49" t="s">
        <v>14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</row>
    <row r="50" spans="3:11" x14ac:dyDescent="0.2">
      <c r="C50">
        <v>91711</v>
      </c>
      <c r="D50">
        <v>3</v>
      </c>
      <c r="E50">
        <v>10119823</v>
      </c>
      <c r="F50" t="s">
        <v>14</v>
      </c>
      <c r="G50" t="s">
        <v>62</v>
      </c>
      <c r="H50" t="s">
        <v>62</v>
      </c>
      <c r="I50" t="s">
        <v>62</v>
      </c>
      <c r="J50" t="s">
        <v>62</v>
      </c>
      <c r="K50" t="s">
        <v>62</v>
      </c>
    </row>
    <row r="51" spans="3:11" x14ac:dyDescent="0.2">
      <c r="C51">
        <v>91711</v>
      </c>
      <c r="D51">
        <v>3</v>
      </c>
      <c r="E51" t="s">
        <v>318</v>
      </c>
      <c r="F51" t="s">
        <v>14</v>
      </c>
      <c r="G51" t="s">
        <v>62</v>
      </c>
      <c r="H51" t="s">
        <v>62</v>
      </c>
      <c r="I51" t="s">
        <v>62</v>
      </c>
      <c r="J51" t="s">
        <v>62</v>
      </c>
      <c r="K51" t="s">
        <v>62</v>
      </c>
    </row>
    <row r="52" spans="3:11" x14ac:dyDescent="0.2">
      <c r="C52">
        <v>91786</v>
      </c>
      <c r="D52">
        <v>3</v>
      </c>
      <c r="E52">
        <v>19366656</v>
      </c>
      <c r="F52" t="s">
        <v>14</v>
      </c>
      <c r="G52" t="s">
        <v>93</v>
      </c>
      <c r="H52" t="s">
        <v>93</v>
      </c>
      <c r="I52" t="s">
        <v>93</v>
      </c>
      <c r="J52" t="s">
        <v>93</v>
      </c>
      <c r="K52" t="s">
        <v>93</v>
      </c>
    </row>
    <row r="53" spans="3:11" x14ac:dyDescent="0.2">
      <c r="C53">
        <v>91750</v>
      </c>
      <c r="D53">
        <v>3</v>
      </c>
      <c r="E53">
        <v>10354731</v>
      </c>
      <c r="F53" t="s">
        <v>14</v>
      </c>
      <c r="G53" t="s">
        <v>243</v>
      </c>
      <c r="H53" t="s">
        <v>243</v>
      </c>
      <c r="I53" t="s">
        <v>243</v>
      </c>
      <c r="J53" t="s">
        <v>84</v>
      </c>
      <c r="K53" t="s">
        <v>84</v>
      </c>
    </row>
    <row r="54" spans="3:11" x14ac:dyDescent="0.2">
      <c r="C54">
        <v>91711</v>
      </c>
      <c r="D54">
        <v>3</v>
      </c>
      <c r="E54">
        <v>10353349</v>
      </c>
      <c r="F54" t="s">
        <v>14</v>
      </c>
      <c r="G54" t="s">
        <v>84</v>
      </c>
      <c r="H54" t="s">
        <v>93</v>
      </c>
      <c r="I54" t="s">
        <v>84</v>
      </c>
      <c r="J54" t="s">
        <v>62</v>
      </c>
      <c r="K54" t="s">
        <v>62</v>
      </c>
    </row>
    <row r="55" spans="3:11" x14ac:dyDescent="0.2">
      <c r="C55">
        <v>91767</v>
      </c>
      <c r="D55">
        <v>2</v>
      </c>
      <c r="E55">
        <v>10186413</v>
      </c>
      <c r="F55" t="s">
        <v>14</v>
      </c>
      <c r="G55" t="s">
        <v>93</v>
      </c>
      <c r="H55" t="s">
        <v>93</v>
      </c>
      <c r="I55" t="s">
        <v>93</v>
      </c>
      <c r="J55" t="s">
        <v>93</v>
      </c>
      <c r="K55" t="s">
        <v>93</v>
      </c>
    </row>
    <row r="56" spans="3:11" x14ac:dyDescent="0.2">
      <c r="C56">
        <v>91711</v>
      </c>
      <c r="D56">
        <v>2</v>
      </c>
      <c r="E56">
        <v>10180184</v>
      </c>
      <c r="F56" t="s">
        <v>14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</row>
    <row r="57" spans="3:11" x14ac:dyDescent="0.2">
      <c r="C57">
        <v>91711</v>
      </c>
      <c r="D57">
        <v>2</v>
      </c>
      <c r="E57">
        <v>10354485</v>
      </c>
      <c r="F57" t="s">
        <v>14</v>
      </c>
      <c r="G57" t="s">
        <v>75</v>
      </c>
      <c r="H57" t="s">
        <v>75</v>
      </c>
      <c r="I57" t="s">
        <v>75</v>
      </c>
      <c r="J57" t="s">
        <v>246</v>
      </c>
      <c r="K57" t="s">
        <v>75</v>
      </c>
    </row>
    <row r="58" spans="3:11" x14ac:dyDescent="0.2">
      <c r="C58">
        <v>91711</v>
      </c>
      <c r="D58">
        <v>2</v>
      </c>
      <c r="E58">
        <v>10018386</v>
      </c>
      <c r="F58" t="s">
        <v>14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</row>
    <row r="59" spans="3:11" x14ac:dyDescent="0.2">
      <c r="C59">
        <v>91711</v>
      </c>
      <c r="D59">
        <v>2</v>
      </c>
      <c r="E59">
        <v>10005870</v>
      </c>
      <c r="F59" t="s">
        <v>14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</row>
    <row r="60" spans="3:11" x14ac:dyDescent="0.2">
      <c r="C60">
        <v>91711</v>
      </c>
      <c r="D60">
        <v>2</v>
      </c>
      <c r="E60">
        <v>10042125</v>
      </c>
      <c r="F60" t="s">
        <v>14</v>
      </c>
      <c r="G60" t="s">
        <v>79</v>
      </c>
      <c r="H60" t="s">
        <v>79</v>
      </c>
      <c r="I60" t="s">
        <v>93</v>
      </c>
      <c r="J60" t="s">
        <v>93</v>
      </c>
      <c r="K60" t="s">
        <v>93</v>
      </c>
    </row>
    <row r="61" spans="3:11" x14ac:dyDescent="0.2">
      <c r="C61">
        <v>91711</v>
      </c>
      <c r="D61">
        <v>2</v>
      </c>
      <c r="E61">
        <v>10254425</v>
      </c>
      <c r="F61" t="s">
        <v>14</v>
      </c>
      <c r="G61" t="s">
        <v>79</v>
      </c>
      <c r="H61" t="s">
        <v>75</v>
      </c>
      <c r="I61" t="s">
        <v>79</v>
      </c>
      <c r="J61" t="s">
        <v>75</v>
      </c>
      <c r="K61" t="s">
        <v>84</v>
      </c>
    </row>
    <row r="62" spans="3:11" x14ac:dyDescent="0.2">
      <c r="C62">
        <v>91711</v>
      </c>
      <c r="D62">
        <v>2</v>
      </c>
      <c r="E62">
        <v>10257490</v>
      </c>
      <c r="F62" t="s">
        <v>14</v>
      </c>
      <c r="G62" t="s">
        <v>79</v>
      </c>
      <c r="H62" t="s">
        <v>79</v>
      </c>
      <c r="I62" t="s">
        <v>79</v>
      </c>
      <c r="J62" t="s">
        <v>246</v>
      </c>
      <c r="K62" t="s">
        <v>246</v>
      </c>
    </row>
    <row r="63" spans="3:11" x14ac:dyDescent="0.2">
      <c r="C63">
        <v>91711</v>
      </c>
      <c r="D63">
        <v>2</v>
      </c>
      <c r="E63">
        <v>10134553</v>
      </c>
      <c r="F63" t="s">
        <v>14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</row>
    <row r="64" spans="3:11" x14ac:dyDescent="0.2">
      <c r="C64">
        <v>91786</v>
      </c>
      <c r="D64">
        <v>2</v>
      </c>
      <c r="E64">
        <v>10196661</v>
      </c>
      <c r="F64" t="s">
        <v>14</v>
      </c>
      <c r="G64" t="s">
        <v>319</v>
      </c>
      <c r="H64" t="s">
        <v>319</v>
      </c>
      <c r="I64" t="s">
        <v>319</v>
      </c>
      <c r="J64" t="s">
        <v>75</v>
      </c>
      <c r="K64" t="s">
        <v>75</v>
      </c>
    </row>
    <row r="65" spans="3:11" x14ac:dyDescent="0.2">
      <c r="C65">
        <v>91711</v>
      </c>
      <c r="D65">
        <v>2</v>
      </c>
      <c r="E65">
        <v>10042136</v>
      </c>
      <c r="F65" t="s">
        <v>14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</row>
    <row r="66" spans="3:11" x14ac:dyDescent="0.2">
      <c r="C66">
        <v>91711</v>
      </c>
      <c r="D66">
        <v>2</v>
      </c>
      <c r="E66">
        <v>10271004</v>
      </c>
      <c r="F66" t="s">
        <v>14</v>
      </c>
      <c r="G66" t="s">
        <v>93</v>
      </c>
      <c r="H66" t="s">
        <v>93</v>
      </c>
      <c r="I66" t="s">
        <v>93</v>
      </c>
      <c r="J66" t="s">
        <v>93</v>
      </c>
      <c r="K66" t="s">
        <v>93</v>
      </c>
    </row>
    <row r="67" spans="3:11" x14ac:dyDescent="0.2">
      <c r="C67">
        <v>91711</v>
      </c>
      <c r="D67">
        <v>2</v>
      </c>
      <c r="E67">
        <v>10041968</v>
      </c>
      <c r="F67" t="s">
        <v>14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</row>
    <row r="68" spans="3:11" x14ac:dyDescent="0.2">
      <c r="C68">
        <v>91711</v>
      </c>
      <c r="D68">
        <v>2</v>
      </c>
      <c r="E68">
        <v>10134639</v>
      </c>
      <c r="F68" t="s">
        <v>14</v>
      </c>
      <c r="G68" t="s">
        <v>155</v>
      </c>
      <c r="H68" t="s">
        <v>155</v>
      </c>
      <c r="I68" t="s">
        <v>155</v>
      </c>
      <c r="J68" t="s">
        <v>155</v>
      </c>
      <c r="K68" t="s">
        <v>155</v>
      </c>
    </row>
    <row r="69" spans="3:11" x14ac:dyDescent="0.2">
      <c r="C69">
        <v>91711</v>
      </c>
      <c r="D69">
        <v>2</v>
      </c>
      <c r="E69">
        <v>10008674</v>
      </c>
      <c r="F69" t="s">
        <v>14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</row>
    <row r="70" spans="3:11" x14ac:dyDescent="0.2">
      <c r="C70">
        <v>91711</v>
      </c>
      <c r="D70">
        <v>2</v>
      </c>
      <c r="E70">
        <v>10085343</v>
      </c>
      <c r="F70" t="s">
        <v>14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</row>
    <row r="71" spans="3:11" x14ac:dyDescent="0.2">
      <c r="C71">
        <v>91711</v>
      </c>
      <c r="D71">
        <v>1</v>
      </c>
      <c r="E71">
        <v>10022994</v>
      </c>
      <c r="F71" t="s">
        <v>14</v>
      </c>
      <c r="G71" t="s">
        <v>79</v>
      </c>
      <c r="H71" t="s">
        <v>79</v>
      </c>
      <c r="I71" t="s">
        <v>79</v>
      </c>
      <c r="J71" t="s">
        <v>79</v>
      </c>
      <c r="K71" t="s">
        <v>79</v>
      </c>
    </row>
    <row r="72" spans="3:11" x14ac:dyDescent="0.2">
      <c r="C72">
        <v>91711</v>
      </c>
      <c r="D72">
        <v>1</v>
      </c>
      <c r="E72">
        <v>10370232</v>
      </c>
      <c r="F72" t="s">
        <v>14</v>
      </c>
      <c r="G72" t="s">
        <v>75</v>
      </c>
      <c r="H72" t="s">
        <v>75</v>
      </c>
      <c r="I72" t="s">
        <v>75</v>
      </c>
      <c r="J72" t="s">
        <v>75</v>
      </c>
      <c r="K72" t="s">
        <v>75</v>
      </c>
    </row>
    <row r="73" spans="3:11" x14ac:dyDescent="0.2">
      <c r="C73">
        <v>91711</v>
      </c>
      <c r="D73">
        <v>1</v>
      </c>
      <c r="E73">
        <v>10013666</v>
      </c>
      <c r="F73" t="s">
        <v>14</v>
      </c>
      <c r="G73" t="s">
        <v>62</v>
      </c>
      <c r="H73" t="s">
        <v>75</v>
      </c>
      <c r="I73" t="s">
        <v>93</v>
      </c>
      <c r="J73" t="s">
        <v>157</v>
      </c>
      <c r="K73" t="s">
        <v>62</v>
      </c>
    </row>
    <row r="74" spans="3:11" x14ac:dyDescent="0.2">
      <c r="C74">
        <v>91711</v>
      </c>
      <c r="D74">
        <v>1</v>
      </c>
      <c r="E74">
        <v>10013538</v>
      </c>
      <c r="F74" t="s">
        <v>14</v>
      </c>
      <c r="G74" t="s">
        <v>159</v>
      </c>
      <c r="H74" t="s">
        <v>159</v>
      </c>
      <c r="I74" t="s">
        <v>159</v>
      </c>
      <c r="J74" t="s">
        <v>159</v>
      </c>
      <c r="K74" t="s">
        <v>159</v>
      </c>
    </row>
    <row r="75" spans="3:11" x14ac:dyDescent="0.2">
      <c r="C75">
        <v>91711</v>
      </c>
      <c r="D75">
        <v>1</v>
      </c>
      <c r="E75">
        <v>10370335</v>
      </c>
      <c r="F75" t="s">
        <v>14</v>
      </c>
      <c r="G75" t="s">
        <v>75</v>
      </c>
      <c r="H75" t="s">
        <v>75</v>
      </c>
      <c r="I75" t="s">
        <v>75</v>
      </c>
      <c r="J75" t="s">
        <v>75</v>
      </c>
      <c r="K75" t="s">
        <v>75</v>
      </c>
    </row>
    <row r="76" spans="3:11" x14ac:dyDescent="0.2">
      <c r="C76">
        <v>91711</v>
      </c>
      <c r="D76">
        <v>1</v>
      </c>
      <c r="E76">
        <v>10030143</v>
      </c>
      <c r="F76" t="s">
        <v>14</v>
      </c>
      <c r="G76" t="s">
        <v>75</v>
      </c>
      <c r="H76" t="s">
        <v>75</v>
      </c>
      <c r="I76" t="s">
        <v>75</v>
      </c>
      <c r="J76" t="s">
        <v>75</v>
      </c>
      <c r="K76" t="s">
        <v>75</v>
      </c>
    </row>
    <row r="77" spans="3:11" x14ac:dyDescent="0.2">
      <c r="C77">
        <v>91711</v>
      </c>
      <c r="D77">
        <v>1</v>
      </c>
      <c r="E77">
        <v>10361280</v>
      </c>
      <c r="F77" t="s">
        <v>14</v>
      </c>
      <c r="G77" t="s">
        <v>75</v>
      </c>
      <c r="H77" t="s">
        <v>75</v>
      </c>
      <c r="I77" t="s">
        <v>75</v>
      </c>
      <c r="J77" t="s">
        <v>75</v>
      </c>
      <c r="K77" t="s">
        <v>75</v>
      </c>
    </row>
    <row r="78" spans="3:11" x14ac:dyDescent="0.2">
      <c r="C78">
        <v>91711</v>
      </c>
      <c r="D78">
        <v>1</v>
      </c>
      <c r="E78">
        <v>10183410</v>
      </c>
      <c r="F78" t="s">
        <v>14</v>
      </c>
      <c r="G78" t="s">
        <v>79</v>
      </c>
      <c r="H78" t="s">
        <v>79</v>
      </c>
      <c r="I78" t="s">
        <v>79</v>
      </c>
      <c r="J78" t="s">
        <v>79</v>
      </c>
      <c r="K78" t="s">
        <v>79</v>
      </c>
    </row>
    <row r="79" spans="3:11" x14ac:dyDescent="0.2">
      <c r="C79">
        <v>91711</v>
      </c>
      <c r="D79">
        <v>1</v>
      </c>
      <c r="E79">
        <v>10366463</v>
      </c>
      <c r="F79" t="s">
        <v>14</v>
      </c>
      <c r="G79" t="s">
        <v>75</v>
      </c>
      <c r="H79" t="s">
        <v>79</v>
      </c>
      <c r="I79" t="s">
        <v>75</v>
      </c>
      <c r="J79" t="s">
        <v>75</v>
      </c>
      <c r="K79" t="s">
        <v>75</v>
      </c>
    </row>
    <row r="80" spans="3:11" x14ac:dyDescent="0.2">
      <c r="C80">
        <v>91711</v>
      </c>
      <c r="D80">
        <v>1</v>
      </c>
      <c r="E80">
        <v>10120163</v>
      </c>
      <c r="F80" t="s">
        <v>14</v>
      </c>
      <c r="G80" t="s">
        <v>243</v>
      </c>
      <c r="H80" t="s">
        <v>243</v>
      </c>
      <c r="I80" t="s">
        <v>243</v>
      </c>
      <c r="J80" t="s">
        <v>243</v>
      </c>
      <c r="K80" t="s">
        <v>243</v>
      </c>
    </row>
    <row r="81" spans="3:11" x14ac:dyDescent="0.2">
      <c r="C81">
        <v>91711</v>
      </c>
      <c r="D81">
        <v>1</v>
      </c>
      <c r="E81">
        <v>10370221</v>
      </c>
      <c r="F81" t="s">
        <v>14</v>
      </c>
      <c r="G81" t="s">
        <v>75</v>
      </c>
      <c r="H81" t="s">
        <v>75</v>
      </c>
      <c r="I81" t="s">
        <v>75</v>
      </c>
      <c r="J81" t="s">
        <v>75</v>
      </c>
      <c r="K81" t="s">
        <v>75</v>
      </c>
    </row>
    <row r="82" spans="3:11" x14ac:dyDescent="0.2">
      <c r="C82">
        <v>91711</v>
      </c>
      <c r="D82">
        <v>1</v>
      </c>
      <c r="E82">
        <v>10370336</v>
      </c>
      <c r="F82" t="s">
        <v>14</v>
      </c>
      <c r="G82" t="s">
        <v>75</v>
      </c>
      <c r="H82" t="s">
        <v>93</v>
      </c>
      <c r="I82" t="s">
        <v>75</v>
      </c>
      <c r="J82" t="s">
        <v>93</v>
      </c>
      <c r="K82" t="s">
        <v>75</v>
      </c>
    </row>
    <row r="83" spans="3:11" x14ac:dyDescent="0.2">
      <c r="C83">
        <v>91711</v>
      </c>
      <c r="D83">
        <v>1</v>
      </c>
      <c r="E83">
        <v>10087224</v>
      </c>
      <c r="F83" t="s">
        <v>14</v>
      </c>
      <c r="G83" t="s">
        <v>75</v>
      </c>
      <c r="H83" t="s">
        <v>243</v>
      </c>
      <c r="I83" t="s">
        <v>243</v>
      </c>
      <c r="J83" t="s">
        <v>243</v>
      </c>
      <c r="K83" t="s">
        <v>243</v>
      </c>
    </row>
    <row r="84" spans="3:11" x14ac:dyDescent="0.2">
      <c r="C84">
        <v>91711</v>
      </c>
      <c r="D84">
        <v>1</v>
      </c>
      <c r="E84">
        <v>10281423</v>
      </c>
      <c r="F84" t="s">
        <v>14</v>
      </c>
      <c r="G84" t="s">
        <v>93</v>
      </c>
      <c r="H84" t="s">
        <v>93</v>
      </c>
      <c r="I84" t="s">
        <v>93</v>
      </c>
      <c r="J84" t="s">
        <v>93</v>
      </c>
      <c r="K84" t="s">
        <v>93</v>
      </c>
    </row>
    <row r="85" spans="3:11" x14ac:dyDescent="0.2">
      <c r="C85">
        <v>91711</v>
      </c>
      <c r="D85">
        <v>1</v>
      </c>
      <c r="E85">
        <v>10181284</v>
      </c>
      <c r="F85" t="s">
        <v>14</v>
      </c>
      <c r="G85" t="s">
        <v>75</v>
      </c>
      <c r="H85" t="s">
        <v>62</v>
      </c>
      <c r="I85" t="s">
        <v>84</v>
      </c>
      <c r="J85" t="s">
        <v>62</v>
      </c>
      <c r="K85" t="s">
        <v>84</v>
      </c>
    </row>
    <row r="86" spans="3:11" x14ac:dyDescent="0.2">
      <c r="C86">
        <v>91711</v>
      </c>
      <c r="D86">
        <v>1</v>
      </c>
      <c r="E86">
        <v>10000076</v>
      </c>
      <c r="F86" t="s">
        <v>14</v>
      </c>
      <c r="G86" t="s">
        <v>75</v>
      </c>
      <c r="H86" t="s">
        <v>75</v>
      </c>
      <c r="I86" t="s">
        <v>75</v>
      </c>
      <c r="J86" t="s">
        <v>75</v>
      </c>
      <c r="K86" t="s">
        <v>75</v>
      </c>
    </row>
    <row r="87" spans="3:11" x14ac:dyDescent="0.2">
      <c r="C87">
        <v>91711</v>
      </c>
      <c r="D87">
        <v>1</v>
      </c>
      <c r="E87">
        <v>10323940</v>
      </c>
      <c r="F87" t="s">
        <v>14</v>
      </c>
      <c r="G87" t="s">
        <v>75</v>
      </c>
      <c r="H87" t="s">
        <v>75</v>
      </c>
      <c r="I87" t="s">
        <v>75</v>
      </c>
      <c r="J87" t="s">
        <v>75</v>
      </c>
      <c r="K87" t="s">
        <v>75</v>
      </c>
    </row>
    <row r="88" spans="3:11" x14ac:dyDescent="0.2">
      <c r="C88">
        <v>91711</v>
      </c>
      <c r="D88">
        <v>1</v>
      </c>
      <c r="E88">
        <v>10340519</v>
      </c>
      <c r="F88" t="s">
        <v>14</v>
      </c>
      <c r="G88" t="s">
        <v>75</v>
      </c>
      <c r="H88" t="s">
        <v>75</v>
      </c>
      <c r="I88" t="s">
        <v>75</v>
      </c>
      <c r="J88" t="s">
        <v>75</v>
      </c>
      <c r="K88" t="s">
        <v>75</v>
      </c>
    </row>
    <row r="89" spans="3:11" x14ac:dyDescent="0.2">
      <c r="C89">
        <v>91711</v>
      </c>
      <c r="D89">
        <v>1</v>
      </c>
      <c r="E89">
        <v>271196</v>
      </c>
      <c r="F89" t="s">
        <v>14</v>
      </c>
      <c r="G89" t="s">
        <v>153</v>
      </c>
      <c r="H89" t="s">
        <v>153</v>
      </c>
      <c r="I89" t="s">
        <v>153</v>
      </c>
      <c r="J89" t="s">
        <v>153</v>
      </c>
      <c r="K89" t="s">
        <v>153</v>
      </c>
    </row>
    <row r="90" spans="3:11" x14ac:dyDescent="0.2">
      <c r="C90">
        <v>91786</v>
      </c>
      <c r="D90">
        <v>1</v>
      </c>
      <c r="E90">
        <v>10108447</v>
      </c>
      <c r="F90" t="s">
        <v>14</v>
      </c>
      <c r="G90" t="s">
        <v>75</v>
      </c>
      <c r="H90" t="s">
        <v>75</v>
      </c>
      <c r="I90" t="s">
        <v>75</v>
      </c>
      <c r="J90" t="s">
        <v>75</v>
      </c>
      <c r="K90" t="s">
        <v>84</v>
      </c>
    </row>
    <row r="91" spans="3:11" x14ac:dyDescent="0.2">
      <c r="C91">
        <v>91771</v>
      </c>
      <c r="D91">
        <v>1</v>
      </c>
      <c r="E91">
        <v>10041967</v>
      </c>
      <c r="F91" t="s">
        <v>14</v>
      </c>
      <c r="G91" t="s">
        <v>62</v>
      </c>
      <c r="H91" t="s">
        <v>153</v>
      </c>
      <c r="I91" t="s">
        <v>153</v>
      </c>
      <c r="J91" t="s">
        <v>153</v>
      </c>
      <c r="K91" t="s">
        <v>153</v>
      </c>
    </row>
    <row r="92" spans="3:11" x14ac:dyDescent="0.2">
      <c r="C92">
        <v>91711</v>
      </c>
      <c r="D92">
        <v>1</v>
      </c>
      <c r="E92">
        <v>10370215</v>
      </c>
      <c r="F92" t="s">
        <v>14</v>
      </c>
      <c r="G92" t="s">
        <v>79</v>
      </c>
      <c r="H92" t="s">
        <v>79</v>
      </c>
      <c r="I92" t="s">
        <v>79</v>
      </c>
      <c r="J92" t="s">
        <v>79</v>
      </c>
      <c r="K92" t="s">
        <v>79</v>
      </c>
    </row>
    <row r="93" spans="3:11" x14ac:dyDescent="0.2">
      <c r="C93">
        <v>91711</v>
      </c>
      <c r="D93">
        <v>1</v>
      </c>
      <c r="E93">
        <v>10196894</v>
      </c>
      <c r="F93" t="s">
        <v>14</v>
      </c>
      <c r="G93" t="s">
        <v>75</v>
      </c>
      <c r="H93" t="s">
        <v>75</v>
      </c>
      <c r="I93" t="s">
        <v>75</v>
      </c>
      <c r="J93" t="s">
        <v>93</v>
      </c>
      <c r="K93" t="s">
        <v>93</v>
      </c>
    </row>
    <row r="94" spans="3:11" x14ac:dyDescent="0.2">
      <c r="C94">
        <v>91711</v>
      </c>
      <c r="D94">
        <v>1</v>
      </c>
      <c r="E94">
        <v>10014392</v>
      </c>
      <c r="F94" t="s">
        <v>14</v>
      </c>
      <c r="G94" t="s">
        <v>93</v>
      </c>
      <c r="H94" t="s">
        <v>75</v>
      </c>
      <c r="I94" t="s">
        <v>93</v>
      </c>
      <c r="J94" t="s">
        <v>93</v>
      </c>
      <c r="K94" t="s">
        <v>93</v>
      </c>
    </row>
    <row r="95" spans="3:11" x14ac:dyDescent="0.2">
      <c r="C95">
        <v>91711</v>
      </c>
      <c r="D95">
        <v>1</v>
      </c>
      <c r="E95">
        <v>10031012</v>
      </c>
      <c r="F95" t="s">
        <v>14</v>
      </c>
      <c r="G95" t="s">
        <v>159</v>
      </c>
      <c r="H95" t="s">
        <v>159</v>
      </c>
      <c r="I95" t="s">
        <v>93</v>
      </c>
      <c r="J95" t="s">
        <v>93</v>
      </c>
      <c r="K95" t="s">
        <v>93</v>
      </c>
    </row>
    <row r="96" spans="3:11" x14ac:dyDescent="0.2">
      <c r="C96">
        <v>91711</v>
      </c>
      <c r="D96">
        <v>1</v>
      </c>
      <c r="E96">
        <v>10042428</v>
      </c>
      <c r="F96" t="s">
        <v>14</v>
      </c>
      <c r="G96" t="s">
        <v>75</v>
      </c>
      <c r="H96" t="s">
        <v>75</v>
      </c>
      <c r="I96" t="s">
        <v>159</v>
      </c>
      <c r="J96" t="s">
        <v>75</v>
      </c>
      <c r="K96" t="s">
        <v>75</v>
      </c>
    </row>
    <row r="97" spans="3:11" x14ac:dyDescent="0.2">
      <c r="C97">
        <v>91711</v>
      </c>
      <c r="D97">
        <v>1</v>
      </c>
      <c r="E97">
        <v>10029852</v>
      </c>
      <c r="F97" t="s">
        <v>14</v>
      </c>
      <c r="G97" t="s">
        <v>93</v>
      </c>
      <c r="H97" t="s">
        <v>243</v>
      </c>
      <c r="I97" t="s">
        <v>93</v>
      </c>
      <c r="J97" t="s">
        <v>243</v>
      </c>
      <c r="K97" t="s">
        <v>93</v>
      </c>
    </row>
    <row r="98" spans="3:11" x14ac:dyDescent="0.2">
      <c r="C98">
        <v>91711</v>
      </c>
      <c r="D98">
        <v>1</v>
      </c>
      <c r="E98">
        <v>10022550</v>
      </c>
      <c r="F98" t="s">
        <v>14</v>
      </c>
      <c r="G98" t="s">
        <v>93</v>
      </c>
      <c r="H98" t="s">
        <v>93</v>
      </c>
      <c r="I98" t="s">
        <v>93</v>
      </c>
      <c r="J98" t="s">
        <v>93</v>
      </c>
      <c r="K98" t="s">
        <v>93</v>
      </c>
    </row>
    <row r="99" spans="3:11" x14ac:dyDescent="0.2">
      <c r="C99">
        <v>91711</v>
      </c>
      <c r="D99">
        <v>1</v>
      </c>
      <c r="E99">
        <v>10233155</v>
      </c>
      <c r="F99" t="s">
        <v>14</v>
      </c>
      <c r="G99" t="s">
        <v>79</v>
      </c>
      <c r="H99" t="s">
        <v>79</v>
      </c>
      <c r="I99" t="s">
        <v>79</v>
      </c>
      <c r="J99" t="s">
        <v>79</v>
      </c>
      <c r="K99" t="s">
        <v>79</v>
      </c>
    </row>
    <row r="100" spans="3:11" x14ac:dyDescent="0.2">
      <c r="C100">
        <v>91711</v>
      </c>
      <c r="D100">
        <v>1</v>
      </c>
      <c r="E100">
        <v>10042175</v>
      </c>
      <c r="F100" t="s">
        <v>14</v>
      </c>
      <c r="G100" t="s">
        <v>75</v>
      </c>
      <c r="H100" t="s">
        <v>75</v>
      </c>
      <c r="I100" t="s">
        <v>75</v>
      </c>
      <c r="J100" t="s">
        <v>75</v>
      </c>
      <c r="K100" t="s">
        <v>75</v>
      </c>
    </row>
    <row r="101" spans="3:11" x14ac:dyDescent="0.2">
      <c r="C101">
        <v>91711</v>
      </c>
      <c r="D101">
        <v>1</v>
      </c>
      <c r="E101">
        <v>10370025</v>
      </c>
      <c r="F101" t="s">
        <v>14</v>
      </c>
      <c r="G101" t="s">
        <v>75</v>
      </c>
      <c r="H101" t="s">
        <v>75</v>
      </c>
      <c r="I101" t="s">
        <v>75</v>
      </c>
      <c r="J101" t="s">
        <v>75</v>
      </c>
      <c r="K101" t="s">
        <v>75</v>
      </c>
    </row>
    <row r="102" spans="3:11" x14ac:dyDescent="0.2">
      <c r="C102">
        <v>91711</v>
      </c>
      <c r="D102">
        <v>1</v>
      </c>
      <c r="E102">
        <v>10197342</v>
      </c>
      <c r="F102" t="s">
        <v>14</v>
      </c>
      <c r="G102" t="s">
        <v>159</v>
      </c>
      <c r="H102" t="s">
        <v>93</v>
      </c>
      <c r="I102" t="s">
        <v>75</v>
      </c>
      <c r="J102" t="s">
        <v>93</v>
      </c>
      <c r="K102" t="s">
        <v>159</v>
      </c>
    </row>
    <row r="103" spans="3:11" x14ac:dyDescent="0.2">
      <c r="C103">
        <v>1711</v>
      </c>
      <c r="D103">
        <v>1</v>
      </c>
      <c r="E103">
        <v>10002336</v>
      </c>
      <c r="F103" t="s">
        <v>14</v>
      </c>
      <c r="G103" t="s">
        <v>79</v>
      </c>
      <c r="H103" t="s">
        <v>79</v>
      </c>
      <c r="I103" t="s">
        <v>79</v>
      </c>
      <c r="J103" t="s">
        <v>79</v>
      </c>
      <c r="K103" t="s">
        <v>79</v>
      </c>
    </row>
    <row r="104" spans="3:11" x14ac:dyDescent="0.2">
      <c r="C104">
        <v>91711</v>
      </c>
      <c r="D104">
        <v>1</v>
      </c>
      <c r="E104">
        <v>100131171</v>
      </c>
      <c r="F104" t="s">
        <v>14</v>
      </c>
      <c r="G104" t="s">
        <v>75</v>
      </c>
      <c r="H104" t="s">
        <v>75</v>
      </c>
      <c r="I104" t="s">
        <v>75</v>
      </c>
      <c r="J104" t="s">
        <v>75</v>
      </c>
      <c r="K104" t="s">
        <v>75</v>
      </c>
    </row>
    <row r="105" spans="3:11" x14ac:dyDescent="0.2">
      <c r="C105">
        <v>91711</v>
      </c>
      <c r="D105">
        <v>1</v>
      </c>
      <c r="E105">
        <v>10029204</v>
      </c>
      <c r="F105" t="s">
        <v>14</v>
      </c>
      <c r="G105" t="s">
        <v>75</v>
      </c>
      <c r="H105" t="s">
        <v>75</v>
      </c>
      <c r="I105" t="s">
        <v>75</v>
      </c>
      <c r="J105" t="s">
        <v>75</v>
      </c>
      <c r="K105" t="s">
        <v>75</v>
      </c>
    </row>
    <row r="106" spans="3:11" x14ac:dyDescent="0.2">
      <c r="C106">
        <v>91786</v>
      </c>
      <c r="D106">
        <v>1</v>
      </c>
      <c r="E106">
        <v>10246839</v>
      </c>
      <c r="F106" t="s">
        <v>14</v>
      </c>
      <c r="G106" t="s">
        <v>84</v>
      </c>
      <c r="H106" t="s">
        <v>79</v>
      </c>
      <c r="I106" t="s">
        <v>79</v>
      </c>
      <c r="J106" t="s">
        <v>79</v>
      </c>
      <c r="K106" t="s">
        <v>79</v>
      </c>
    </row>
    <row r="107" spans="3:11" x14ac:dyDescent="0.2">
      <c r="C107">
        <v>91711</v>
      </c>
      <c r="D107">
        <v>1</v>
      </c>
      <c r="E107">
        <v>10014411</v>
      </c>
      <c r="F107" t="s">
        <v>14</v>
      </c>
      <c r="G107" t="s">
        <v>79</v>
      </c>
      <c r="H107" t="s">
        <v>79</v>
      </c>
      <c r="I107" t="s">
        <v>79</v>
      </c>
      <c r="J107" t="s">
        <v>79</v>
      </c>
      <c r="K107" t="s">
        <v>79</v>
      </c>
    </row>
    <row r="108" spans="3:11" x14ac:dyDescent="0.2">
      <c r="C108">
        <v>91711</v>
      </c>
      <c r="D108">
        <v>1</v>
      </c>
      <c r="E108">
        <v>10039096</v>
      </c>
      <c r="F108" t="s">
        <v>14</v>
      </c>
      <c r="G108" t="s">
        <v>75</v>
      </c>
      <c r="H108" t="s">
        <v>75</v>
      </c>
      <c r="I108" t="s">
        <v>75</v>
      </c>
      <c r="J108" t="s">
        <v>75</v>
      </c>
      <c r="K108" t="s">
        <v>75</v>
      </c>
    </row>
    <row r="109" spans="3:11" x14ac:dyDescent="0.2">
      <c r="C109">
        <v>91711</v>
      </c>
      <c r="D109">
        <v>1</v>
      </c>
      <c r="E109">
        <v>10357665</v>
      </c>
      <c r="F109" t="s">
        <v>14</v>
      </c>
      <c r="G109" t="s">
        <v>75</v>
      </c>
      <c r="H109" t="s">
        <v>84</v>
      </c>
      <c r="I109" t="s">
        <v>75</v>
      </c>
      <c r="J109" t="s">
        <v>75</v>
      </c>
      <c r="K109" t="s">
        <v>84</v>
      </c>
    </row>
    <row r="110" spans="3:11" x14ac:dyDescent="0.2">
      <c r="C110">
        <v>91711</v>
      </c>
      <c r="D110">
        <v>1</v>
      </c>
      <c r="E110">
        <v>10156943</v>
      </c>
      <c r="F110" t="s">
        <v>14</v>
      </c>
      <c r="G110" t="s">
        <v>243</v>
      </c>
      <c r="H110" t="s">
        <v>243</v>
      </c>
      <c r="I110" t="s">
        <v>243</v>
      </c>
      <c r="J110" t="s">
        <v>243</v>
      </c>
      <c r="K110" t="s">
        <v>243</v>
      </c>
    </row>
    <row r="111" spans="3:11" x14ac:dyDescent="0.2">
      <c r="C111">
        <v>91711</v>
      </c>
      <c r="D111">
        <v>1</v>
      </c>
      <c r="E111">
        <v>10358179</v>
      </c>
      <c r="F111" t="s">
        <v>14</v>
      </c>
      <c r="G111" t="s">
        <v>75</v>
      </c>
      <c r="H111" t="s">
        <v>75</v>
      </c>
      <c r="I111" t="s">
        <v>75</v>
      </c>
      <c r="J111" t="s">
        <v>75</v>
      </c>
      <c r="K111" t="s">
        <v>75</v>
      </c>
    </row>
    <row r="112" spans="3:11" x14ac:dyDescent="0.2">
      <c r="C112">
        <v>91711</v>
      </c>
      <c r="D112">
        <v>1</v>
      </c>
      <c r="E112">
        <v>10035471</v>
      </c>
      <c r="F112" t="s">
        <v>14</v>
      </c>
      <c r="G112" t="s">
        <v>79</v>
      </c>
      <c r="H112" t="s">
        <v>79</v>
      </c>
      <c r="I112" t="s">
        <v>79</v>
      </c>
      <c r="J112" t="s">
        <v>79</v>
      </c>
      <c r="K112" t="s">
        <v>79</v>
      </c>
    </row>
    <row r="113" spans="3:11" x14ac:dyDescent="0.2">
      <c r="C113">
        <v>91711</v>
      </c>
      <c r="D113">
        <v>1</v>
      </c>
      <c r="E113">
        <v>10029721</v>
      </c>
      <c r="F113" t="s">
        <v>14</v>
      </c>
      <c r="G113" t="s">
        <v>75</v>
      </c>
      <c r="H113" t="s">
        <v>62</v>
      </c>
      <c r="I113" t="s">
        <v>75</v>
      </c>
      <c r="J113" t="s">
        <v>62</v>
      </c>
      <c r="K113" t="s">
        <v>84</v>
      </c>
    </row>
    <row r="114" spans="3:11" x14ac:dyDescent="0.2">
      <c r="C114">
        <v>91711</v>
      </c>
      <c r="D114">
        <v>1</v>
      </c>
      <c r="E114">
        <v>103630262</v>
      </c>
      <c r="F114" t="s">
        <v>14</v>
      </c>
      <c r="G114" t="s">
        <v>75</v>
      </c>
      <c r="H114" t="s">
        <v>79</v>
      </c>
      <c r="I114" t="s">
        <v>93</v>
      </c>
      <c r="J114" t="s">
        <v>93</v>
      </c>
      <c r="K114" t="s">
        <v>75</v>
      </c>
    </row>
    <row r="115" spans="3:11" x14ac:dyDescent="0.2">
      <c r="C115">
        <v>91711</v>
      </c>
      <c r="D115">
        <v>1</v>
      </c>
      <c r="E115">
        <v>10366578</v>
      </c>
      <c r="F115" t="s">
        <v>14</v>
      </c>
      <c r="G115" t="s">
        <v>243</v>
      </c>
      <c r="H115" t="s">
        <v>243</v>
      </c>
      <c r="I115" t="s">
        <v>243</v>
      </c>
      <c r="J115" t="s">
        <v>243</v>
      </c>
      <c r="K115" t="s">
        <v>243</v>
      </c>
    </row>
    <row r="116" spans="3:11" x14ac:dyDescent="0.2">
      <c r="C116">
        <v>91711</v>
      </c>
      <c r="D116">
        <v>1</v>
      </c>
      <c r="E116">
        <v>10179615</v>
      </c>
      <c r="F116" t="s">
        <v>14</v>
      </c>
      <c r="G116" t="s">
        <v>84</v>
      </c>
      <c r="H116" t="s">
        <v>84</v>
      </c>
      <c r="I116" t="s">
        <v>79</v>
      </c>
      <c r="J116" t="s">
        <v>93</v>
      </c>
      <c r="K116" t="s">
        <v>93</v>
      </c>
    </row>
    <row r="117" spans="3:11" x14ac:dyDescent="0.2">
      <c r="C117">
        <v>91711</v>
      </c>
      <c r="D117">
        <v>1</v>
      </c>
      <c r="E117">
        <v>10148564</v>
      </c>
      <c r="F117" t="s">
        <v>14</v>
      </c>
      <c r="G117" t="s">
        <v>79</v>
      </c>
      <c r="H117" t="s">
        <v>79</v>
      </c>
      <c r="I117" t="s">
        <v>79</v>
      </c>
      <c r="J117" t="s">
        <v>79</v>
      </c>
      <c r="K117" t="s">
        <v>79</v>
      </c>
    </row>
    <row r="118" spans="3:11" x14ac:dyDescent="0.2">
      <c r="C118">
        <v>91711</v>
      </c>
      <c r="D118">
        <v>1</v>
      </c>
      <c r="E118">
        <v>10306332</v>
      </c>
      <c r="F118" t="s">
        <v>14</v>
      </c>
      <c r="G118" t="s">
        <v>75</v>
      </c>
      <c r="H118" t="s">
        <v>75</v>
      </c>
      <c r="I118" t="s">
        <v>62</v>
      </c>
      <c r="J118" t="s">
        <v>75</v>
      </c>
      <c r="K118" t="s">
        <v>62</v>
      </c>
    </row>
    <row r="119" spans="3:11" x14ac:dyDescent="0.2">
      <c r="C119">
        <v>91711</v>
      </c>
      <c r="D119">
        <v>1</v>
      </c>
      <c r="E119">
        <v>10092356</v>
      </c>
      <c r="F119" t="s">
        <v>14</v>
      </c>
      <c r="G119" t="s">
        <v>75</v>
      </c>
      <c r="H119" t="s">
        <v>75</v>
      </c>
      <c r="I119" t="s">
        <v>75</v>
      </c>
      <c r="J119" t="s">
        <v>75</v>
      </c>
      <c r="K119" t="s">
        <v>75</v>
      </c>
    </row>
    <row r="120" spans="3:11" x14ac:dyDescent="0.2">
      <c r="C120">
        <v>91711</v>
      </c>
      <c r="D120">
        <v>1</v>
      </c>
      <c r="E120">
        <v>10346438</v>
      </c>
      <c r="F120" t="s">
        <v>14</v>
      </c>
      <c r="G120" t="s">
        <v>75</v>
      </c>
      <c r="H120" t="s">
        <v>75</v>
      </c>
      <c r="I120" t="s">
        <v>75</v>
      </c>
      <c r="J120" t="s">
        <v>75</v>
      </c>
      <c r="K120" t="s">
        <v>75</v>
      </c>
    </row>
    <row r="121" spans="3:11" x14ac:dyDescent="0.2">
      <c r="C121">
        <v>91711</v>
      </c>
      <c r="D121">
        <v>0.5</v>
      </c>
      <c r="E121">
        <v>10354740</v>
      </c>
      <c r="F121" t="s">
        <v>14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</row>
    <row r="122" spans="3:11" x14ac:dyDescent="0.2">
      <c r="C122">
        <v>91711</v>
      </c>
      <c r="D122">
        <v>0.4</v>
      </c>
      <c r="E122">
        <v>10004174</v>
      </c>
      <c r="F122" t="s">
        <v>14</v>
      </c>
      <c r="G122" t="s">
        <v>75</v>
      </c>
      <c r="H122" t="s">
        <v>159</v>
      </c>
      <c r="I122" t="s">
        <v>75</v>
      </c>
      <c r="J122" t="s">
        <v>75</v>
      </c>
      <c r="K122" t="s">
        <v>75</v>
      </c>
    </row>
    <row r="123" spans="3:11" x14ac:dyDescent="0.2">
      <c r="C123">
        <v>91711</v>
      </c>
      <c r="D123">
        <v>0</v>
      </c>
      <c r="E123">
        <v>10361490</v>
      </c>
      <c r="F123" t="s">
        <v>14</v>
      </c>
      <c r="G123" t="s">
        <v>84</v>
      </c>
      <c r="H123" t="s">
        <v>93</v>
      </c>
      <c r="I123" t="s">
        <v>93</v>
      </c>
      <c r="J123" t="s">
        <v>84</v>
      </c>
      <c r="K123" t="s">
        <v>84</v>
      </c>
    </row>
    <row r="124" spans="3:11" x14ac:dyDescent="0.2">
      <c r="C124">
        <v>91711</v>
      </c>
      <c r="D124">
        <v>0</v>
      </c>
      <c r="E124">
        <v>10364363</v>
      </c>
      <c r="F124" t="s">
        <v>14</v>
      </c>
      <c r="G124" t="s">
        <v>75</v>
      </c>
      <c r="H124" t="s">
        <v>75</v>
      </c>
      <c r="I124" t="s">
        <v>75</v>
      </c>
      <c r="J124" t="s">
        <v>75</v>
      </c>
      <c r="K124" t="s">
        <v>75</v>
      </c>
    </row>
  </sheetData>
  <mergeCells count="12">
    <mergeCell ref="O21:P21"/>
    <mergeCell ref="M1:W1"/>
    <mergeCell ref="M8:X8"/>
    <mergeCell ref="O12:Q12"/>
    <mergeCell ref="O13:P13"/>
    <mergeCell ref="O14:P14"/>
    <mergeCell ref="O15:P15"/>
    <mergeCell ref="O16:P16"/>
    <mergeCell ref="O17:P17"/>
    <mergeCell ref="O18:P18"/>
    <mergeCell ref="O19:P19"/>
    <mergeCell ref="O20:P20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4E1D-888B-4390-AC14-0B9018F613E1}">
  <dimension ref="A1:X136"/>
  <sheetViews>
    <sheetView workbookViewId="0">
      <selection activeCell="A2" sqref="A2:B145"/>
    </sheetView>
  </sheetViews>
  <sheetFormatPr baseColWidth="10" defaultColWidth="8.83203125" defaultRowHeight="15" x14ac:dyDescent="0.2"/>
  <cols>
    <col min="1" max="1" width="12.6640625" bestFit="1" customWidth="1"/>
    <col min="2" max="2" width="38.1640625" bestFit="1" customWidth="1"/>
    <col min="4" max="4" width="14.83203125" bestFit="1" customWidth="1"/>
    <col min="5" max="5" width="14.83203125" customWidth="1"/>
    <col min="6" max="6" width="14.1640625" bestFit="1" customWidth="1"/>
    <col min="7" max="11" width="34.1640625" bestFit="1" customWidth="1"/>
    <col min="13" max="13" width="36.6640625" customWidth="1"/>
    <col min="14" max="14" width="12" customWidth="1"/>
    <col min="16" max="16" width="11.33203125" customWidth="1"/>
    <col min="17" max="17" width="15.5" customWidth="1"/>
    <col min="24" max="24" width="15" customWidth="1"/>
  </cols>
  <sheetData>
    <row r="1" spans="1:24" x14ac:dyDescent="0.2">
      <c r="A1" t="s">
        <v>0</v>
      </c>
      <c r="B1" t="s">
        <v>320</v>
      </c>
      <c r="C1" t="s">
        <v>2</v>
      </c>
      <c r="D1" t="s">
        <v>321</v>
      </c>
      <c r="E1" t="s">
        <v>4</v>
      </c>
      <c r="F1" t="s">
        <v>316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30" t="s">
        <v>11</v>
      </c>
      <c r="N1" s="31"/>
      <c r="O1" s="31"/>
      <c r="P1" s="31"/>
      <c r="Q1" s="31"/>
      <c r="R1" s="31"/>
      <c r="S1" s="31"/>
      <c r="T1" s="31"/>
      <c r="U1" s="31"/>
      <c r="V1" s="31"/>
      <c r="W1" s="32"/>
    </row>
    <row r="2" spans="1:24" x14ac:dyDescent="0.2">
      <c r="C2">
        <v>93117</v>
      </c>
      <c r="D2">
        <v>142</v>
      </c>
      <c r="E2">
        <v>10023651</v>
      </c>
      <c r="F2" t="s">
        <v>14</v>
      </c>
      <c r="G2" t="s">
        <v>322</v>
      </c>
      <c r="H2" t="s">
        <v>323</v>
      </c>
      <c r="I2" t="s">
        <v>322</v>
      </c>
      <c r="J2" t="s">
        <v>323</v>
      </c>
      <c r="K2" t="s">
        <v>323</v>
      </c>
      <c r="M2" s="2"/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3" t="s">
        <v>24</v>
      </c>
      <c r="W2" s="4" t="s">
        <v>25</v>
      </c>
    </row>
    <row r="3" spans="1:24" x14ac:dyDescent="0.2">
      <c r="C3">
        <v>91406</v>
      </c>
      <c r="D3">
        <v>50</v>
      </c>
      <c r="E3">
        <v>10282816</v>
      </c>
      <c r="F3" t="s">
        <v>14</v>
      </c>
      <c r="G3" t="s">
        <v>159</v>
      </c>
      <c r="H3" t="s">
        <v>324</v>
      </c>
      <c r="I3" t="s">
        <v>159</v>
      </c>
      <c r="J3" t="s">
        <v>324</v>
      </c>
      <c r="K3" t="s">
        <v>159</v>
      </c>
      <c r="M3" s="5" t="s">
        <v>29</v>
      </c>
      <c r="N3" s="6" cm="1">
        <f t="array" ref="N3">SUM(COUNTIF($G:$K,{"A.*","B.*"}))/W10</f>
        <v>0.41975308641975306</v>
      </c>
      <c r="O3" s="7">
        <f>COUNTIF($G:$K,"T.*")/W10</f>
        <v>0.1164021164021164</v>
      </c>
      <c r="P3" s="7" cm="1">
        <f t="array" ref="P3">SUM(COUNTIF($G:$K,{"C.*","D.*","E.*","F.*","G.*","H.*","I.*","J.*","K.*","L.*","M.*","N.*","O.*","P.*"})/$W$10)</f>
        <v>7.2310405643738973E-2</v>
      </c>
      <c r="Q3" s="7">
        <f>COUNTIF($G:$K,"R.*")/$W$10</f>
        <v>1.7636684303350969E-3</v>
      </c>
      <c r="R3" s="7">
        <f>COUNTIF($G:$K,"U.*")/$W$10</f>
        <v>2.6455026455026454E-2</v>
      </c>
      <c r="S3" s="7">
        <v>0</v>
      </c>
      <c r="T3" s="7">
        <f>COUNTIF($G:$K,"Q.*")/$W$10</f>
        <v>0</v>
      </c>
      <c r="U3" s="7">
        <f>COUNTIF($G:$K,"V.*")/$W$10</f>
        <v>0.19047619047619047</v>
      </c>
      <c r="V3" s="7">
        <f>COUNTIF($G:$K,"S.*")/$W$10</f>
        <v>0.1728395061728395</v>
      </c>
      <c r="W3" s="7">
        <f>SUM(N3:V3)</f>
        <v>0.99999999999999989</v>
      </c>
    </row>
    <row r="4" spans="1:24" ht="16" x14ac:dyDescent="0.2">
      <c r="C4">
        <v>90064</v>
      </c>
      <c r="D4">
        <v>44</v>
      </c>
      <c r="E4">
        <v>10042613</v>
      </c>
      <c r="F4" t="s">
        <v>14</v>
      </c>
      <c r="G4" t="s">
        <v>159</v>
      </c>
      <c r="H4" t="s">
        <v>322</v>
      </c>
      <c r="I4" t="s">
        <v>322</v>
      </c>
      <c r="J4" t="s">
        <v>159</v>
      </c>
      <c r="K4" t="s">
        <v>159</v>
      </c>
      <c r="M4" s="9" t="s">
        <v>33</v>
      </c>
      <c r="N4" s="10" cm="1">
        <f t="array" ref="N4">SUM(_xlfn.BYCOL(G:K,_xlfn.LAMBDA(_xlpm.col,SUMIF(_xlpm.col,"A.*",D:D)+SUMIF(_xlpm.col,"B.*",D:D))))/N10</f>
        <v>13.159663865546218</v>
      </c>
      <c r="O4" s="11" cm="1">
        <f t="array" ref="O4">SUM(_xlfn.BYCOL(G:K,_xlfn.LAMBDA(_xlpm.col,SUMIF(_xlpm.col,"T.*",D:D))))/O10</f>
        <v>1.4545454545454546</v>
      </c>
      <c r="P4" s="12" cm="1">
        <f t="array" ref="P4">SUM(_xlfn.BYCOL($G:$K,_xlfn.LAMBDA(_xlpm.col,SUMIF(_xlpm.col,"C.*",D:D)+SUMIF(_xlpm.col,"D.*",D:D)+SUMIF(_xlpm.col,"E.*",D:D)+SUMIF(_xlpm.col,"F.*",D:D)+SUMIF(_xlpm.col,"G.*",D:D)+SUMIF(_xlpm.col,"H.*",D:D)+SUMIF(_xlpm.col,"I.*",D:D)+SUMIF(_xlpm.col,"J.*",D:D)+SUMIF(_xlpm.col,"K.*",D:D)+SUMIF(_xlpm.col,"L.*",D:D)+SUMIF(_xlpm.col,"M.*",D:D)+SUMIF(_xlpm.col,"N.*",D:D)+SUMIF(_xlpm.col,"O.*",D:D)+SUMIF(_xlpm.col,"P.*",D:D))))/$P10</f>
        <v>9.8536585365853657</v>
      </c>
      <c r="Q4" s="12" cm="1">
        <f t="array" ref="Q4">SUM(_xlfn.BYCOL(G:K,_xlfn.LAMBDA(_xlpm.col,SUMIF(_xlpm.col,"R.*",D:D))))/Q10</f>
        <v>32</v>
      </c>
      <c r="R4" s="12" cm="1">
        <f t="array" ref="R4">SUM(_xlfn.BYCOL(G:K,_xlfn.LAMBDA(_xlpm.col,SUMIF(_xlpm.col,"U.*",D:D))))/R10</f>
        <v>21</v>
      </c>
      <c r="S4" s="12"/>
      <c r="T4" s="12"/>
      <c r="U4" s="12"/>
      <c r="V4" s="12" cm="1">
        <f t="array" ref="V4">SUM(_xlfn.BYCOL(G:K,_xlfn.LAMBDA(_xlpm.col,SUMIF(_xlpm.col,"S.*",D:D))))/V10</f>
        <v>1.0510204081632653</v>
      </c>
      <c r="W4" s="10">
        <f>AVERAGE(N4:V4)</f>
        <v>13.086481377473383</v>
      </c>
    </row>
    <row r="5" spans="1:24" x14ac:dyDescent="0.2">
      <c r="C5">
        <v>92630</v>
      </c>
      <c r="D5">
        <v>42</v>
      </c>
      <c r="E5">
        <v>10043357</v>
      </c>
      <c r="F5" t="s">
        <v>14</v>
      </c>
      <c r="G5" t="s">
        <v>322</v>
      </c>
      <c r="H5" t="s">
        <v>322</v>
      </c>
      <c r="I5" t="s">
        <v>322</v>
      </c>
      <c r="J5" t="s">
        <v>322</v>
      </c>
      <c r="K5" t="s">
        <v>322</v>
      </c>
      <c r="M5" s="33" t="s">
        <v>38</v>
      </c>
      <c r="N5" s="33"/>
      <c r="O5" s="33"/>
      <c r="P5" s="13" cm="1">
        <f t="array" ref="P5">SUM(_xlfn.BYCOL($G:$K,_xlfn.LAMBDA(_xlpm.col,SUMIF(_xlpm.col,"C.*",D:D)*2+SUMIF(_xlpm.col,"D.*",D:D)*3+SUMIF(_xlpm.col,"E.*",D:D)*4+SUMIF(_xlpm.col,"F.*",D:D)*5+SUMIF(_xlpm.col,"G.*",D:D)*6+SUMIF(_xlpm.col,"H.*",D:D)*7+SUMIF(_xlpm.col,"I.*",D:D)*8+SUMIF(_xlpm.col,"J.*",D:D)*9+SUMIF(_xlpm.col,"K.*",D:D)*10+SUMIF(_xlpm.col,"L.*",D:D)*11+SUMIF(_xlpm.col,"M.*",D:D)*12+SUMIF(_xlpm.col,"N.*",D:D)*13+SUMIF(_xlpm.col,"O.*",D:D)*14+SUMIF(_xlpm.col,"P.*",D:D)*15)))/$P10</f>
        <v>25.585365853658537</v>
      </c>
      <c r="Q5" s="33"/>
      <c r="R5" s="33"/>
      <c r="S5" s="33"/>
      <c r="T5" s="33"/>
      <c r="U5" s="33"/>
      <c r="V5" s="33"/>
      <c r="W5" s="33"/>
    </row>
    <row r="6" spans="1:24" x14ac:dyDescent="0.2">
      <c r="C6">
        <v>90016</v>
      </c>
      <c r="D6">
        <v>41</v>
      </c>
      <c r="E6">
        <v>103612831</v>
      </c>
      <c r="F6" t="s">
        <v>14</v>
      </c>
      <c r="G6" t="s">
        <v>322</v>
      </c>
      <c r="H6" t="s">
        <v>323</v>
      </c>
      <c r="I6" t="s">
        <v>322</v>
      </c>
      <c r="J6" t="s">
        <v>323</v>
      </c>
      <c r="K6" t="s">
        <v>323</v>
      </c>
      <c r="M6" s="14" t="s">
        <v>41</v>
      </c>
      <c r="N6" s="14"/>
      <c r="O6" s="14"/>
      <c r="P6" s="15">
        <f>P5/P4</f>
        <v>2.5965346534653468</v>
      </c>
      <c r="Q6" s="14"/>
      <c r="R6" s="14"/>
      <c r="S6" s="14"/>
      <c r="T6" s="14"/>
      <c r="U6" s="14"/>
      <c r="V6" s="14"/>
      <c r="W6" s="14"/>
    </row>
    <row r="7" spans="1:24" x14ac:dyDescent="0.2">
      <c r="C7">
        <v>92610</v>
      </c>
      <c r="D7">
        <v>40</v>
      </c>
      <c r="E7">
        <v>10042877</v>
      </c>
      <c r="F7" t="s">
        <v>14</v>
      </c>
      <c r="G7" t="s">
        <v>159</v>
      </c>
      <c r="H7" t="s">
        <v>322</v>
      </c>
      <c r="I7" t="s">
        <v>159</v>
      </c>
      <c r="J7" t="s">
        <v>322</v>
      </c>
      <c r="K7" t="s">
        <v>159</v>
      </c>
      <c r="P7" s="16"/>
    </row>
    <row r="8" spans="1:24" x14ac:dyDescent="0.2">
      <c r="C8">
        <v>92604</v>
      </c>
      <c r="D8">
        <v>40</v>
      </c>
      <c r="E8">
        <v>100747</v>
      </c>
      <c r="F8" t="s">
        <v>14</v>
      </c>
      <c r="G8" t="s">
        <v>322</v>
      </c>
      <c r="H8" t="s">
        <v>323</v>
      </c>
      <c r="I8" t="s">
        <v>322</v>
      </c>
      <c r="J8" t="s">
        <v>323</v>
      </c>
      <c r="K8" t="s">
        <v>323</v>
      </c>
      <c r="M8" s="23" t="s">
        <v>47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5"/>
    </row>
    <row r="9" spans="1:24" x14ac:dyDescent="0.2">
      <c r="C9">
        <v>91601</v>
      </c>
      <c r="D9">
        <v>40</v>
      </c>
      <c r="E9">
        <v>10358182</v>
      </c>
      <c r="F9" t="s">
        <v>14</v>
      </c>
      <c r="G9" t="s">
        <v>159</v>
      </c>
      <c r="H9" t="s">
        <v>322</v>
      </c>
      <c r="I9" t="s">
        <v>159</v>
      </c>
      <c r="J9" t="s">
        <v>322</v>
      </c>
      <c r="K9" t="s">
        <v>159</v>
      </c>
      <c r="M9" s="19"/>
      <c r="N9" s="19" t="s">
        <v>16</v>
      </c>
      <c r="O9" s="19" t="s">
        <v>17</v>
      </c>
      <c r="P9" s="19" t="s">
        <v>18</v>
      </c>
      <c r="Q9" s="19" t="s">
        <v>19</v>
      </c>
      <c r="R9" s="19" t="s">
        <v>20</v>
      </c>
      <c r="S9" s="19" t="s">
        <v>21</v>
      </c>
      <c r="T9" s="19" t="s">
        <v>22</v>
      </c>
      <c r="U9" s="19" t="s">
        <v>23</v>
      </c>
      <c r="V9" s="19" t="s">
        <v>24</v>
      </c>
      <c r="W9" s="21" t="s">
        <v>25</v>
      </c>
      <c r="X9" s="19" t="s">
        <v>50</v>
      </c>
    </row>
    <row r="10" spans="1:24" x14ac:dyDescent="0.2">
      <c r="C10">
        <v>90046</v>
      </c>
      <c r="D10">
        <v>40</v>
      </c>
      <c r="E10">
        <v>10366576</v>
      </c>
      <c r="F10" t="s">
        <v>14</v>
      </c>
      <c r="G10" t="s">
        <v>323</v>
      </c>
      <c r="H10" t="s">
        <v>323</v>
      </c>
      <c r="I10" t="s">
        <v>322</v>
      </c>
      <c r="J10" t="s">
        <v>323</v>
      </c>
      <c r="K10" t="s">
        <v>322</v>
      </c>
      <c r="M10" s="17" t="s">
        <v>317</v>
      </c>
      <c r="N10" s="17" cm="1">
        <f t="array" ref="N10">SUM(COUNTIF($G:$K,{"A.*","B.*"}))</f>
        <v>238</v>
      </c>
      <c r="O10" s="17">
        <f>COUNTIF($G:$K,"T.*")</f>
        <v>66</v>
      </c>
      <c r="P10" s="17" cm="1">
        <f t="array" ref="P10">SUM(COUNTIF($G:$K,{"C.*","D.*","E.*","F.*","G.*","H.*","I.*","J.*","K.*","L.*","M.*","N.*","O.*","P.*"}))</f>
        <v>41</v>
      </c>
      <c r="Q10" s="34">
        <f>COUNTIF($G:$K,"R.*")</f>
        <v>1</v>
      </c>
      <c r="R10" s="17">
        <f>COUNTIF($G:$K,"U.*")</f>
        <v>15</v>
      </c>
      <c r="S10" s="17">
        <v>0</v>
      </c>
      <c r="T10" s="17">
        <f>COUNTIF($G:$K,"Q.*")</f>
        <v>0</v>
      </c>
      <c r="U10" s="17">
        <f>COUNTIF($G:$K,"V.*")</f>
        <v>108</v>
      </c>
      <c r="V10" s="17">
        <f>COUNTIF($G:$K,"S.*")</f>
        <v>98</v>
      </c>
      <c r="W10" s="35">
        <f>SUM(N10:V10)</f>
        <v>567</v>
      </c>
      <c r="X10" s="17">
        <f>COUNTIFS($G2:$K1000,"&lt;&gt;",$G2:$K1000,"&lt;&gt;OFF.*",$G2:$K1000,"&lt;&gt;AA.*",$G2:$K1000,"&lt;&gt;BB.*",$G2:$K1000,"&lt;&gt;W.*",$G2:$K1000,"&lt;&gt;X.*",$G2:$K1000,"&lt;&gt;CC.*")</f>
        <v>567</v>
      </c>
    </row>
    <row r="11" spans="1:24" x14ac:dyDescent="0.2">
      <c r="C11">
        <v>90028</v>
      </c>
      <c r="D11">
        <v>39</v>
      </c>
      <c r="E11">
        <v>10364725</v>
      </c>
      <c r="F11" t="s">
        <v>14</v>
      </c>
      <c r="G11" t="s">
        <v>159</v>
      </c>
      <c r="H11" t="s">
        <v>325</v>
      </c>
      <c r="I11" t="s">
        <v>159</v>
      </c>
      <c r="J11" t="s">
        <v>325</v>
      </c>
      <c r="K11" t="s">
        <v>159</v>
      </c>
    </row>
    <row r="12" spans="1:24" ht="16" x14ac:dyDescent="0.2">
      <c r="C12">
        <v>92620</v>
      </c>
      <c r="D12">
        <v>37</v>
      </c>
      <c r="E12">
        <v>10008115</v>
      </c>
      <c r="F12" t="s">
        <v>14</v>
      </c>
      <c r="G12" t="s">
        <v>322</v>
      </c>
      <c r="H12" t="s">
        <v>322</v>
      </c>
      <c r="I12" t="s">
        <v>322</v>
      </c>
      <c r="J12" t="s">
        <v>322</v>
      </c>
      <c r="K12" t="s">
        <v>326</v>
      </c>
      <c r="M12" s="22" t="s">
        <v>327</v>
      </c>
      <c r="O12" s="59" t="s">
        <v>58</v>
      </c>
      <c r="P12" s="63"/>
      <c r="Q12" s="60"/>
    </row>
    <row r="13" spans="1:24" ht="16" x14ac:dyDescent="0.2">
      <c r="C13">
        <v>90650</v>
      </c>
      <c r="D13">
        <v>35</v>
      </c>
      <c r="E13">
        <v>10356067</v>
      </c>
      <c r="F13" t="s">
        <v>14</v>
      </c>
      <c r="G13" t="s">
        <v>328</v>
      </c>
      <c r="H13" t="s">
        <v>328</v>
      </c>
      <c r="I13" t="s">
        <v>328</v>
      </c>
      <c r="J13" t="s">
        <v>328</v>
      </c>
      <c r="K13" t="s">
        <v>328</v>
      </c>
      <c r="M13" s="26" t="s">
        <v>322</v>
      </c>
      <c r="O13" s="64" t="s">
        <v>63</v>
      </c>
      <c r="P13" s="64"/>
      <c r="Q13" s="19" t="e">
        <f>2*W10/COUNTIFS(A:A,"&lt;&gt;",A:A,"&lt;&gt;FirstName")</f>
        <v>#DIV/0!</v>
      </c>
    </row>
    <row r="14" spans="1:24" ht="16" x14ac:dyDescent="0.2">
      <c r="C14">
        <v>92374</v>
      </c>
      <c r="D14">
        <v>35</v>
      </c>
      <c r="E14">
        <v>10356603</v>
      </c>
      <c r="F14" t="s">
        <v>14</v>
      </c>
      <c r="G14" t="s">
        <v>323</v>
      </c>
      <c r="H14" t="s">
        <v>322</v>
      </c>
      <c r="I14" t="s">
        <v>323</v>
      </c>
      <c r="J14" t="s">
        <v>322</v>
      </c>
      <c r="K14" t="s">
        <v>323</v>
      </c>
      <c r="M14" s="26" t="s">
        <v>329</v>
      </c>
      <c r="O14" s="62" t="s">
        <v>67</v>
      </c>
      <c r="P14" s="62"/>
      <c r="Q14" s="17">
        <v>324</v>
      </c>
    </row>
    <row r="15" spans="1:24" ht="16" x14ac:dyDescent="0.2">
      <c r="C15">
        <v>90065</v>
      </c>
      <c r="D15">
        <v>35</v>
      </c>
      <c r="E15">
        <v>10091019</v>
      </c>
      <c r="F15" t="s">
        <v>14</v>
      </c>
      <c r="G15" t="s">
        <v>322</v>
      </c>
      <c r="H15" t="s">
        <v>159</v>
      </c>
      <c r="I15" t="s">
        <v>159</v>
      </c>
      <c r="J15" t="s">
        <v>159</v>
      </c>
      <c r="K15" t="s">
        <v>159</v>
      </c>
      <c r="M15" s="26" t="s">
        <v>328</v>
      </c>
      <c r="O15" s="65" t="s">
        <v>72</v>
      </c>
      <c r="P15" s="65"/>
      <c r="Q15" s="18">
        <f>COUNTIFS(A:A,"&lt;&gt;",A:A,"&lt;&gt;FirstName")</f>
        <v>0</v>
      </c>
    </row>
    <row r="16" spans="1:24" ht="16" x14ac:dyDescent="0.2">
      <c r="C16">
        <v>92373</v>
      </c>
      <c r="D16">
        <v>35</v>
      </c>
      <c r="E16" t="s">
        <v>330</v>
      </c>
      <c r="F16" t="s">
        <v>14</v>
      </c>
      <c r="G16" t="s">
        <v>323</v>
      </c>
      <c r="H16" t="s">
        <v>323</v>
      </c>
      <c r="I16" t="s">
        <v>159</v>
      </c>
      <c r="J16" t="s">
        <v>159</v>
      </c>
      <c r="K16" t="s">
        <v>159</v>
      </c>
      <c r="M16" s="26" t="s">
        <v>331</v>
      </c>
      <c r="O16" s="62" t="s">
        <v>76</v>
      </c>
      <c r="P16" s="59"/>
      <c r="Q16" s="27">
        <f>Q15/Q14</f>
        <v>0</v>
      </c>
    </row>
    <row r="17" spans="3:17" ht="16" x14ac:dyDescent="0.2">
      <c r="C17">
        <v>91106</v>
      </c>
      <c r="D17">
        <v>35</v>
      </c>
      <c r="E17">
        <v>10256410</v>
      </c>
      <c r="F17" t="s">
        <v>14</v>
      </c>
      <c r="G17" t="s">
        <v>323</v>
      </c>
      <c r="H17" t="s">
        <v>323</v>
      </c>
      <c r="I17" t="s">
        <v>323</v>
      </c>
      <c r="J17" t="s">
        <v>323</v>
      </c>
      <c r="K17" t="s">
        <v>323</v>
      </c>
      <c r="M17" s="26" t="s">
        <v>325</v>
      </c>
      <c r="O17" s="66" t="s">
        <v>80</v>
      </c>
      <c r="P17" s="66"/>
      <c r="Q17" s="28">
        <v>32</v>
      </c>
    </row>
    <row r="18" spans="3:17" ht="16" x14ac:dyDescent="0.2">
      <c r="C18">
        <v>90808</v>
      </c>
      <c r="D18">
        <v>35</v>
      </c>
      <c r="E18">
        <v>10163975</v>
      </c>
      <c r="F18" t="s">
        <v>14</v>
      </c>
      <c r="G18" t="s">
        <v>322</v>
      </c>
      <c r="H18" t="s">
        <v>322</v>
      </c>
      <c r="I18" t="s">
        <v>322</v>
      </c>
      <c r="J18" t="s">
        <v>322</v>
      </c>
      <c r="K18" t="s">
        <v>322</v>
      </c>
      <c r="M18" s="26" t="s">
        <v>332</v>
      </c>
      <c r="O18" s="59" t="s">
        <v>85</v>
      </c>
      <c r="P18" s="60"/>
      <c r="Q18" s="17">
        <f>AVERAGE(D2:D1000)</f>
        <v>11.111940298507463</v>
      </c>
    </row>
    <row r="19" spans="3:17" ht="16" x14ac:dyDescent="0.2">
      <c r="C19">
        <v>90031</v>
      </c>
      <c r="D19">
        <v>34</v>
      </c>
      <c r="E19" t="s">
        <v>333</v>
      </c>
      <c r="F19" t="s">
        <v>14</v>
      </c>
      <c r="G19" t="s">
        <v>323</v>
      </c>
      <c r="H19" t="s">
        <v>323</v>
      </c>
      <c r="I19" t="s">
        <v>322</v>
      </c>
      <c r="J19" t="s">
        <v>323</v>
      </c>
      <c r="K19" t="s">
        <v>322</v>
      </c>
      <c r="M19" s="26" t="s">
        <v>334</v>
      </c>
      <c r="O19" s="59" t="s">
        <v>90</v>
      </c>
      <c r="P19" s="60"/>
      <c r="Q19" s="17">
        <f>MEDIAN(D2:D1000)</f>
        <v>2</v>
      </c>
    </row>
    <row r="20" spans="3:17" ht="16" x14ac:dyDescent="0.2">
      <c r="C20">
        <v>91030</v>
      </c>
      <c r="D20">
        <v>33</v>
      </c>
      <c r="E20">
        <v>10363026</v>
      </c>
      <c r="F20" t="s">
        <v>14</v>
      </c>
      <c r="G20" t="s">
        <v>159</v>
      </c>
      <c r="H20" t="s">
        <v>322</v>
      </c>
      <c r="I20" t="s">
        <v>159</v>
      </c>
      <c r="J20" t="s">
        <v>322</v>
      </c>
      <c r="K20" t="s">
        <v>159</v>
      </c>
      <c r="M20" s="26" t="s">
        <v>335</v>
      </c>
      <c r="O20" s="59" t="s">
        <v>94</v>
      </c>
      <c r="P20" s="60"/>
      <c r="Q20" s="17" t="e">
        <f>(SUM(D2:D1000)/Q15)*Q14</f>
        <v>#DIV/0!</v>
      </c>
    </row>
    <row r="21" spans="3:17" ht="16" x14ac:dyDescent="0.2">
      <c r="C21">
        <v>90063</v>
      </c>
      <c r="D21">
        <v>32</v>
      </c>
      <c r="E21">
        <v>10351684</v>
      </c>
      <c r="F21" t="s">
        <v>14</v>
      </c>
      <c r="G21" t="s">
        <v>323</v>
      </c>
      <c r="H21" t="s">
        <v>323</v>
      </c>
      <c r="I21" t="s">
        <v>336</v>
      </c>
      <c r="J21" t="s">
        <v>323</v>
      </c>
      <c r="K21" t="s">
        <v>323</v>
      </c>
      <c r="M21" s="26" t="s">
        <v>337</v>
      </c>
      <c r="O21" s="59" t="s">
        <v>98</v>
      </c>
      <c r="P21" s="60"/>
      <c r="Q21" s="27" t="e">
        <f>COUNTIF(D:D,"&lt;=5")/Q15</f>
        <v>#DIV/0!</v>
      </c>
    </row>
    <row r="22" spans="3:17" ht="16" x14ac:dyDescent="0.2">
      <c r="C22">
        <v>91030</v>
      </c>
      <c r="D22">
        <v>30</v>
      </c>
      <c r="E22">
        <v>10361342</v>
      </c>
      <c r="F22" t="s">
        <v>14</v>
      </c>
      <c r="G22" t="s">
        <v>322</v>
      </c>
      <c r="H22" t="s">
        <v>323</v>
      </c>
      <c r="I22" t="s">
        <v>323</v>
      </c>
      <c r="J22" t="s">
        <v>322</v>
      </c>
      <c r="K22" t="s">
        <v>323</v>
      </c>
      <c r="M22" s="26" t="s">
        <v>338</v>
      </c>
    </row>
    <row r="23" spans="3:17" ht="16" x14ac:dyDescent="0.2">
      <c r="C23">
        <v>91030</v>
      </c>
      <c r="D23">
        <v>30</v>
      </c>
      <c r="E23">
        <v>10158952</v>
      </c>
      <c r="F23" t="s">
        <v>14</v>
      </c>
      <c r="G23" t="s">
        <v>322</v>
      </c>
      <c r="H23" t="s">
        <v>322</v>
      </c>
      <c r="I23" t="s">
        <v>322</v>
      </c>
      <c r="J23" t="s">
        <v>322</v>
      </c>
      <c r="K23" t="s">
        <v>322</v>
      </c>
      <c r="M23" s="26" t="s">
        <v>339</v>
      </c>
    </row>
    <row r="24" spans="3:17" ht="16" x14ac:dyDescent="0.2">
      <c r="C24">
        <v>90241</v>
      </c>
      <c r="D24">
        <v>30</v>
      </c>
      <c r="E24">
        <v>10366720</v>
      </c>
      <c r="F24" t="s">
        <v>14</v>
      </c>
      <c r="G24" t="s">
        <v>322</v>
      </c>
      <c r="H24" t="s">
        <v>322</v>
      </c>
      <c r="I24" t="s">
        <v>322</v>
      </c>
      <c r="J24" t="s">
        <v>322</v>
      </c>
      <c r="K24" t="s">
        <v>159</v>
      </c>
      <c r="M24" s="26" t="s">
        <v>340</v>
      </c>
    </row>
    <row r="25" spans="3:17" ht="16" x14ac:dyDescent="0.2">
      <c r="C25">
        <v>90026</v>
      </c>
      <c r="D25">
        <v>30</v>
      </c>
      <c r="E25">
        <v>10043312</v>
      </c>
      <c r="F25" t="s">
        <v>14</v>
      </c>
      <c r="G25" t="s">
        <v>322</v>
      </c>
      <c r="H25" t="s">
        <v>322</v>
      </c>
      <c r="I25" t="s">
        <v>322</v>
      </c>
      <c r="J25" t="s">
        <v>322</v>
      </c>
      <c r="K25" t="s">
        <v>322</v>
      </c>
      <c r="M25" s="26" t="s">
        <v>341</v>
      </c>
    </row>
    <row r="26" spans="3:17" ht="16" x14ac:dyDescent="0.2">
      <c r="C26">
        <v>91024</v>
      </c>
      <c r="D26">
        <v>30</v>
      </c>
      <c r="E26">
        <v>10043194</v>
      </c>
      <c r="F26" t="s">
        <v>14</v>
      </c>
      <c r="G26" t="s">
        <v>159</v>
      </c>
      <c r="H26" t="s">
        <v>159</v>
      </c>
      <c r="I26" t="s">
        <v>159</v>
      </c>
      <c r="J26" t="s">
        <v>322</v>
      </c>
      <c r="K26" t="s">
        <v>322</v>
      </c>
      <c r="M26" s="26" t="s">
        <v>342</v>
      </c>
    </row>
    <row r="27" spans="3:17" ht="16" x14ac:dyDescent="0.2">
      <c r="C27">
        <v>91105</v>
      </c>
      <c r="D27">
        <v>29</v>
      </c>
      <c r="E27">
        <v>10138393</v>
      </c>
      <c r="F27" t="s">
        <v>14</v>
      </c>
      <c r="G27" t="s">
        <v>322</v>
      </c>
      <c r="H27" t="s">
        <v>323</v>
      </c>
      <c r="I27" t="s">
        <v>322</v>
      </c>
      <c r="J27" t="s">
        <v>323</v>
      </c>
      <c r="K27" t="s">
        <v>322</v>
      </c>
      <c r="M27" s="26" t="s">
        <v>343</v>
      </c>
    </row>
    <row r="28" spans="3:17" ht="16" x14ac:dyDescent="0.2">
      <c r="C28">
        <v>92833</v>
      </c>
      <c r="D28">
        <v>29</v>
      </c>
      <c r="E28">
        <v>10355964</v>
      </c>
      <c r="F28" t="s">
        <v>14</v>
      </c>
      <c r="G28" t="s">
        <v>159</v>
      </c>
      <c r="H28" t="s">
        <v>322</v>
      </c>
      <c r="I28" t="s">
        <v>159</v>
      </c>
      <c r="J28" t="s">
        <v>322</v>
      </c>
      <c r="K28" t="s">
        <v>159</v>
      </c>
      <c r="M28" s="26" t="s">
        <v>344</v>
      </c>
    </row>
    <row r="29" spans="3:17" ht="16" x14ac:dyDescent="0.2">
      <c r="C29">
        <v>91106</v>
      </c>
      <c r="D29">
        <v>27</v>
      </c>
      <c r="F29" t="s">
        <v>14</v>
      </c>
      <c r="G29" t="s">
        <v>322</v>
      </c>
      <c r="H29" t="s">
        <v>322</v>
      </c>
      <c r="I29" t="s">
        <v>322</v>
      </c>
      <c r="J29" t="s">
        <v>323</v>
      </c>
      <c r="K29" t="s">
        <v>323</v>
      </c>
      <c r="M29" s="26" t="s">
        <v>345</v>
      </c>
    </row>
    <row r="30" spans="3:17" ht="16" x14ac:dyDescent="0.2">
      <c r="C30">
        <v>91104</v>
      </c>
      <c r="D30">
        <v>27</v>
      </c>
      <c r="E30">
        <v>10089127</v>
      </c>
      <c r="F30" t="s">
        <v>14</v>
      </c>
      <c r="G30" t="s">
        <v>331</v>
      </c>
      <c r="H30" t="s">
        <v>323</v>
      </c>
      <c r="I30" t="s">
        <v>331</v>
      </c>
      <c r="J30" t="s">
        <v>323</v>
      </c>
      <c r="K30" t="s">
        <v>331</v>
      </c>
      <c r="M30" s="26" t="s">
        <v>336</v>
      </c>
    </row>
    <row r="31" spans="3:17" ht="16" x14ac:dyDescent="0.2">
      <c r="C31">
        <v>91106</v>
      </c>
      <c r="D31">
        <v>26</v>
      </c>
      <c r="E31">
        <v>10213597</v>
      </c>
      <c r="F31" t="s">
        <v>14</v>
      </c>
      <c r="G31" t="s">
        <v>322</v>
      </c>
      <c r="H31" t="s">
        <v>323</v>
      </c>
      <c r="I31" t="s">
        <v>322</v>
      </c>
      <c r="J31" t="s">
        <v>322</v>
      </c>
      <c r="K31" t="s">
        <v>322</v>
      </c>
      <c r="M31" s="26" t="s">
        <v>346</v>
      </c>
    </row>
    <row r="32" spans="3:17" ht="16" x14ac:dyDescent="0.2">
      <c r="C32">
        <v>92405</v>
      </c>
      <c r="D32">
        <v>26</v>
      </c>
      <c r="E32">
        <v>10307642</v>
      </c>
      <c r="F32" t="s">
        <v>14</v>
      </c>
      <c r="G32" t="s">
        <v>324</v>
      </c>
      <c r="H32" t="s">
        <v>324</v>
      </c>
      <c r="I32" t="s">
        <v>324</v>
      </c>
      <c r="J32" t="s">
        <v>324</v>
      </c>
      <c r="K32" t="s">
        <v>324</v>
      </c>
      <c r="M32" s="26" t="s">
        <v>347</v>
      </c>
    </row>
    <row r="33" spans="3:13" ht="16" x14ac:dyDescent="0.2">
      <c r="C33">
        <v>91106</v>
      </c>
      <c r="D33">
        <v>25</v>
      </c>
      <c r="E33">
        <v>10043616</v>
      </c>
      <c r="F33" t="s">
        <v>14</v>
      </c>
      <c r="G33" t="s">
        <v>323</v>
      </c>
      <c r="H33" t="s">
        <v>324</v>
      </c>
      <c r="I33" t="s">
        <v>324</v>
      </c>
      <c r="J33" t="s">
        <v>324</v>
      </c>
      <c r="K33" t="s">
        <v>323</v>
      </c>
      <c r="M33" s="26" t="s">
        <v>324</v>
      </c>
    </row>
    <row r="34" spans="3:13" ht="16" x14ac:dyDescent="0.2">
      <c r="C34">
        <v>91006</v>
      </c>
      <c r="D34">
        <v>25</v>
      </c>
      <c r="E34">
        <v>10144144</v>
      </c>
      <c r="F34" t="s">
        <v>14</v>
      </c>
      <c r="G34" t="s">
        <v>322</v>
      </c>
      <c r="H34" t="s">
        <v>322</v>
      </c>
      <c r="I34" t="s">
        <v>322</v>
      </c>
      <c r="J34" t="s">
        <v>322</v>
      </c>
      <c r="K34" t="s">
        <v>322</v>
      </c>
      <c r="M34" s="26" t="s">
        <v>323</v>
      </c>
    </row>
    <row r="35" spans="3:13" ht="16" x14ac:dyDescent="0.2">
      <c r="C35">
        <v>92507</v>
      </c>
      <c r="D35">
        <v>22</v>
      </c>
      <c r="E35">
        <v>10109770</v>
      </c>
      <c r="F35" t="s">
        <v>14</v>
      </c>
      <c r="G35" t="s">
        <v>348</v>
      </c>
      <c r="H35" t="s">
        <v>348</v>
      </c>
      <c r="I35" t="s">
        <v>322</v>
      </c>
      <c r="J35" t="s">
        <v>322</v>
      </c>
      <c r="K35" t="s">
        <v>322</v>
      </c>
      <c r="M35" s="26" t="s">
        <v>326</v>
      </c>
    </row>
    <row r="36" spans="3:13" ht="16" x14ac:dyDescent="0.2">
      <c r="C36">
        <v>92509</v>
      </c>
      <c r="D36">
        <v>22</v>
      </c>
      <c r="E36">
        <v>10366652</v>
      </c>
      <c r="F36" t="s">
        <v>14</v>
      </c>
      <c r="G36" t="s">
        <v>322</v>
      </c>
      <c r="H36" t="s">
        <v>159</v>
      </c>
      <c r="I36" t="s">
        <v>322</v>
      </c>
      <c r="J36" t="s">
        <v>322</v>
      </c>
      <c r="K36" t="s">
        <v>159</v>
      </c>
      <c r="M36" s="26" t="s">
        <v>146</v>
      </c>
    </row>
    <row r="37" spans="3:13" ht="16" x14ac:dyDescent="0.2">
      <c r="C37">
        <v>92501</v>
      </c>
      <c r="D37">
        <v>20</v>
      </c>
      <c r="E37">
        <v>10357931</v>
      </c>
      <c r="F37" t="s">
        <v>14</v>
      </c>
      <c r="G37" t="s">
        <v>326</v>
      </c>
      <c r="H37" t="s">
        <v>322</v>
      </c>
      <c r="I37" t="s">
        <v>326</v>
      </c>
      <c r="J37" t="s">
        <v>322</v>
      </c>
      <c r="K37" t="s">
        <v>326</v>
      </c>
      <c r="M37" s="26" t="s">
        <v>153</v>
      </c>
    </row>
    <row r="38" spans="3:13" ht="16" x14ac:dyDescent="0.2">
      <c r="C38">
        <v>91744</v>
      </c>
      <c r="D38">
        <v>17</v>
      </c>
      <c r="E38">
        <v>10369400</v>
      </c>
      <c r="F38" t="s">
        <v>14</v>
      </c>
      <c r="G38" t="s">
        <v>323</v>
      </c>
      <c r="H38" t="s">
        <v>322</v>
      </c>
      <c r="I38" t="s">
        <v>323</v>
      </c>
      <c r="J38" t="s">
        <v>322</v>
      </c>
      <c r="K38" t="s">
        <v>323</v>
      </c>
      <c r="M38" s="26" t="s">
        <v>155</v>
      </c>
    </row>
    <row r="39" spans="3:13" ht="16" x14ac:dyDescent="0.2">
      <c r="C39">
        <v>91784</v>
      </c>
      <c r="D39">
        <v>8</v>
      </c>
      <c r="E39">
        <v>10041671</v>
      </c>
      <c r="F39" t="s">
        <v>14</v>
      </c>
      <c r="G39" t="s">
        <v>322</v>
      </c>
      <c r="H39" t="s">
        <v>322</v>
      </c>
      <c r="I39" t="s">
        <v>322</v>
      </c>
      <c r="J39" t="s">
        <v>322</v>
      </c>
      <c r="K39" t="s">
        <v>322</v>
      </c>
      <c r="M39" s="26" t="s">
        <v>157</v>
      </c>
    </row>
    <row r="40" spans="3:13" ht="16" x14ac:dyDescent="0.2">
      <c r="C40">
        <v>91709</v>
      </c>
      <c r="D40">
        <v>8</v>
      </c>
      <c r="E40">
        <v>10213581</v>
      </c>
      <c r="F40" t="s">
        <v>14</v>
      </c>
      <c r="G40" t="s">
        <v>322</v>
      </c>
      <c r="H40" t="s">
        <v>322</v>
      </c>
      <c r="I40" t="s">
        <v>322</v>
      </c>
      <c r="J40" t="s">
        <v>322</v>
      </c>
      <c r="K40" t="s">
        <v>322</v>
      </c>
      <c r="M40" s="29" t="s">
        <v>159</v>
      </c>
    </row>
    <row r="41" spans="3:13" x14ac:dyDescent="0.2">
      <c r="C41">
        <v>91741</v>
      </c>
      <c r="D41">
        <v>7</v>
      </c>
      <c r="E41">
        <v>10366710</v>
      </c>
      <c r="F41" t="s">
        <v>14</v>
      </c>
      <c r="G41" t="s">
        <v>322</v>
      </c>
      <c r="H41" t="s">
        <v>322</v>
      </c>
      <c r="I41" t="s">
        <v>322</v>
      </c>
      <c r="J41" t="s">
        <v>322</v>
      </c>
      <c r="K41" t="s">
        <v>159</v>
      </c>
    </row>
    <row r="42" spans="3:13" x14ac:dyDescent="0.2">
      <c r="C42">
        <v>91766</v>
      </c>
      <c r="D42">
        <v>7</v>
      </c>
      <c r="E42">
        <v>10361272</v>
      </c>
      <c r="F42" t="s">
        <v>14</v>
      </c>
      <c r="G42" t="s">
        <v>322</v>
      </c>
      <c r="H42" t="s">
        <v>322</v>
      </c>
      <c r="I42" t="s">
        <v>322</v>
      </c>
      <c r="J42" t="s">
        <v>322</v>
      </c>
      <c r="K42" t="s">
        <v>322</v>
      </c>
    </row>
    <row r="43" spans="3:13" x14ac:dyDescent="0.2">
      <c r="C43">
        <v>91750</v>
      </c>
      <c r="D43">
        <v>7</v>
      </c>
      <c r="E43">
        <v>10158502</v>
      </c>
      <c r="F43" t="s">
        <v>14</v>
      </c>
      <c r="G43" t="s">
        <v>159</v>
      </c>
      <c r="H43" t="s">
        <v>159</v>
      </c>
      <c r="I43" t="s">
        <v>159</v>
      </c>
      <c r="J43" t="s">
        <v>159</v>
      </c>
      <c r="K43" t="s">
        <v>322</v>
      </c>
    </row>
    <row r="44" spans="3:13" x14ac:dyDescent="0.2">
      <c r="C44">
        <v>91711</v>
      </c>
      <c r="D44">
        <v>5</v>
      </c>
      <c r="E44">
        <v>100859224</v>
      </c>
      <c r="F44" t="s">
        <v>14</v>
      </c>
      <c r="G44" t="s">
        <v>328</v>
      </c>
      <c r="H44" t="s">
        <v>328</v>
      </c>
      <c r="I44" t="s">
        <v>328</v>
      </c>
      <c r="J44" t="s">
        <v>328</v>
      </c>
      <c r="K44" t="s">
        <v>328</v>
      </c>
    </row>
    <row r="45" spans="3:13" x14ac:dyDescent="0.2">
      <c r="C45">
        <v>91764</v>
      </c>
      <c r="D45">
        <v>5</v>
      </c>
      <c r="E45">
        <v>10364482</v>
      </c>
      <c r="F45" t="s">
        <v>14</v>
      </c>
      <c r="G45" t="s">
        <v>323</v>
      </c>
      <c r="H45" t="s">
        <v>323</v>
      </c>
      <c r="I45" t="s">
        <v>323</v>
      </c>
      <c r="J45" t="s">
        <v>323</v>
      </c>
      <c r="K45" t="s">
        <v>323</v>
      </c>
    </row>
    <row r="46" spans="3:13" x14ac:dyDescent="0.2">
      <c r="C46">
        <v>91711</v>
      </c>
      <c r="D46">
        <v>4</v>
      </c>
      <c r="E46">
        <v>10366795</v>
      </c>
      <c r="F46" t="s">
        <v>14</v>
      </c>
      <c r="G46" t="s">
        <v>153</v>
      </c>
      <c r="H46" t="s">
        <v>159</v>
      </c>
      <c r="I46" t="s">
        <v>159</v>
      </c>
      <c r="J46" t="s">
        <v>159</v>
      </c>
      <c r="K46" t="s">
        <v>159</v>
      </c>
    </row>
    <row r="47" spans="3:13" x14ac:dyDescent="0.2">
      <c r="C47">
        <v>91786</v>
      </c>
      <c r="D47">
        <v>4</v>
      </c>
      <c r="E47">
        <v>10366696</v>
      </c>
      <c r="F47" t="s">
        <v>14</v>
      </c>
      <c r="G47" t="s">
        <v>323</v>
      </c>
      <c r="H47" t="s">
        <v>322</v>
      </c>
      <c r="I47" t="s">
        <v>323</v>
      </c>
      <c r="J47" t="s">
        <v>322</v>
      </c>
      <c r="K47" t="s">
        <v>322</v>
      </c>
    </row>
    <row r="48" spans="3:13" x14ac:dyDescent="0.2">
      <c r="C48">
        <v>91750</v>
      </c>
      <c r="D48">
        <v>4</v>
      </c>
      <c r="E48">
        <v>10043561</v>
      </c>
      <c r="F48" t="s">
        <v>14</v>
      </c>
      <c r="G48" t="s">
        <v>157</v>
      </c>
      <c r="H48" t="s">
        <v>157</v>
      </c>
      <c r="I48" t="s">
        <v>157</v>
      </c>
      <c r="J48" t="s">
        <v>157</v>
      </c>
      <c r="K48" t="s">
        <v>157</v>
      </c>
    </row>
    <row r="49" spans="3:11" x14ac:dyDescent="0.2">
      <c r="C49">
        <v>91711</v>
      </c>
      <c r="D49">
        <v>3</v>
      </c>
      <c r="E49">
        <v>10337403</v>
      </c>
      <c r="F49" t="s">
        <v>14</v>
      </c>
      <c r="G49" t="s">
        <v>322</v>
      </c>
      <c r="H49" t="s">
        <v>322</v>
      </c>
      <c r="I49" t="s">
        <v>322</v>
      </c>
      <c r="J49" t="s">
        <v>322</v>
      </c>
      <c r="K49" t="s">
        <v>322</v>
      </c>
    </row>
    <row r="50" spans="3:11" x14ac:dyDescent="0.2">
      <c r="C50">
        <v>91711</v>
      </c>
      <c r="D50">
        <v>3</v>
      </c>
      <c r="E50">
        <v>10020514</v>
      </c>
      <c r="F50" t="s">
        <v>14</v>
      </c>
      <c r="G50" t="s">
        <v>322</v>
      </c>
      <c r="H50" t="s">
        <v>323</v>
      </c>
      <c r="I50" t="s">
        <v>322</v>
      </c>
      <c r="J50" t="s">
        <v>322</v>
      </c>
      <c r="K50" t="s">
        <v>322</v>
      </c>
    </row>
    <row r="51" spans="3:11" x14ac:dyDescent="0.2">
      <c r="C51">
        <v>91811</v>
      </c>
      <c r="D51">
        <v>3</v>
      </c>
      <c r="E51">
        <v>10277568</v>
      </c>
      <c r="F51" t="s">
        <v>14</v>
      </c>
      <c r="G51" t="s">
        <v>328</v>
      </c>
      <c r="H51" t="s">
        <v>328</v>
      </c>
      <c r="I51" t="s">
        <v>328</v>
      </c>
      <c r="J51" t="s">
        <v>328</v>
      </c>
      <c r="K51" t="s">
        <v>328</v>
      </c>
    </row>
    <row r="52" spans="3:11" x14ac:dyDescent="0.2">
      <c r="C52">
        <v>91711</v>
      </c>
      <c r="D52">
        <v>3</v>
      </c>
      <c r="E52">
        <v>10346813</v>
      </c>
      <c r="F52" t="s">
        <v>14</v>
      </c>
      <c r="G52" t="s">
        <v>322</v>
      </c>
      <c r="H52" t="s">
        <v>322</v>
      </c>
      <c r="I52" t="s">
        <v>322</v>
      </c>
      <c r="J52" t="s">
        <v>322</v>
      </c>
      <c r="K52" t="s">
        <v>322</v>
      </c>
    </row>
    <row r="53" spans="3:11" x14ac:dyDescent="0.2">
      <c r="C53">
        <v>91711</v>
      </c>
      <c r="D53">
        <v>3</v>
      </c>
      <c r="E53">
        <v>10097581</v>
      </c>
      <c r="F53" t="s">
        <v>14</v>
      </c>
      <c r="G53" t="s">
        <v>347</v>
      </c>
      <c r="H53" t="s">
        <v>347</v>
      </c>
      <c r="I53" t="s">
        <v>347</v>
      </c>
      <c r="J53" t="s">
        <v>347</v>
      </c>
      <c r="K53" t="s">
        <v>347</v>
      </c>
    </row>
    <row r="54" spans="3:11" x14ac:dyDescent="0.2">
      <c r="C54">
        <v>91711</v>
      </c>
      <c r="D54">
        <v>3</v>
      </c>
      <c r="E54">
        <v>10179974</v>
      </c>
      <c r="F54" t="s">
        <v>14</v>
      </c>
      <c r="G54" t="s">
        <v>322</v>
      </c>
      <c r="H54" t="s">
        <v>322</v>
      </c>
      <c r="I54" t="s">
        <v>322</v>
      </c>
      <c r="J54" t="s">
        <v>322</v>
      </c>
      <c r="K54" t="s">
        <v>322</v>
      </c>
    </row>
    <row r="55" spans="3:11" x14ac:dyDescent="0.2">
      <c r="C55">
        <v>91767</v>
      </c>
      <c r="D55">
        <v>3</v>
      </c>
      <c r="E55">
        <v>10019737</v>
      </c>
      <c r="F55" t="s">
        <v>14</v>
      </c>
      <c r="G55" t="s">
        <v>322</v>
      </c>
      <c r="H55" t="s">
        <v>322</v>
      </c>
      <c r="I55" t="s">
        <v>322</v>
      </c>
      <c r="J55" t="s">
        <v>322</v>
      </c>
      <c r="K55" t="s">
        <v>159</v>
      </c>
    </row>
    <row r="56" spans="3:11" x14ac:dyDescent="0.2">
      <c r="C56">
        <v>91750</v>
      </c>
      <c r="D56">
        <v>3</v>
      </c>
      <c r="E56">
        <v>10364483</v>
      </c>
      <c r="F56" t="s">
        <v>14</v>
      </c>
      <c r="G56" t="s">
        <v>322</v>
      </c>
      <c r="H56" t="s">
        <v>322</v>
      </c>
      <c r="I56" t="s">
        <v>322</v>
      </c>
      <c r="J56" t="s">
        <v>323</v>
      </c>
      <c r="K56" t="s">
        <v>323</v>
      </c>
    </row>
    <row r="57" spans="3:11" x14ac:dyDescent="0.2">
      <c r="C57">
        <v>91711</v>
      </c>
      <c r="D57">
        <v>2</v>
      </c>
      <c r="E57">
        <v>10354731</v>
      </c>
      <c r="F57" t="s">
        <v>14</v>
      </c>
      <c r="G57" t="s">
        <v>328</v>
      </c>
      <c r="H57" t="s">
        <v>328</v>
      </c>
      <c r="I57" t="s">
        <v>328</v>
      </c>
      <c r="J57" t="s">
        <v>328</v>
      </c>
      <c r="K57" t="s">
        <v>328</v>
      </c>
    </row>
    <row r="58" spans="3:11" x14ac:dyDescent="0.2">
      <c r="C58">
        <v>91767</v>
      </c>
      <c r="D58">
        <v>2</v>
      </c>
      <c r="E58">
        <v>10180184</v>
      </c>
      <c r="F58" t="s">
        <v>14</v>
      </c>
      <c r="G58" t="s">
        <v>322</v>
      </c>
      <c r="H58" t="s">
        <v>322</v>
      </c>
      <c r="I58" t="s">
        <v>322</v>
      </c>
      <c r="J58" t="s">
        <v>322</v>
      </c>
      <c r="K58" t="s">
        <v>322</v>
      </c>
    </row>
    <row r="59" spans="3:11" x14ac:dyDescent="0.2">
      <c r="C59">
        <v>91711</v>
      </c>
      <c r="D59">
        <v>2</v>
      </c>
      <c r="E59">
        <v>10186413</v>
      </c>
      <c r="F59" t="s">
        <v>14</v>
      </c>
      <c r="G59" t="s">
        <v>159</v>
      </c>
      <c r="H59" t="s">
        <v>159</v>
      </c>
      <c r="I59" t="s">
        <v>159</v>
      </c>
      <c r="J59" t="s">
        <v>159</v>
      </c>
      <c r="K59" t="s">
        <v>159</v>
      </c>
    </row>
    <row r="60" spans="3:11" x14ac:dyDescent="0.2">
      <c r="C60">
        <v>91711</v>
      </c>
      <c r="D60">
        <v>2</v>
      </c>
      <c r="E60">
        <v>10119823</v>
      </c>
      <c r="F60" t="s">
        <v>14</v>
      </c>
      <c r="G60" t="s">
        <v>347</v>
      </c>
      <c r="H60" t="s">
        <v>347</v>
      </c>
      <c r="I60" t="s">
        <v>347</v>
      </c>
      <c r="J60" t="s">
        <v>347</v>
      </c>
      <c r="K60" t="s">
        <v>347</v>
      </c>
    </row>
    <row r="61" spans="3:11" x14ac:dyDescent="0.2">
      <c r="C61">
        <v>91711</v>
      </c>
      <c r="D61">
        <v>2</v>
      </c>
      <c r="E61">
        <v>10134639</v>
      </c>
      <c r="F61" t="s">
        <v>14</v>
      </c>
      <c r="G61" t="s">
        <v>346</v>
      </c>
      <c r="H61" t="s">
        <v>323</v>
      </c>
      <c r="I61" t="s">
        <v>328</v>
      </c>
      <c r="J61" t="s">
        <v>323</v>
      </c>
      <c r="K61" t="s">
        <v>328</v>
      </c>
    </row>
    <row r="62" spans="3:11" x14ac:dyDescent="0.2">
      <c r="C62">
        <v>91711</v>
      </c>
      <c r="D62">
        <v>2</v>
      </c>
      <c r="E62">
        <v>10157575</v>
      </c>
      <c r="F62" t="s">
        <v>14</v>
      </c>
      <c r="G62" t="s">
        <v>322</v>
      </c>
      <c r="H62" t="s">
        <v>322</v>
      </c>
      <c r="I62" t="s">
        <v>322</v>
      </c>
      <c r="J62" t="s">
        <v>323</v>
      </c>
      <c r="K62" t="s">
        <v>322</v>
      </c>
    </row>
    <row r="63" spans="3:11" x14ac:dyDescent="0.2">
      <c r="C63">
        <v>91711</v>
      </c>
      <c r="D63">
        <v>2</v>
      </c>
      <c r="E63">
        <v>10042136</v>
      </c>
      <c r="F63" t="s">
        <v>14</v>
      </c>
      <c r="G63" t="s">
        <v>322</v>
      </c>
      <c r="H63" t="s">
        <v>322</v>
      </c>
      <c r="I63" t="s">
        <v>322</v>
      </c>
      <c r="J63" t="s">
        <v>159</v>
      </c>
      <c r="K63" t="s">
        <v>159</v>
      </c>
    </row>
    <row r="64" spans="3:11" x14ac:dyDescent="0.2">
      <c r="C64">
        <v>91711</v>
      </c>
      <c r="D64">
        <v>2</v>
      </c>
      <c r="E64">
        <v>10005870</v>
      </c>
      <c r="F64" t="s">
        <v>14</v>
      </c>
      <c r="G64" t="s">
        <v>347</v>
      </c>
      <c r="H64" t="s">
        <v>347</v>
      </c>
      <c r="I64" t="s">
        <v>347</v>
      </c>
      <c r="J64" t="s">
        <v>347</v>
      </c>
      <c r="K64" t="s">
        <v>347</v>
      </c>
    </row>
    <row r="65" spans="3:11" x14ac:dyDescent="0.2">
      <c r="C65">
        <v>91711</v>
      </c>
      <c r="D65">
        <v>2</v>
      </c>
      <c r="E65">
        <v>10181284</v>
      </c>
      <c r="F65" t="s">
        <v>14</v>
      </c>
      <c r="G65" t="s">
        <v>347</v>
      </c>
      <c r="H65" t="s">
        <v>347</v>
      </c>
      <c r="I65" t="s">
        <v>347</v>
      </c>
      <c r="J65" t="s">
        <v>347</v>
      </c>
      <c r="K65" t="s">
        <v>347</v>
      </c>
    </row>
    <row r="66" spans="3:11" x14ac:dyDescent="0.2">
      <c r="C66">
        <v>91711</v>
      </c>
      <c r="D66">
        <v>2</v>
      </c>
      <c r="E66">
        <v>10032294</v>
      </c>
      <c r="F66" t="s">
        <v>14</v>
      </c>
      <c r="G66" t="s">
        <v>322</v>
      </c>
      <c r="H66" t="s">
        <v>322</v>
      </c>
      <c r="I66" t="s">
        <v>322</v>
      </c>
      <c r="J66" t="s">
        <v>153</v>
      </c>
      <c r="K66" t="s">
        <v>153</v>
      </c>
    </row>
    <row r="67" spans="3:11" x14ac:dyDescent="0.2">
      <c r="C67">
        <v>91711</v>
      </c>
      <c r="D67">
        <v>2</v>
      </c>
      <c r="E67">
        <v>10271004</v>
      </c>
      <c r="F67" t="s">
        <v>14</v>
      </c>
      <c r="G67" t="s">
        <v>331</v>
      </c>
      <c r="H67" t="s">
        <v>323</v>
      </c>
      <c r="I67" t="s">
        <v>331</v>
      </c>
      <c r="J67" t="s">
        <v>323</v>
      </c>
      <c r="K67" t="s">
        <v>323</v>
      </c>
    </row>
    <row r="68" spans="3:11" x14ac:dyDescent="0.2">
      <c r="C68">
        <v>91711</v>
      </c>
      <c r="D68">
        <v>2</v>
      </c>
      <c r="E68">
        <v>10295529</v>
      </c>
      <c r="F68" t="s">
        <v>14</v>
      </c>
      <c r="G68" t="s">
        <v>322</v>
      </c>
      <c r="H68" t="s">
        <v>322</v>
      </c>
      <c r="I68" t="s">
        <v>322</v>
      </c>
      <c r="J68" t="s">
        <v>322</v>
      </c>
      <c r="K68" t="s">
        <v>322</v>
      </c>
    </row>
    <row r="69" spans="3:11" x14ac:dyDescent="0.2">
      <c r="C69">
        <v>91711</v>
      </c>
      <c r="D69">
        <v>2</v>
      </c>
      <c r="E69">
        <v>10042125</v>
      </c>
      <c r="F69" t="s">
        <v>14</v>
      </c>
      <c r="G69" t="s">
        <v>322</v>
      </c>
      <c r="H69" t="s">
        <v>323</v>
      </c>
      <c r="I69" t="s">
        <v>322</v>
      </c>
      <c r="J69" t="s">
        <v>323</v>
      </c>
      <c r="K69" t="s">
        <v>322</v>
      </c>
    </row>
    <row r="70" spans="3:11" x14ac:dyDescent="0.2">
      <c r="C70">
        <v>91711</v>
      </c>
      <c r="D70">
        <v>2</v>
      </c>
      <c r="E70">
        <v>10134553</v>
      </c>
      <c r="F70" t="s">
        <v>14</v>
      </c>
      <c r="G70" t="s">
        <v>323</v>
      </c>
      <c r="H70" t="s">
        <v>323</v>
      </c>
      <c r="I70" t="s">
        <v>323</v>
      </c>
      <c r="J70" t="s">
        <v>323</v>
      </c>
      <c r="K70" t="s">
        <v>323</v>
      </c>
    </row>
    <row r="71" spans="3:11" x14ac:dyDescent="0.2">
      <c r="C71">
        <v>91711</v>
      </c>
      <c r="D71">
        <v>2</v>
      </c>
      <c r="E71">
        <v>10018364</v>
      </c>
      <c r="F71" t="s">
        <v>14</v>
      </c>
      <c r="G71" t="s">
        <v>322</v>
      </c>
      <c r="H71" t="s">
        <v>322</v>
      </c>
      <c r="I71" t="s">
        <v>322</v>
      </c>
      <c r="J71" t="s">
        <v>322</v>
      </c>
      <c r="K71" t="s">
        <v>322</v>
      </c>
    </row>
    <row r="72" spans="3:11" x14ac:dyDescent="0.2">
      <c r="C72">
        <v>91767</v>
      </c>
      <c r="D72">
        <v>2</v>
      </c>
      <c r="E72">
        <v>10008674</v>
      </c>
      <c r="F72" t="s">
        <v>14</v>
      </c>
      <c r="G72" t="s">
        <v>347</v>
      </c>
      <c r="H72" t="s">
        <v>347</v>
      </c>
      <c r="I72" t="s">
        <v>347</v>
      </c>
      <c r="J72" t="s">
        <v>347</v>
      </c>
      <c r="K72" t="s">
        <v>347</v>
      </c>
    </row>
    <row r="73" spans="3:11" x14ac:dyDescent="0.2">
      <c r="C73">
        <v>91711</v>
      </c>
      <c r="D73">
        <v>2</v>
      </c>
      <c r="E73">
        <v>10085346</v>
      </c>
      <c r="F73" t="s">
        <v>14</v>
      </c>
      <c r="G73" t="s">
        <v>346</v>
      </c>
      <c r="H73" t="s">
        <v>346</v>
      </c>
      <c r="I73" t="s">
        <v>346</v>
      </c>
      <c r="J73" t="s">
        <v>323</v>
      </c>
      <c r="K73" t="s">
        <v>346</v>
      </c>
    </row>
    <row r="74" spans="3:11" x14ac:dyDescent="0.2">
      <c r="C74">
        <v>91711</v>
      </c>
      <c r="D74">
        <v>2</v>
      </c>
      <c r="E74">
        <v>10032463</v>
      </c>
      <c r="F74" t="s">
        <v>14</v>
      </c>
      <c r="G74" t="s">
        <v>324</v>
      </c>
      <c r="H74" t="s">
        <v>324</v>
      </c>
      <c r="I74" t="s">
        <v>324</v>
      </c>
      <c r="J74" t="s">
        <v>324</v>
      </c>
      <c r="K74" t="s">
        <v>324</v>
      </c>
    </row>
    <row r="75" spans="3:11" x14ac:dyDescent="0.2">
      <c r="C75">
        <v>91711</v>
      </c>
      <c r="D75">
        <v>2</v>
      </c>
      <c r="E75">
        <v>10233155</v>
      </c>
      <c r="F75" t="s">
        <v>14</v>
      </c>
      <c r="G75" t="s">
        <v>322</v>
      </c>
      <c r="H75" t="s">
        <v>322</v>
      </c>
      <c r="I75" t="s">
        <v>322</v>
      </c>
      <c r="J75" t="s">
        <v>322</v>
      </c>
      <c r="K75" t="s">
        <v>322</v>
      </c>
    </row>
    <row r="76" spans="3:11" x14ac:dyDescent="0.2">
      <c r="C76">
        <v>91711</v>
      </c>
      <c r="D76">
        <v>2</v>
      </c>
      <c r="E76">
        <v>10037773</v>
      </c>
      <c r="F76" t="s">
        <v>14</v>
      </c>
      <c r="G76" t="s">
        <v>322</v>
      </c>
      <c r="H76" t="s">
        <v>159</v>
      </c>
      <c r="I76" t="s">
        <v>159</v>
      </c>
      <c r="J76" t="s">
        <v>322</v>
      </c>
      <c r="K76" t="s">
        <v>322</v>
      </c>
    </row>
    <row r="77" spans="3:11" x14ac:dyDescent="0.2">
      <c r="C77">
        <v>91711</v>
      </c>
      <c r="D77">
        <v>2</v>
      </c>
      <c r="E77">
        <v>100433771</v>
      </c>
      <c r="F77" t="s">
        <v>14</v>
      </c>
      <c r="G77" t="s">
        <v>346</v>
      </c>
      <c r="H77" t="s">
        <v>346</v>
      </c>
      <c r="I77" t="s">
        <v>346</v>
      </c>
      <c r="J77" t="s">
        <v>346</v>
      </c>
      <c r="K77" t="s">
        <v>346</v>
      </c>
    </row>
    <row r="78" spans="3:11" x14ac:dyDescent="0.2">
      <c r="C78">
        <v>91711</v>
      </c>
      <c r="D78">
        <v>1</v>
      </c>
      <c r="E78">
        <v>10035277</v>
      </c>
      <c r="F78" t="s">
        <v>14</v>
      </c>
      <c r="G78" t="s">
        <v>347</v>
      </c>
      <c r="H78" t="s">
        <v>347</v>
      </c>
      <c r="I78" t="s">
        <v>347</v>
      </c>
      <c r="J78" t="s">
        <v>347</v>
      </c>
      <c r="K78" t="s">
        <v>347</v>
      </c>
    </row>
    <row r="79" spans="3:11" x14ac:dyDescent="0.2">
      <c r="C79">
        <v>91711</v>
      </c>
      <c r="D79">
        <v>1</v>
      </c>
      <c r="E79">
        <v>10035471</v>
      </c>
      <c r="F79" t="s">
        <v>14</v>
      </c>
      <c r="G79" t="s">
        <v>346</v>
      </c>
      <c r="H79" t="s">
        <v>346</v>
      </c>
      <c r="I79" t="s">
        <v>346</v>
      </c>
      <c r="J79" t="s">
        <v>346</v>
      </c>
      <c r="K79" t="s">
        <v>346</v>
      </c>
    </row>
    <row r="80" spans="3:11" x14ac:dyDescent="0.2">
      <c r="C80">
        <v>91711</v>
      </c>
      <c r="D80">
        <v>1</v>
      </c>
      <c r="E80">
        <v>10354485</v>
      </c>
      <c r="F80" t="s">
        <v>14</v>
      </c>
      <c r="G80" t="s">
        <v>322</v>
      </c>
      <c r="H80" t="s">
        <v>322</v>
      </c>
      <c r="I80" t="s">
        <v>322</v>
      </c>
      <c r="J80" t="s">
        <v>322</v>
      </c>
      <c r="K80" t="s">
        <v>322</v>
      </c>
    </row>
    <row r="81" spans="3:11" x14ac:dyDescent="0.2">
      <c r="C81">
        <v>91711</v>
      </c>
      <c r="D81">
        <v>1</v>
      </c>
      <c r="E81">
        <v>103089561</v>
      </c>
      <c r="F81" t="s">
        <v>14</v>
      </c>
      <c r="G81" t="s">
        <v>346</v>
      </c>
      <c r="H81" t="s">
        <v>346</v>
      </c>
      <c r="I81" t="s">
        <v>346</v>
      </c>
      <c r="J81" t="s">
        <v>346</v>
      </c>
      <c r="K81" t="s">
        <v>346</v>
      </c>
    </row>
    <row r="82" spans="3:11" x14ac:dyDescent="0.2">
      <c r="C82">
        <v>91711</v>
      </c>
      <c r="D82">
        <v>1</v>
      </c>
      <c r="E82">
        <v>10013117</v>
      </c>
      <c r="F82" t="s">
        <v>14</v>
      </c>
      <c r="G82" t="s">
        <v>322</v>
      </c>
      <c r="H82" t="s">
        <v>322</v>
      </c>
      <c r="I82" t="s">
        <v>322</v>
      </c>
      <c r="J82" t="s">
        <v>322</v>
      </c>
      <c r="K82" t="s">
        <v>322</v>
      </c>
    </row>
    <row r="83" spans="3:11" x14ac:dyDescent="0.2">
      <c r="C83">
        <v>91711</v>
      </c>
      <c r="D83">
        <v>1</v>
      </c>
      <c r="E83">
        <v>10018386</v>
      </c>
      <c r="F83" t="s">
        <v>14</v>
      </c>
      <c r="G83" t="s">
        <v>322</v>
      </c>
      <c r="H83" t="s">
        <v>323</v>
      </c>
      <c r="I83" t="s">
        <v>328</v>
      </c>
      <c r="J83" t="s">
        <v>323</v>
      </c>
      <c r="K83" t="s">
        <v>322</v>
      </c>
    </row>
    <row r="84" spans="3:11" x14ac:dyDescent="0.2">
      <c r="C84">
        <v>91711</v>
      </c>
      <c r="D84">
        <v>1</v>
      </c>
      <c r="E84">
        <v>10013666</v>
      </c>
      <c r="F84" t="s">
        <v>14</v>
      </c>
      <c r="G84" t="s">
        <v>346</v>
      </c>
      <c r="H84" t="s">
        <v>346</v>
      </c>
      <c r="I84" t="s">
        <v>346</v>
      </c>
      <c r="J84" t="s">
        <v>346</v>
      </c>
      <c r="K84" t="s">
        <v>346</v>
      </c>
    </row>
    <row r="85" spans="3:11" x14ac:dyDescent="0.2">
      <c r="C85">
        <v>91711</v>
      </c>
      <c r="D85">
        <v>1</v>
      </c>
      <c r="E85">
        <v>10323940</v>
      </c>
      <c r="F85" t="s">
        <v>14</v>
      </c>
      <c r="G85" t="s">
        <v>347</v>
      </c>
      <c r="H85" t="s">
        <v>347</v>
      </c>
      <c r="I85" t="s">
        <v>347</v>
      </c>
      <c r="J85" t="s">
        <v>347</v>
      </c>
      <c r="K85" t="s">
        <v>347</v>
      </c>
    </row>
    <row r="86" spans="3:11" x14ac:dyDescent="0.2">
      <c r="C86">
        <v>91711</v>
      </c>
      <c r="D86">
        <v>1</v>
      </c>
      <c r="E86">
        <v>10183410</v>
      </c>
      <c r="F86" t="s">
        <v>14</v>
      </c>
      <c r="G86" t="s">
        <v>347</v>
      </c>
      <c r="H86" t="s">
        <v>347</v>
      </c>
      <c r="I86" t="s">
        <v>347</v>
      </c>
      <c r="J86" t="s">
        <v>347</v>
      </c>
      <c r="K86" t="s">
        <v>347</v>
      </c>
    </row>
    <row r="87" spans="3:11" x14ac:dyDescent="0.2">
      <c r="C87">
        <v>91711</v>
      </c>
      <c r="D87">
        <v>1</v>
      </c>
      <c r="E87">
        <v>10361282</v>
      </c>
      <c r="F87" t="s">
        <v>14</v>
      </c>
      <c r="G87" t="s">
        <v>328</v>
      </c>
      <c r="H87" t="s">
        <v>328</v>
      </c>
      <c r="I87" t="s">
        <v>328</v>
      </c>
      <c r="J87" t="s">
        <v>328</v>
      </c>
      <c r="K87" t="s">
        <v>322</v>
      </c>
    </row>
    <row r="88" spans="3:11" x14ac:dyDescent="0.2">
      <c r="C88">
        <v>91711</v>
      </c>
      <c r="D88">
        <v>1</v>
      </c>
      <c r="E88">
        <v>10029852</v>
      </c>
      <c r="F88" t="s">
        <v>14</v>
      </c>
      <c r="G88" t="s">
        <v>346</v>
      </c>
      <c r="H88" t="s">
        <v>323</v>
      </c>
      <c r="I88" t="s">
        <v>322</v>
      </c>
      <c r="J88" t="s">
        <v>322</v>
      </c>
      <c r="K88" t="s">
        <v>322</v>
      </c>
    </row>
    <row r="89" spans="3:11" x14ac:dyDescent="0.2">
      <c r="C89">
        <v>91711</v>
      </c>
      <c r="D89">
        <v>1</v>
      </c>
      <c r="E89">
        <v>10014392</v>
      </c>
      <c r="F89" t="s">
        <v>14</v>
      </c>
      <c r="G89" t="s">
        <v>346</v>
      </c>
      <c r="H89" t="s">
        <v>346</v>
      </c>
      <c r="I89" t="s">
        <v>346</v>
      </c>
      <c r="J89" t="s">
        <v>346</v>
      </c>
      <c r="K89" t="s">
        <v>346</v>
      </c>
    </row>
    <row r="90" spans="3:11" x14ac:dyDescent="0.2">
      <c r="C90">
        <v>91711</v>
      </c>
      <c r="D90">
        <v>1</v>
      </c>
      <c r="E90">
        <v>10041942</v>
      </c>
      <c r="F90" t="s">
        <v>14</v>
      </c>
      <c r="G90" t="s">
        <v>347</v>
      </c>
      <c r="H90" t="s">
        <v>347</v>
      </c>
      <c r="I90" t="s">
        <v>347</v>
      </c>
      <c r="J90" t="s">
        <v>347</v>
      </c>
      <c r="K90" t="s">
        <v>347</v>
      </c>
    </row>
    <row r="91" spans="3:11" x14ac:dyDescent="0.2">
      <c r="C91">
        <v>91786</v>
      </c>
      <c r="D91">
        <v>1</v>
      </c>
      <c r="E91">
        <v>24385</v>
      </c>
      <c r="F91" t="s">
        <v>14</v>
      </c>
      <c r="G91" t="s">
        <v>346</v>
      </c>
      <c r="H91" t="s">
        <v>346</v>
      </c>
      <c r="I91" t="s">
        <v>346</v>
      </c>
      <c r="J91" t="s">
        <v>323</v>
      </c>
      <c r="K91" t="s">
        <v>323</v>
      </c>
    </row>
    <row r="92" spans="3:11" x14ac:dyDescent="0.2">
      <c r="C92">
        <v>91711</v>
      </c>
      <c r="D92">
        <v>1</v>
      </c>
      <c r="E92">
        <v>10108447</v>
      </c>
      <c r="F92" t="s">
        <v>14</v>
      </c>
      <c r="G92" t="s">
        <v>328</v>
      </c>
      <c r="H92" t="s">
        <v>322</v>
      </c>
      <c r="I92" t="s">
        <v>328</v>
      </c>
      <c r="J92" t="s">
        <v>323</v>
      </c>
      <c r="K92" t="s">
        <v>323</v>
      </c>
    </row>
    <row r="93" spans="3:11" x14ac:dyDescent="0.2">
      <c r="C93">
        <v>91711</v>
      </c>
      <c r="D93">
        <v>1</v>
      </c>
      <c r="E93">
        <v>10029721</v>
      </c>
      <c r="F93" t="s">
        <v>14</v>
      </c>
      <c r="G93" t="s">
        <v>346</v>
      </c>
      <c r="H93" t="s">
        <v>346</v>
      </c>
      <c r="I93" t="s">
        <v>346</v>
      </c>
      <c r="J93" t="s">
        <v>346</v>
      </c>
      <c r="K93" t="s">
        <v>346</v>
      </c>
    </row>
    <row r="94" spans="3:11" x14ac:dyDescent="0.2">
      <c r="C94">
        <v>91711</v>
      </c>
      <c r="D94">
        <v>1</v>
      </c>
      <c r="E94">
        <v>10128165</v>
      </c>
      <c r="F94" t="s">
        <v>14</v>
      </c>
      <c r="G94" t="s">
        <v>346</v>
      </c>
      <c r="H94" t="s">
        <v>346</v>
      </c>
      <c r="I94" t="s">
        <v>346</v>
      </c>
      <c r="J94" t="s">
        <v>322</v>
      </c>
      <c r="K94" t="s">
        <v>346</v>
      </c>
    </row>
    <row r="95" spans="3:11" x14ac:dyDescent="0.2">
      <c r="C95">
        <v>91711</v>
      </c>
      <c r="D95">
        <v>1</v>
      </c>
      <c r="E95">
        <v>10042175</v>
      </c>
      <c r="F95" t="s">
        <v>14</v>
      </c>
      <c r="G95" t="s">
        <v>322</v>
      </c>
      <c r="H95" t="s">
        <v>322</v>
      </c>
      <c r="I95" t="s">
        <v>322</v>
      </c>
      <c r="J95" t="s">
        <v>322</v>
      </c>
      <c r="K95" t="s">
        <v>322</v>
      </c>
    </row>
    <row r="96" spans="3:11" x14ac:dyDescent="0.2">
      <c r="C96">
        <v>91711</v>
      </c>
      <c r="D96">
        <v>1</v>
      </c>
      <c r="E96">
        <v>10271196</v>
      </c>
      <c r="F96" t="s">
        <v>14</v>
      </c>
      <c r="G96" t="s">
        <v>322</v>
      </c>
      <c r="H96" t="s">
        <v>322</v>
      </c>
      <c r="I96" t="s">
        <v>322</v>
      </c>
      <c r="J96" t="s">
        <v>322</v>
      </c>
      <c r="K96" t="s">
        <v>322</v>
      </c>
    </row>
    <row r="97" spans="3:11" x14ac:dyDescent="0.2">
      <c r="C97">
        <v>91711</v>
      </c>
      <c r="D97">
        <v>1</v>
      </c>
      <c r="E97">
        <v>10281423</v>
      </c>
      <c r="F97" t="s">
        <v>14</v>
      </c>
      <c r="G97" t="s">
        <v>322</v>
      </c>
      <c r="H97" t="s">
        <v>346</v>
      </c>
      <c r="I97" t="s">
        <v>322</v>
      </c>
      <c r="J97" t="s">
        <v>346</v>
      </c>
      <c r="K97" t="s">
        <v>346</v>
      </c>
    </row>
    <row r="98" spans="3:11" x14ac:dyDescent="0.2">
      <c r="C98">
        <v>91711</v>
      </c>
      <c r="D98">
        <v>1</v>
      </c>
      <c r="E98">
        <v>10030143</v>
      </c>
      <c r="F98" t="s">
        <v>14</v>
      </c>
      <c r="G98" t="s">
        <v>347</v>
      </c>
      <c r="H98" t="s">
        <v>347</v>
      </c>
      <c r="I98" t="s">
        <v>347</v>
      </c>
      <c r="J98" t="s">
        <v>347</v>
      </c>
      <c r="K98" t="s">
        <v>347</v>
      </c>
    </row>
    <row r="99" spans="3:11" x14ac:dyDescent="0.2">
      <c r="C99">
        <v>91711</v>
      </c>
      <c r="D99">
        <v>1</v>
      </c>
      <c r="E99">
        <v>10148564</v>
      </c>
      <c r="F99" t="s">
        <v>14</v>
      </c>
      <c r="G99" t="s">
        <v>346</v>
      </c>
      <c r="H99" t="s">
        <v>322</v>
      </c>
      <c r="I99" t="s">
        <v>346</v>
      </c>
      <c r="J99" t="s">
        <v>346</v>
      </c>
      <c r="K99" t="s">
        <v>322</v>
      </c>
    </row>
    <row r="100" spans="3:11" x14ac:dyDescent="0.2">
      <c r="C100">
        <v>91711</v>
      </c>
      <c r="D100">
        <v>1</v>
      </c>
      <c r="E100">
        <v>10196894</v>
      </c>
      <c r="F100" t="s">
        <v>14</v>
      </c>
      <c r="G100" t="s">
        <v>346</v>
      </c>
      <c r="H100" t="s">
        <v>159</v>
      </c>
      <c r="I100" t="s">
        <v>346</v>
      </c>
      <c r="J100" t="s">
        <v>346</v>
      </c>
      <c r="K100" t="s">
        <v>346</v>
      </c>
    </row>
    <row r="101" spans="3:11" x14ac:dyDescent="0.2">
      <c r="C101">
        <v>91711</v>
      </c>
      <c r="D101">
        <v>1</v>
      </c>
      <c r="E101">
        <v>10364499</v>
      </c>
      <c r="F101" t="s">
        <v>14</v>
      </c>
      <c r="G101" t="s">
        <v>346</v>
      </c>
      <c r="H101" t="s">
        <v>346</v>
      </c>
      <c r="I101" t="s">
        <v>346</v>
      </c>
      <c r="J101" t="s">
        <v>346</v>
      </c>
      <c r="K101" t="s">
        <v>346</v>
      </c>
    </row>
    <row r="102" spans="3:11" x14ac:dyDescent="0.2">
      <c r="C102">
        <v>91711</v>
      </c>
      <c r="D102">
        <v>1</v>
      </c>
      <c r="E102">
        <v>10041967</v>
      </c>
      <c r="F102" t="s">
        <v>14</v>
      </c>
      <c r="G102" t="s">
        <v>323</v>
      </c>
      <c r="H102" t="s">
        <v>346</v>
      </c>
      <c r="I102" t="s">
        <v>326</v>
      </c>
      <c r="J102" t="s">
        <v>326</v>
      </c>
      <c r="K102" t="s">
        <v>326</v>
      </c>
    </row>
    <row r="103" spans="3:11" x14ac:dyDescent="0.2">
      <c r="C103">
        <v>91786</v>
      </c>
      <c r="D103">
        <v>1</v>
      </c>
      <c r="E103">
        <v>10000076</v>
      </c>
      <c r="F103" t="s">
        <v>14</v>
      </c>
      <c r="G103" t="s">
        <v>322</v>
      </c>
      <c r="H103" t="s">
        <v>322</v>
      </c>
      <c r="I103" t="s">
        <v>322</v>
      </c>
      <c r="J103" t="s">
        <v>322</v>
      </c>
      <c r="K103" t="s">
        <v>322</v>
      </c>
    </row>
    <row r="104" spans="3:11" x14ac:dyDescent="0.2">
      <c r="C104">
        <v>91711</v>
      </c>
      <c r="D104">
        <v>1</v>
      </c>
      <c r="E104">
        <v>10196661</v>
      </c>
      <c r="F104" t="s">
        <v>14</v>
      </c>
      <c r="G104" t="s">
        <v>346</v>
      </c>
      <c r="H104" t="s">
        <v>346</v>
      </c>
      <c r="I104" t="s">
        <v>346</v>
      </c>
      <c r="J104" t="s">
        <v>346</v>
      </c>
      <c r="K104" t="s">
        <v>346</v>
      </c>
    </row>
    <row r="105" spans="3:11" x14ac:dyDescent="0.2">
      <c r="C105">
        <v>91711</v>
      </c>
      <c r="D105">
        <v>1</v>
      </c>
      <c r="E105">
        <v>10043270</v>
      </c>
      <c r="F105" t="s">
        <v>14</v>
      </c>
      <c r="G105" t="s">
        <v>347</v>
      </c>
      <c r="H105" t="s">
        <v>347</v>
      </c>
      <c r="I105" t="s">
        <v>347</v>
      </c>
      <c r="J105" t="s">
        <v>347</v>
      </c>
      <c r="K105" t="s">
        <v>347</v>
      </c>
    </row>
    <row r="106" spans="3:11" x14ac:dyDescent="0.2">
      <c r="C106">
        <v>91711</v>
      </c>
      <c r="D106">
        <v>1</v>
      </c>
      <c r="E106">
        <v>10257490</v>
      </c>
      <c r="F106" t="s">
        <v>14</v>
      </c>
      <c r="G106" t="s">
        <v>346</v>
      </c>
      <c r="H106" t="s">
        <v>346</v>
      </c>
      <c r="I106" t="s">
        <v>347</v>
      </c>
      <c r="J106" t="s">
        <v>347</v>
      </c>
      <c r="K106" t="s">
        <v>347</v>
      </c>
    </row>
    <row r="107" spans="3:11" x14ac:dyDescent="0.2">
      <c r="C107">
        <v>91711</v>
      </c>
      <c r="D107">
        <v>1</v>
      </c>
      <c r="E107">
        <v>10022994</v>
      </c>
      <c r="F107" t="s">
        <v>14</v>
      </c>
      <c r="G107" t="s">
        <v>159</v>
      </c>
      <c r="H107" t="s">
        <v>347</v>
      </c>
      <c r="I107" t="s">
        <v>159</v>
      </c>
      <c r="J107" t="s">
        <v>323</v>
      </c>
      <c r="K107" t="s">
        <v>323</v>
      </c>
    </row>
    <row r="108" spans="3:11" x14ac:dyDescent="0.2">
      <c r="C108">
        <v>91711</v>
      </c>
      <c r="D108">
        <v>1</v>
      </c>
      <c r="E108">
        <v>10042771</v>
      </c>
      <c r="F108" t="s">
        <v>14</v>
      </c>
      <c r="G108" t="s">
        <v>346</v>
      </c>
      <c r="H108" t="s">
        <v>322</v>
      </c>
      <c r="I108" t="s">
        <v>322</v>
      </c>
      <c r="J108" t="s">
        <v>323</v>
      </c>
      <c r="K108" t="s">
        <v>323</v>
      </c>
    </row>
    <row r="109" spans="3:11" x14ac:dyDescent="0.2">
      <c r="C109">
        <v>91711</v>
      </c>
      <c r="D109">
        <v>1</v>
      </c>
      <c r="E109">
        <v>10039096</v>
      </c>
      <c r="F109" t="s">
        <v>14</v>
      </c>
      <c r="G109" t="s">
        <v>346</v>
      </c>
      <c r="H109" t="s">
        <v>346</v>
      </c>
      <c r="I109" t="s">
        <v>346</v>
      </c>
      <c r="J109" t="s">
        <v>346</v>
      </c>
      <c r="K109" t="s">
        <v>346</v>
      </c>
    </row>
    <row r="110" spans="3:11" x14ac:dyDescent="0.2">
      <c r="C110">
        <v>91711</v>
      </c>
      <c r="D110">
        <v>1</v>
      </c>
      <c r="E110">
        <v>10361504</v>
      </c>
      <c r="F110" t="s">
        <v>14</v>
      </c>
      <c r="G110" t="s">
        <v>159</v>
      </c>
      <c r="H110" t="s">
        <v>159</v>
      </c>
      <c r="I110" t="s">
        <v>159</v>
      </c>
      <c r="J110" t="s">
        <v>159</v>
      </c>
      <c r="K110" t="s">
        <v>159</v>
      </c>
    </row>
    <row r="111" spans="3:11" x14ac:dyDescent="0.2">
      <c r="C111">
        <v>91711</v>
      </c>
      <c r="D111">
        <v>1</v>
      </c>
      <c r="E111">
        <v>100225501</v>
      </c>
      <c r="F111" t="s">
        <v>14</v>
      </c>
      <c r="G111" t="s">
        <v>322</v>
      </c>
      <c r="H111" t="s">
        <v>322</v>
      </c>
      <c r="I111" t="s">
        <v>322</v>
      </c>
      <c r="J111" t="s">
        <v>346</v>
      </c>
      <c r="K111" t="s">
        <v>159</v>
      </c>
    </row>
    <row r="112" spans="3:11" x14ac:dyDescent="0.2">
      <c r="C112">
        <v>91711</v>
      </c>
      <c r="D112">
        <v>1</v>
      </c>
      <c r="E112">
        <v>10197342</v>
      </c>
      <c r="F112" t="s">
        <v>14</v>
      </c>
      <c r="G112" t="s">
        <v>328</v>
      </c>
      <c r="H112" t="s">
        <v>328</v>
      </c>
      <c r="I112" t="s">
        <v>328</v>
      </c>
      <c r="J112" t="s">
        <v>328</v>
      </c>
      <c r="K112" t="s">
        <v>328</v>
      </c>
    </row>
    <row r="113" spans="3:11" x14ac:dyDescent="0.2">
      <c r="C113">
        <v>91711</v>
      </c>
      <c r="D113">
        <v>1</v>
      </c>
      <c r="E113">
        <v>10120163</v>
      </c>
      <c r="F113" t="s">
        <v>14</v>
      </c>
      <c r="G113" t="s">
        <v>347</v>
      </c>
      <c r="H113" t="s">
        <v>322</v>
      </c>
      <c r="I113" t="s">
        <v>323</v>
      </c>
      <c r="J113" t="s">
        <v>323</v>
      </c>
      <c r="K113" t="s">
        <v>323</v>
      </c>
    </row>
    <row r="114" spans="3:11" x14ac:dyDescent="0.2">
      <c r="C114">
        <v>91711</v>
      </c>
      <c r="D114">
        <v>1</v>
      </c>
      <c r="E114">
        <v>10179615</v>
      </c>
      <c r="F114" t="s">
        <v>14</v>
      </c>
      <c r="G114" t="s">
        <v>323</v>
      </c>
      <c r="H114" t="s">
        <v>347</v>
      </c>
      <c r="I114" t="s">
        <v>347</v>
      </c>
      <c r="J114" t="s">
        <v>347</v>
      </c>
      <c r="K114" t="s">
        <v>347</v>
      </c>
    </row>
    <row r="115" spans="3:11" x14ac:dyDescent="0.2">
      <c r="C115">
        <v>91711</v>
      </c>
      <c r="D115">
        <v>1</v>
      </c>
      <c r="E115">
        <v>10144059</v>
      </c>
      <c r="F115" t="s">
        <v>14</v>
      </c>
      <c r="G115" t="s">
        <v>323</v>
      </c>
      <c r="H115" t="s">
        <v>346</v>
      </c>
      <c r="I115" t="s">
        <v>346</v>
      </c>
      <c r="J115" t="s">
        <v>322</v>
      </c>
      <c r="K115" t="s">
        <v>346</v>
      </c>
    </row>
    <row r="116" spans="3:11" x14ac:dyDescent="0.2">
      <c r="C116">
        <v>91711</v>
      </c>
      <c r="D116">
        <v>1</v>
      </c>
      <c r="E116">
        <v>10040539</v>
      </c>
      <c r="F116" t="s">
        <v>14</v>
      </c>
      <c r="G116" t="s">
        <v>346</v>
      </c>
      <c r="H116" t="s">
        <v>346</v>
      </c>
      <c r="I116" t="s">
        <v>346</v>
      </c>
      <c r="J116" t="s">
        <v>346</v>
      </c>
      <c r="K116" t="s">
        <v>346</v>
      </c>
    </row>
    <row r="117" spans="3:11" x14ac:dyDescent="0.2">
      <c r="C117">
        <v>91711</v>
      </c>
      <c r="D117">
        <v>1</v>
      </c>
      <c r="E117">
        <v>10004174</v>
      </c>
      <c r="F117" t="s">
        <v>14</v>
      </c>
      <c r="G117" t="s">
        <v>159</v>
      </c>
      <c r="H117" t="s">
        <v>322</v>
      </c>
      <c r="I117" t="s">
        <v>159</v>
      </c>
      <c r="J117" t="s">
        <v>322</v>
      </c>
      <c r="K117" t="s">
        <v>322</v>
      </c>
    </row>
    <row r="118" spans="3:11" x14ac:dyDescent="0.2">
      <c r="C118">
        <v>91711</v>
      </c>
      <c r="D118">
        <v>1</v>
      </c>
      <c r="E118">
        <v>10042972</v>
      </c>
      <c r="F118" t="s">
        <v>14</v>
      </c>
      <c r="G118" t="s">
        <v>322</v>
      </c>
      <c r="H118" t="s">
        <v>159</v>
      </c>
      <c r="I118" t="s">
        <v>322</v>
      </c>
      <c r="J118" t="s">
        <v>159</v>
      </c>
      <c r="K118" t="s">
        <v>159</v>
      </c>
    </row>
    <row r="119" spans="3:11" x14ac:dyDescent="0.2">
      <c r="C119">
        <v>91711</v>
      </c>
      <c r="D119">
        <v>1</v>
      </c>
      <c r="E119">
        <v>10352729</v>
      </c>
      <c r="F119" t="s">
        <v>14</v>
      </c>
      <c r="G119" t="s">
        <v>323</v>
      </c>
      <c r="H119" t="s">
        <v>323</v>
      </c>
      <c r="I119" t="s">
        <v>323</v>
      </c>
      <c r="J119" t="s">
        <v>323</v>
      </c>
      <c r="K119" t="s">
        <v>323</v>
      </c>
    </row>
    <row r="120" spans="3:11" x14ac:dyDescent="0.2">
      <c r="C120">
        <v>91711</v>
      </c>
      <c r="D120">
        <v>1</v>
      </c>
      <c r="E120">
        <v>10180318</v>
      </c>
      <c r="F120" t="s">
        <v>14</v>
      </c>
      <c r="G120" t="s">
        <v>322</v>
      </c>
      <c r="H120" t="s">
        <v>322</v>
      </c>
      <c r="I120" t="s">
        <v>322</v>
      </c>
      <c r="J120" t="s">
        <v>322</v>
      </c>
      <c r="K120" t="s">
        <v>322</v>
      </c>
    </row>
    <row r="121" spans="3:11" x14ac:dyDescent="0.2">
      <c r="C121">
        <v>91711</v>
      </c>
      <c r="D121">
        <v>1</v>
      </c>
      <c r="E121">
        <v>10087224</v>
      </c>
      <c r="F121" t="s">
        <v>14</v>
      </c>
      <c r="G121" t="s">
        <v>346</v>
      </c>
      <c r="H121" t="s">
        <v>346</v>
      </c>
      <c r="I121" t="s">
        <v>346</v>
      </c>
      <c r="J121" t="s">
        <v>346</v>
      </c>
      <c r="K121" t="s">
        <v>326</v>
      </c>
    </row>
    <row r="122" spans="3:11" x14ac:dyDescent="0.2">
      <c r="C122">
        <v>91711</v>
      </c>
      <c r="D122">
        <v>1</v>
      </c>
      <c r="E122">
        <v>10361280</v>
      </c>
      <c r="F122" t="s">
        <v>14</v>
      </c>
      <c r="G122" t="s">
        <v>346</v>
      </c>
      <c r="H122" t="s">
        <v>346</v>
      </c>
      <c r="I122" t="s">
        <v>346</v>
      </c>
      <c r="J122" t="s">
        <v>347</v>
      </c>
      <c r="K122" t="s">
        <v>347</v>
      </c>
    </row>
    <row r="123" spans="3:11" x14ac:dyDescent="0.2">
      <c r="C123">
        <v>91711</v>
      </c>
      <c r="D123">
        <v>1</v>
      </c>
      <c r="E123">
        <v>10043074</v>
      </c>
      <c r="F123" t="s">
        <v>14</v>
      </c>
      <c r="G123" t="s">
        <v>323</v>
      </c>
      <c r="H123" t="s">
        <v>323</v>
      </c>
      <c r="I123" t="s">
        <v>323</v>
      </c>
      <c r="J123" t="s">
        <v>323</v>
      </c>
      <c r="K123" t="s">
        <v>323</v>
      </c>
    </row>
    <row r="124" spans="3:11" x14ac:dyDescent="0.2">
      <c r="C124">
        <v>91711</v>
      </c>
      <c r="D124">
        <v>1</v>
      </c>
      <c r="E124">
        <v>10354740</v>
      </c>
      <c r="F124" t="s">
        <v>14</v>
      </c>
      <c r="G124" t="s">
        <v>323</v>
      </c>
      <c r="H124" t="s">
        <v>322</v>
      </c>
      <c r="I124" t="s">
        <v>323</v>
      </c>
      <c r="J124" t="s">
        <v>322</v>
      </c>
      <c r="K124" t="s">
        <v>323</v>
      </c>
    </row>
    <row r="125" spans="3:11" x14ac:dyDescent="0.2">
      <c r="C125">
        <v>91711</v>
      </c>
      <c r="D125">
        <v>1</v>
      </c>
      <c r="E125">
        <v>10316875</v>
      </c>
      <c r="F125" t="s">
        <v>14</v>
      </c>
      <c r="G125" t="s">
        <v>323</v>
      </c>
      <c r="H125" t="s">
        <v>322</v>
      </c>
      <c r="I125" t="s">
        <v>322</v>
      </c>
      <c r="J125" t="s">
        <v>322</v>
      </c>
      <c r="K125" t="s">
        <v>323</v>
      </c>
    </row>
    <row r="126" spans="3:11" x14ac:dyDescent="0.2">
      <c r="C126">
        <v>91711</v>
      </c>
      <c r="D126">
        <v>1</v>
      </c>
      <c r="E126">
        <v>103614901</v>
      </c>
      <c r="F126" t="s">
        <v>14</v>
      </c>
      <c r="G126" t="s">
        <v>322</v>
      </c>
      <c r="H126" t="s">
        <v>159</v>
      </c>
      <c r="I126" t="s">
        <v>159</v>
      </c>
      <c r="J126" t="s">
        <v>159</v>
      </c>
      <c r="K126" t="s">
        <v>322</v>
      </c>
    </row>
    <row r="127" spans="3:11" x14ac:dyDescent="0.2">
      <c r="C127">
        <v>91711</v>
      </c>
      <c r="D127">
        <v>1</v>
      </c>
      <c r="E127">
        <v>10042428</v>
      </c>
      <c r="F127" t="s">
        <v>14</v>
      </c>
      <c r="G127" t="s">
        <v>346</v>
      </c>
      <c r="H127" t="s">
        <v>346</v>
      </c>
      <c r="I127" t="s">
        <v>346</v>
      </c>
      <c r="J127" t="s">
        <v>346</v>
      </c>
      <c r="K127" t="s">
        <v>346</v>
      </c>
    </row>
    <row r="128" spans="3:11" x14ac:dyDescent="0.2">
      <c r="C128">
        <v>91711</v>
      </c>
      <c r="D128">
        <v>1</v>
      </c>
      <c r="E128">
        <v>10291214</v>
      </c>
      <c r="F128" t="s">
        <v>14</v>
      </c>
      <c r="G128" t="s">
        <v>323</v>
      </c>
      <c r="H128" t="s">
        <v>322</v>
      </c>
      <c r="I128" t="s">
        <v>323</v>
      </c>
      <c r="J128" t="s">
        <v>322</v>
      </c>
      <c r="K128" t="s">
        <v>323</v>
      </c>
    </row>
    <row r="129" spans="3:11" x14ac:dyDescent="0.2">
      <c r="C129">
        <v>91711</v>
      </c>
      <c r="D129">
        <v>1</v>
      </c>
      <c r="E129">
        <v>10156943</v>
      </c>
      <c r="F129" t="s">
        <v>14</v>
      </c>
      <c r="G129" t="s">
        <v>323</v>
      </c>
      <c r="H129" t="s">
        <v>323</v>
      </c>
      <c r="I129" t="s">
        <v>323</v>
      </c>
      <c r="J129" t="s">
        <v>323</v>
      </c>
      <c r="K129" t="s">
        <v>323</v>
      </c>
    </row>
    <row r="130" spans="3:11" x14ac:dyDescent="0.2">
      <c r="C130">
        <v>91711</v>
      </c>
      <c r="D130">
        <v>1</v>
      </c>
      <c r="E130">
        <v>10357665</v>
      </c>
      <c r="F130" t="s">
        <v>14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</row>
    <row r="131" spans="3:11" x14ac:dyDescent="0.2">
      <c r="C131">
        <v>91711</v>
      </c>
      <c r="D131">
        <v>1</v>
      </c>
      <c r="E131">
        <v>10013538</v>
      </c>
      <c r="F131" t="s">
        <v>14</v>
      </c>
      <c r="G131" t="s">
        <v>322</v>
      </c>
      <c r="H131" t="s">
        <v>322</v>
      </c>
      <c r="I131" t="s">
        <v>322</v>
      </c>
      <c r="J131" t="s">
        <v>322</v>
      </c>
      <c r="K131" t="s">
        <v>322</v>
      </c>
    </row>
    <row r="132" spans="3:11" x14ac:dyDescent="0.2">
      <c r="C132">
        <v>91711</v>
      </c>
      <c r="D132">
        <v>1</v>
      </c>
      <c r="E132">
        <v>10180209</v>
      </c>
      <c r="F132" t="s">
        <v>14</v>
      </c>
      <c r="G132" t="s">
        <v>322</v>
      </c>
      <c r="H132" t="s">
        <v>322</v>
      </c>
      <c r="I132" t="s">
        <v>322</v>
      </c>
      <c r="J132" t="s">
        <v>322</v>
      </c>
      <c r="K132" t="s">
        <v>322</v>
      </c>
    </row>
    <row r="133" spans="3:11" x14ac:dyDescent="0.2">
      <c r="C133">
        <v>22314</v>
      </c>
      <c r="D133">
        <v>0</v>
      </c>
      <c r="E133">
        <v>10314442</v>
      </c>
      <c r="F133" t="s">
        <v>14</v>
      </c>
      <c r="G133" t="s">
        <v>159</v>
      </c>
      <c r="H133" t="s">
        <v>159</v>
      </c>
      <c r="I133" t="s">
        <v>159</v>
      </c>
      <c r="J133" t="s">
        <v>159</v>
      </c>
      <c r="K133" t="s">
        <v>159</v>
      </c>
    </row>
    <row r="134" spans="3:11" x14ac:dyDescent="0.2">
      <c r="C134">
        <v>91711</v>
      </c>
      <c r="D134">
        <v>0</v>
      </c>
      <c r="E134">
        <v>10156964</v>
      </c>
      <c r="F134" t="s">
        <v>14</v>
      </c>
      <c r="G134" t="s">
        <v>157</v>
      </c>
      <c r="H134" t="s">
        <v>157</v>
      </c>
      <c r="I134" t="s">
        <v>157</v>
      </c>
      <c r="J134" t="s">
        <v>157</v>
      </c>
      <c r="K134" t="s">
        <v>157</v>
      </c>
    </row>
    <row r="135" spans="3:11" x14ac:dyDescent="0.2">
      <c r="C135">
        <v>91711</v>
      </c>
      <c r="D135">
        <v>0</v>
      </c>
      <c r="E135">
        <v>10154134</v>
      </c>
      <c r="F135" t="s">
        <v>14</v>
      </c>
      <c r="G135" t="s">
        <v>346</v>
      </c>
      <c r="H135" t="s">
        <v>346</v>
      </c>
      <c r="I135" t="s">
        <v>346</v>
      </c>
      <c r="J135" t="s">
        <v>346</v>
      </c>
      <c r="K135" t="s">
        <v>346</v>
      </c>
    </row>
    <row r="136" spans="3:11" x14ac:dyDescent="0.2">
      <c r="E136">
        <v>10354850</v>
      </c>
    </row>
  </sheetData>
  <mergeCells count="10">
    <mergeCell ref="O18:P18"/>
    <mergeCell ref="O19:P19"/>
    <mergeCell ref="O20:P20"/>
    <mergeCell ref="O21:P21"/>
    <mergeCell ref="O12:Q12"/>
    <mergeCell ref="O13:P13"/>
    <mergeCell ref="O14:P14"/>
    <mergeCell ref="O15:P15"/>
    <mergeCell ref="O16:P16"/>
    <mergeCell ref="O17:P1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B984-EF26-4E43-8075-93F167423CE4}">
  <dimension ref="A1:X86"/>
  <sheetViews>
    <sheetView workbookViewId="0">
      <selection activeCell="A2" sqref="A2:B91"/>
    </sheetView>
  </sheetViews>
  <sheetFormatPr baseColWidth="10" defaultColWidth="8.83203125" defaultRowHeight="15" x14ac:dyDescent="0.2"/>
  <cols>
    <col min="1" max="1" width="14.33203125" bestFit="1" customWidth="1"/>
    <col min="2" max="2" width="12.5" bestFit="1" customWidth="1"/>
    <col min="3" max="4" width="11.5" bestFit="1" customWidth="1"/>
    <col min="5" max="5" width="14.33203125" customWidth="1"/>
    <col min="6" max="6" width="12.5" bestFit="1" customWidth="1"/>
    <col min="7" max="7" width="25.1640625" bestFit="1" customWidth="1"/>
    <col min="8" max="10" width="34.1640625" bestFit="1" customWidth="1"/>
    <col min="11" max="11" width="25.1640625" bestFit="1" customWidth="1"/>
    <col min="12" max="12" width="12.83203125" customWidth="1"/>
    <col min="13" max="13" width="36.6640625" customWidth="1"/>
    <col min="14" max="14" width="13.5" customWidth="1"/>
    <col min="15" max="16" width="14.33203125" customWidth="1"/>
    <col min="17" max="17" width="15.5" customWidth="1"/>
    <col min="18" max="18" width="16" customWidth="1"/>
    <col min="21" max="21" width="16.5" customWidth="1"/>
    <col min="24" max="24" width="16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321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67" t="s">
        <v>11</v>
      </c>
      <c r="N1" s="68"/>
      <c r="O1" s="68"/>
      <c r="P1" s="68"/>
      <c r="Q1" s="68"/>
      <c r="R1" s="68"/>
      <c r="S1" s="68"/>
      <c r="T1" s="68"/>
      <c r="U1" s="68"/>
      <c r="V1" s="68"/>
      <c r="W1" s="69"/>
    </row>
    <row r="2" spans="1:24" x14ac:dyDescent="0.2">
      <c r="C2">
        <v>95014</v>
      </c>
      <c r="D2">
        <v>350</v>
      </c>
      <c r="E2">
        <v>10138018</v>
      </c>
      <c r="F2" t="s">
        <v>14</v>
      </c>
      <c r="G2" t="s">
        <v>323</v>
      </c>
      <c r="H2" t="s">
        <v>323</v>
      </c>
      <c r="I2" t="s">
        <v>323</v>
      </c>
      <c r="J2" t="s">
        <v>323</v>
      </c>
      <c r="K2" t="s">
        <v>323</v>
      </c>
      <c r="M2" s="2"/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3" t="s">
        <v>24</v>
      </c>
      <c r="W2" s="4" t="s">
        <v>25</v>
      </c>
    </row>
    <row r="3" spans="1:24" x14ac:dyDescent="0.2">
      <c r="C3">
        <v>93117</v>
      </c>
      <c r="D3">
        <v>130</v>
      </c>
      <c r="E3">
        <v>112932</v>
      </c>
      <c r="F3" t="s">
        <v>14</v>
      </c>
      <c r="G3" t="s">
        <v>323</v>
      </c>
      <c r="H3" t="s">
        <v>323</v>
      </c>
      <c r="I3" t="s">
        <v>323</v>
      </c>
      <c r="J3" t="s">
        <v>323</v>
      </c>
      <c r="K3" t="s">
        <v>323</v>
      </c>
      <c r="M3" s="5" t="s">
        <v>29</v>
      </c>
      <c r="N3" s="6" cm="1">
        <f t="array" ref="N3">SUM(COUNTIF($G:$K,{"A.*","B.*"}))/W10</f>
        <v>0.11140583554376658</v>
      </c>
      <c r="O3" s="7">
        <f>COUNTIF($G:$K,"T.*")/W10</f>
        <v>6.1007957559681698E-2</v>
      </c>
      <c r="P3" s="7" cm="1">
        <f t="array" ref="P3">SUM(COUNTIF($G:$K,{"C.*","D.*","E.*","F.*","G.*","H.*","I.*","J.*","K.*","L.*","M.*","N.*","O.*","P.*"})/$W$10)</f>
        <v>1.3262599469496022E-2</v>
      </c>
      <c r="Q3" s="7">
        <f>COUNTIF($G:$K,"R.*")/$W$10</f>
        <v>0</v>
      </c>
      <c r="R3" s="7">
        <f>COUNTIF($G:$K,"U.*")/$W$10</f>
        <v>7.9575596816976128E-3</v>
      </c>
      <c r="S3" s="7">
        <v>0</v>
      </c>
      <c r="T3" s="7">
        <f>COUNTIF($G:$K,"Q.*")/$W$10</f>
        <v>0</v>
      </c>
      <c r="U3" s="7">
        <f>COUNTIF($G:$K,"V.*")/$W$10</f>
        <v>0.75066312997347484</v>
      </c>
      <c r="V3" s="7">
        <f>COUNTIF($G:$K,"S.*")/$W$10</f>
        <v>5.5702917771883291E-2</v>
      </c>
      <c r="W3" s="7">
        <f>SUM(N3:V3)</f>
        <v>1</v>
      </c>
    </row>
    <row r="4" spans="1:24" ht="16" x14ac:dyDescent="0.2">
      <c r="C4">
        <v>91711</v>
      </c>
      <c r="D4">
        <v>48</v>
      </c>
      <c r="E4">
        <v>10018386</v>
      </c>
      <c r="F4" t="s">
        <v>14</v>
      </c>
      <c r="G4" t="s">
        <v>323</v>
      </c>
      <c r="H4" t="s">
        <v>323</v>
      </c>
      <c r="I4" t="s">
        <v>323</v>
      </c>
      <c r="J4" t="s">
        <v>323</v>
      </c>
      <c r="K4" t="s">
        <v>323</v>
      </c>
      <c r="M4" s="9" t="s">
        <v>33</v>
      </c>
      <c r="N4" s="10" cm="1">
        <f t="array" ref="N4">SUM(_xlfn.BYCOL(G:K,_xlfn.LAMBDA(_xlpm.col,SUMIF(_xlpm.col,"A.*",D:D)+SUMIF(_xlpm.col,"B.*",D:D))))/N10</f>
        <v>8.8333333333333339</v>
      </c>
      <c r="O4" s="11" cm="1">
        <f t="array" ref="O4">SUM(_xlfn.BYCOL(G:K,_xlfn.LAMBDA(_xlpm.col,SUMIF(_xlpm.col,"T.*",D:D))))/O10</f>
        <v>1.5217391304347827</v>
      </c>
      <c r="P4" s="12" cm="1">
        <f t="array" ref="P4">SUM(_xlfn.BYCOL($G:$K,_xlfn.LAMBDA(_xlpm.col,SUMIF(_xlpm.col,"C.*",D:D)+SUMIF(_xlpm.col,"D.*",D:D)+SUMIF(_xlpm.col,"E.*",D:D)+SUMIF(_xlpm.col,"F.*",D:D)+SUMIF(_xlpm.col,"G.*",D:D)+SUMIF(_xlpm.col,"H.*",D:D)+SUMIF(_xlpm.col,"I.*",D:D)+SUMIF(_xlpm.col,"J.*",D:D)+SUMIF(_xlpm.col,"K.*",D:D)+SUMIF(_xlpm.col,"L.*",D:D)+SUMIF(_xlpm.col,"M.*",D:D)+SUMIF(_xlpm.col,"N.*",D:D)+SUMIF(_xlpm.col,"O.*",D:D)+SUMIF(_xlpm.col,"P.*",D:D))))/$P10</f>
        <v>20</v>
      </c>
      <c r="Q4" s="12"/>
      <c r="R4" s="12" cm="1">
        <f t="array" ref="R4">SUM(_xlfn.BYCOL(G:K,_xlfn.LAMBDA(_xlpm.col,SUMIF(_xlpm.col,"U.*",D:D))))/R10</f>
        <v>4</v>
      </c>
      <c r="S4" s="12"/>
      <c r="T4" s="12"/>
      <c r="U4" s="12"/>
      <c r="V4" s="12" cm="1">
        <f t="array" ref="V4">SUM(_xlfn.BYCOL(G:K,_xlfn.LAMBDA(_xlpm.col,SUMIF(_xlpm.col,"S.*",D:D))))/V10</f>
        <v>1</v>
      </c>
      <c r="W4" s="10">
        <f>AVERAGE(N4:V4)</f>
        <v>7.0710144927536236</v>
      </c>
    </row>
    <row r="5" spans="1:24" x14ac:dyDescent="0.2">
      <c r="C5">
        <v>92610</v>
      </c>
      <c r="D5">
        <v>40</v>
      </c>
      <c r="E5">
        <v>10004334</v>
      </c>
      <c r="F5" t="s">
        <v>14</v>
      </c>
      <c r="G5" t="s">
        <v>323</v>
      </c>
      <c r="H5" t="s">
        <v>323</v>
      </c>
      <c r="I5" t="s">
        <v>323</v>
      </c>
      <c r="J5" t="s">
        <v>323</v>
      </c>
      <c r="K5" t="s">
        <v>323</v>
      </c>
      <c r="M5" s="33" t="s">
        <v>38</v>
      </c>
      <c r="N5" s="33"/>
      <c r="O5" s="33"/>
      <c r="P5" s="13" cm="1">
        <f t="array" ref="P5">SUM(_xlfn.BYCOL($G:$K,_xlfn.LAMBDA(_xlpm.col,SUMIF(_xlpm.col,"C.*",D:D)*2+SUMIF(_xlpm.col,"D.*",D:D)*3+SUMIF(_xlpm.col,"E.*",D:D)*4+SUMIF(_xlpm.col,"F.*",D:D)*5+SUMIF(_xlpm.col,"G.*",D:D)*6+SUMIF(_xlpm.col,"H.*",D:D)*7+SUMIF(_xlpm.col,"I.*",D:D)*8+SUMIF(_xlpm.col,"J.*",D:D)*9+SUMIF(_xlpm.col,"K.*",D:D)*10+SUMIF(_xlpm.col,"L.*",D:D)*11+SUMIF(_xlpm.col,"M.*",D:D)*12+SUMIF(_xlpm.col,"N.*",D:D)*13+SUMIF(_xlpm.col,"O.*",D:D)*14+SUMIF(_xlpm.col,"P.*",D:D)*15)))/$P10</f>
        <v>40</v>
      </c>
      <c r="Q5" s="33"/>
      <c r="R5" s="33"/>
      <c r="S5" s="33"/>
      <c r="T5" s="33"/>
      <c r="U5" s="33"/>
      <c r="V5" s="33"/>
      <c r="W5" s="33"/>
    </row>
    <row r="6" spans="1:24" x14ac:dyDescent="0.2">
      <c r="C6">
        <v>90808</v>
      </c>
      <c r="D6">
        <v>40</v>
      </c>
      <c r="E6">
        <v>10186413</v>
      </c>
      <c r="F6" t="s">
        <v>14</v>
      </c>
      <c r="G6" t="s">
        <v>323</v>
      </c>
      <c r="H6" t="s">
        <v>323</v>
      </c>
      <c r="I6" t="s">
        <v>323</v>
      </c>
      <c r="J6" t="s">
        <v>323</v>
      </c>
      <c r="K6" t="s">
        <v>323</v>
      </c>
      <c r="M6" s="14" t="s">
        <v>41</v>
      </c>
      <c r="N6" s="14"/>
      <c r="O6" s="14"/>
      <c r="P6" s="15">
        <f>P5/P4</f>
        <v>2</v>
      </c>
      <c r="Q6" s="14"/>
      <c r="R6" s="14"/>
      <c r="S6" s="14"/>
      <c r="T6" s="14"/>
      <c r="U6" s="14"/>
      <c r="V6" s="14"/>
      <c r="W6" s="14"/>
    </row>
    <row r="7" spans="1:24" x14ac:dyDescent="0.2">
      <c r="C7">
        <v>92620</v>
      </c>
      <c r="D7">
        <v>37</v>
      </c>
      <c r="E7">
        <v>10233155</v>
      </c>
      <c r="F7" t="s">
        <v>14</v>
      </c>
      <c r="G7" t="s">
        <v>323</v>
      </c>
      <c r="H7" t="s">
        <v>323</v>
      </c>
      <c r="I7" t="s">
        <v>323</v>
      </c>
      <c r="J7" t="s">
        <v>323</v>
      </c>
      <c r="K7" t="s">
        <v>159</v>
      </c>
      <c r="P7" s="16"/>
    </row>
    <row r="8" spans="1:24" x14ac:dyDescent="0.2">
      <c r="C8">
        <v>90031</v>
      </c>
      <c r="D8">
        <v>35</v>
      </c>
      <c r="E8">
        <v>10042125</v>
      </c>
      <c r="F8" t="s">
        <v>14</v>
      </c>
      <c r="G8" t="s">
        <v>323</v>
      </c>
      <c r="H8" t="s">
        <v>323</v>
      </c>
      <c r="I8" t="s">
        <v>323</v>
      </c>
      <c r="J8" t="s">
        <v>323</v>
      </c>
      <c r="K8" t="s">
        <v>323</v>
      </c>
      <c r="M8" s="59" t="s">
        <v>47</v>
      </c>
      <c r="N8" s="63"/>
      <c r="O8" s="63"/>
      <c r="P8" s="63"/>
      <c r="Q8" s="63"/>
      <c r="R8" s="63"/>
      <c r="S8" s="63"/>
      <c r="T8" s="63"/>
      <c r="U8" s="63"/>
      <c r="V8" s="63"/>
      <c r="W8" s="63"/>
      <c r="X8" s="60"/>
    </row>
    <row r="9" spans="1:24" x14ac:dyDescent="0.2">
      <c r="C9">
        <v>90065</v>
      </c>
      <c r="D9">
        <v>35</v>
      </c>
      <c r="E9">
        <v>10019737</v>
      </c>
      <c r="F9" t="s">
        <v>14</v>
      </c>
      <c r="G9" t="s">
        <v>323</v>
      </c>
      <c r="H9" t="s">
        <v>323</v>
      </c>
      <c r="I9" t="s">
        <v>323</v>
      </c>
      <c r="J9" t="s">
        <v>323</v>
      </c>
      <c r="K9" t="s">
        <v>323</v>
      </c>
      <c r="M9" s="19"/>
      <c r="N9" s="19" t="s">
        <v>16</v>
      </c>
      <c r="O9" s="19" t="s">
        <v>17</v>
      </c>
      <c r="P9" s="19" t="s">
        <v>18</v>
      </c>
      <c r="Q9" s="19" t="s">
        <v>19</v>
      </c>
      <c r="R9" s="19" t="s">
        <v>20</v>
      </c>
      <c r="S9" s="19" t="s">
        <v>21</v>
      </c>
      <c r="T9" s="19" t="s">
        <v>22</v>
      </c>
      <c r="U9" s="19" t="s">
        <v>23</v>
      </c>
      <c r="V9" s="19" t="s">
        <v>24</v>
      </c>
      <c r="W9" s="21" t="s">
        <v>25</v>
      </c>
      <c r="X9" s="19" t="s">
        <v>50</v>
      </c>
    </row>
    <row r="10" spans="1:24" x14ac:dyDescent="0.2">
      <c r="C10">
        <v>92373</v>
      </c>
      <c r="D10">
        <v>35</v>
      </c>
      <c r="E10">
        <v>10351442</v>
      </c>
      <c r="F10" t="s">
        <v>14</v>
      </c>
      <c r="G10" t="s">
        <v>159</v>
      </c>
      <c r="H10" t="s">
        <v>159</v>
      </c>
      <c r="I10" t="s">
        <v>159</v>
      </c>
      <c r="J10" t="s">
        <v>323</v>
      </c>
      <c r="K10" t="s">
        <v>323</v>
      </c>
      <c r="M10" s="17" t="s">
        <v>317</v>
      </c>
      <c r="N10" s="17" cm="1">
        <f t="array" ref="N10">SUM(COUNTIF($G:$K,{"A.*","B.*"}))</f>
        <v>42</v>
      </c>
      <c r="O10" s="17">
        <f>COUNTIF($G:$K,"T.*")</f>
        <v>23</v>
      </c>
      <c r="P10" s="17" cm="1">
        <f t="array" ref="P10">SUM(COUNTIF($G:$K,{"C.*","D.*","E.*","F.*","G.*","H.*","I.*","J.*","K.*","L.*","M.*","N.*","O.*","P.*"}))</f>
        <v>5</v>
      </c>
      <c r="Q10" s="34">
        <f>COUNTIF($G:$K,"R.*")</f>
        <v>0</v>
      </c>
      <c r="R10" s="17">
        <f>COUNTIF($G:$K,"U.*")</f>
        <v>3</v>
      </c>
      <c r="S10" s="17">
        <v>0</v>
      </c>
      <c r="T10" s="17">
        <f>COUNTIF($G:$K,"Q.*")</f>
        <v>0</v>
      </c>
      <c r="U10" s="17">
        <f>COUNTIF($G:$K,"V.*")</f>
        <v>283</v>
      </c>
      <c r="V10" s="17">
        <f>COUNTIF($G:$K,"S.*")</f>
        <v>21</v>
      </c>
      <c r="W10" s="35">
        <f>SUM(N10:V10)</f>
        <v>377</v>
      </c>
      <c r="X10" s="17">
        <f>COUNTIFS($G2:$K1000,"&lt;&gt;",$G2:$K1000,"&lt;&gt;OFF.*",$G2:$K1000,"&lt;&gt;AA.*",$G2:$K1000,"&lt;&gt;BB.*",$G2:$K1000,"&lt;&gt;W.*",$G2:$K1000,"&lt;&gt;X.*",$G2:$K1000,"&lt;&gt;CC.*")</f>
        <v>377</v>
      </c>
    </row>
    <row r="11" spans="1:24" x14ac:dyDescent="0.2">
      <c r="C11">
        <v>90065</v>
      </c>
      <c r="D11">
        <v>34</v>
      </c>
      <c r="E11">
        <v>10346762</v>
      </c>
      <c r="F11" t="s">
        <v>14</v>
      </c>
      <c r="G11" t="s">
        <v>323</v>
      </c>
      <c r="H11" t="s">
        <v>159</v>
      </c>
      <c r="I11" t="s">
        <v>159</v>
      </c>
      <c r="J11" t="s">
        <v>159</v>
      </c>
      <c r="K11" t="s">
        <v>323</v>
      </c>
    </row>
    <row r="12" spans="1:24" ht="16" x14ac:dyDescent="0.2">
      <c r="C12">
        <v>92374</v>
      </c>
      <c r="D12">
        <v>33</v>
      </c>
      <c r="E12">
        <v>10042877</v>
      </c>
      <c r="F12" t="s">
        <v>14</v>
      </c>
      <c r="G12" t="s">
        <v>323</v>
      </c>
      <c r="H12" t="s">
        <v>323</v>
      </c>
      <c r="I12" t="s">
        <v>323</v>
      </c>
      <c r="J12" t="s">
        <v>323</v>
      </c>
      <c r="K12" t="s">
        <v>323</v>
      </c>
      <c r="M12" s="22" t="s">
        <v>349</v>
      </c>
      <c r="O12" s="59" t="s">
        <v>58</v>
      </c>
      <c r="P12" s="63"/>
      <c r="Q12" s="60"/>
    </row>
    <row r="13" spans="1:24" ht="16" x14ac:dyDescent="0.2">
      <c r="C13">
        <v>91030</v>
      </c>
      <c r="D13">
        <v>30</v>
      </c>
      <c r="E13">
        <v>10.32394</v>
      </c>
      <c r="F13" t="s">
        <v>14</v>
      </c>
      <c r="G13" t="s">
        <v>323</v>
      </c>
      <c r="H13" t="s">
        <v>323</v>
      </c>
      <c r="I13" t="s">
        <v>323</v>
      </c>
      <c r="J13" t="s">
        <v>323</v>
      </c>
      <c r="K13" t="s">
        <v>323</v>
      </c>
      <c r="M13" s="36" t="s">
        <v>322</v>
      </c>
      <c r="O13" s="64" t="s">
        <v>63</v>
      </c>
      <c r="P13" s="64"/>
      <c r="Q13" s="19" t="e">
        <f>2*W10/COUNTIFS(A:A,"&lt;&gt;",A:A,"&lt;&gt;FirstName")</f>
        <v>#DIV/0!</v>
      </c>
    </row>
    <row r="14" spans="1:24" ht="16" x14ac:dyDescent="0.2">
      <c r="C14">
        <v>91030</v>
      </c>
      <c r="D14">
        <v>30</v>
      </c>
      <c r="E14">
        <v>10013666</v>
      </c>
      <c r="F14" t="s">
        <v>14</v>
      </c>
      <c r="G14" t="s">
        <v>322</v>
      </c>
      <c r="H14" t="s">
        <v>323</v>
      </c>
      <c r="I14" t="s">
        <v>323</v>
      </c>
      <c r="J14" t="s">
        <v>323</v>
      </c>
      <c r="K14" t="s">
        <v>322</v>
      </c>
      <c r="M14" s="36" t="s">
        <v>329</v>
      </c>
      <c r="O14" s="62" t="s">
        <v>67</v>
      </c>
      <c r="P14" s="62"/>
      <c r="Q14" s="17">
        <v>283</v>
      </c>
    </row>
    <row r="15" spans="1:24" ht="16" x14ac:dyDescent="0.2">
      <c r="C15">
        <v>91801</v>
      </c>
      <c r="D15">
        <v>30</v>
      </c>
      <c r="E15">
        <v>10175685</v>
      </c>
      <c r="F15" t="s">
        <v>14</v>
      </c>
      <c r="G15" t="s">
        <v>323</v>
      </c>
      <c r="H15" t="s">
        <v>323</v>
      </c>
      <c r="I15" t="s">
        <v>159</v>
      </c>
      <c r="J15" t="s">
        <v>323</v>
      </c>
      <c r="K15" t="s">
        <v>323</v>
      </c>
      <c r="M15" s="36" t="s">
        <v>328</v>
      </c>
      <c r="O15" s="65" t="s">
        <v>72</v>
      </c>
      <c r="P15" s="65"/>
      <c r="Q15" s="18">
        <f>COUNTIFS(A:A,"&lt;&gt;",A:A,"&lt;&gt;FirstName")</f>
        <v>0</v>
      </c>
    </row>
    <row r="16" spans="1:24" ht="16" x14ac:dyDescent="0.2">
      <c r="C16">
        <v>92833</v>
      </c>
      <c r="D16">
        <v>29</v>
      </c>
      <c r="E16">
        <v>10018364</v>
      </c>
      <c r="F16" t="s">
        <v>14</v>
      </c>
      <c r="G16" t="s">
        <v>323</v>
      </c>
      <c r="H16" t="s">
        <v>159</v>
      </c>
      <c r="I16" t="s">
        <v>323</v>
      </c>
      <c r="J16" t="s">
        <v>159</v>
      </c>
      <c r="K16" t="s">
        <v>159</v>
      </c>
      <c r="M16" s="36" t="s">
        <v>331</v>
      </c>
      <c r="O16" s="62" t="s">
        <v>76</v>
      </c>
      <c r="P16" s="59"/>
      <c r="Q16" s="27">
        <f>Q15/Q14</f>
        <v>0</v>
      </c>
    </row>
    <row r="17" spans="3:17" ht="16" x14ac:dyDescent="0.2">
      <c r="C17">
        <v>91101</v>
      </c>
      <c r="D17">
        <v>28</v>
      </c>
      <c r="E17">
        <v>10158952</v>
      </c>
      <c r="F17" t="s">
        <v>14</v>
      </c>
      <c r="G17" t="s">
        <v>159</v>
      </c>
      <c r="H17" t="s">
        <v>159</v>
      </c>
      <c r="I17" t="s">
        <v>323</v>
      </c>
      <c r="J17" t="s">
        <v>159</v>
      </c>
      <c r="K17" t="s">
        <v>323</v>
      </c>
      <c r="M17" s="36" t="s">
        <v>325</v>
      </c>
      <c r="O17" s="66" t="s">
        <v>80</v>
      </c>
      <c r="P17" s="66"/>
      <c r="Q17" s="28">
        <v>32</v>
      </c>
    </row>
    <row r="18" spans="3:17" ht="16" x14ac:dyDescent="0.2">
      <c r="C18">
        <v>91106</v>
      </c>
      <c r="D18">
        <v>26</v>
      </c>
      <c r="E18">
        <v>103634</v>
      </c>
      <c r="F18" t="s">
        <v>14</v>
      </c>
      <c r="G18" t="s">
        <v>323</v>
      </c>
      <c r="H18" t="s">
        <v>323</v>
      </c>
      <c r="I18" t="s">
        <v>323</v>
      </c>
      <c r="J18" t="s">
        <v>323</v>
      </c>
      <c r="K18" t="s">
        <v>323</v>
      </c>
      <c r="M18" s="36" t="s">
        <v>332</v>
      </c>
      <c r="O18" s="59" t="s">
        <v>85</v>
      </c>
      <c r="P18" s="60"/>
      <c r="Q18" s="17">
        <f>AVERAGE(D2:D1000)</f>
        <v>14.576470588235294</v>
      </c>
    </row>
    <row r="19" spans="3:17" ht="16" x14ac:dyDescent="0.2">
      <c r="C19">
        <v>91104</v>
      </c>
      <c r="D19">
        <v>25</v>
      </c>
      <c r="E19">
        <v>10029721</v>
      </c>
      <c r="F19" t="s">
        <v>14</v>
      </c>
      <c r="G19" t="s">
        <v>322</v>
      </c>
      <c r="H19" t="s">
        <v>322</v>
      </c>
      <c r="I19" t="s">
        <v>322</v>
      </c>
      <c r="J19" t="s">
        <v>322</v>
      </c>
      <c r="K19" t="s">
        <v>322</v>
      </c>
      <c r="M19" s="36" t="s">
        <v>334</v>
      </c>
      <c r="O19" s="59" t="s">
        <v>90</v>
      </c>
      <c r="P19" s="60"/>
      <c r="Q19" s="17">
        <f>MEDIAN(D2:D1000)</f>
        <v>2</v>
      </c>
    </row>
    <row r="20" spans="3:17" ht="16" x14ac:dyDescent="0.2">
      <c r="C20">
        <v>91001</v>
      </c>
      <c r="D20">
        <v>25</v>
      </c>
      <c r="E20">
        <v>10098053</v>
      </c>
      <c r="F20" t="s">
        <v>14</v>
      </c>
      <c r="G20" t="s">
        <v>159</v>
      </c>
      <c r="H20" t="s">
        <v>323</v>
      </c>
      <c r="I20" t="s">
        <v>159</v>
      </c>
      <c r="J20" t="s">
        <v>323</v>
      </c>
      <c r="K20" t="s">
        <v>159</v>
      </c>
      <c r="M20" s="36" t="s">
        <v>335</v>
      </c>
      <c r="O20" s="59" t="s">
        <v>94</v>
      </c>
      <c r="P20" s="60"/>
      <c r="Q20" s="17" t="e">
        <f>(SUM(D2:D1000)/Q15)*Q14</f>
        <v>#DIV/0!</v>
      </c>
    </row>
    <row r="21" spans="3:17" ht="16" x14ac:dyDescent="0.2">
      <c r="C21">
        <v>92501</v>
      </c>
      <c r="D21">
        <v>23</v>
      </c>
      <c r="E21">
        <v>10156964</v>
      </c>
      <c r="F21" t="s">
        <v>14</v>
      </c>
      <c r="G21" t="s">
        <v>159</v>
      </c>
      <c r="H21" t="s">
        <v>322</v>
      </c>
      <c r="I21" t="s">
        <v>322</v>
      </c>
      <c r="J21" t="s">
        <v>322</v>
      </c>
      <c r="K21" t="s">
        <v>322</v>
      </c>
      <c r="M21" s="36" t="s">
        <v>337</v>
      </c>
      <c r="O21" s="59" t="s">
        <v>98</v>
      </c>
      <c r="P21" s="60"/>
      <c r="Q21" s="27" t="e">
        <f>COUNTIF(D:D,"&lt;=5")/Q15</f>
        <v>#DIV/0!</v>
      </c>
    </row>
    <row r="22" spans="3:17" ht="16" x14ac:dyDescent="0.2">
      <c r="C22">
        <v>92509</v>
      </c>
      <c r="D22">
        <v>22</v>
      </c>
      <c r="E22">
        <v>10183410</v>
      </c>
      <c r="F22" t="s">
        <v>14</v>
      </c>
      <c r="G22" t="s">
        <v>323</v>
      </c>
      <c r="H22" t="s">
        <v>159</v>
      </c>
      <c r="I22" t="s">
        <v>323</v>
      </c>
      <c r="J22" t="s">
        <v>159</v>
      </c>
      <c r="K22" t="s">
        <v>159</v>
      </c>
      <c r="M22" s="36" t="s">
        <v>338</v>
      </c>
    </row>
    <row r="23" spans="3:17" ht="16" x14ac:dyDescent="0.2">
      <c r="C23">
        <v>91790</v>
      </c>
      <c r="D23">
        <v>20</v>
      </c>
      <c r="E23">
        <v>10022941</v>
      </c>
      <c r="F23" t="s">
        <v>14</v>
      </c>
      <c r="G23" t="s">
        <v>328</v>
      </c>
      <c r="H23" t="s">
        <v>328</v>
      </c>
      <c r="I23" t="s">
        <v>328</v>
      </c>
      <c r="J23" t="s">
        <v>328</v>
      </c>
      <c r="K23" t="s">
        <v>328</v>
      </c>
      <c r="M23" s="36" t="s">
        <v>339</v>
      </c>
    </row>
    <row r="24" spans="3:17" ht="16" x14ac:dyDescent="0.2">
      <c r="C24">
        <v>92831</v>
      </c>
      <c r="D24">
        <v>15</v>
      </c>
      <c r="E24">
        <v>10033341</v>
      </c>
      <c r="F24" t="s">
        <v>14</v>
      </c>
      <c r="G24" t="s">
        <v>323</v>
      </c>
      <c r="H24" t="s">
        <v>323</v>
      </c>
      <c r="I24" t="s">
        <v>323</v>
      </c>
      <c r="J24" t="s">
        <v>323</v>
      </c>
      <c r="K24" t="s">
        <v>323</v>
      </c>
      <c r="M24" s="36" t="s">
        <v>340</v>
      </c>
    </row>
    <row r="25" spans="3:17" ht="16" x14ac:dyDescent="0.2">
      <c r="C25">
        <v>92407</v>
      </c>
      <c r="D25">
        <v>15</v>
      </c>
      <c r="E25">
        <v>10042972</v>
      </c>
      <c r="F25" t="s">
        <v>14</v>
      </c>
      <c r="G25" t="s">
        <v>157</v>
      </c>
      <c r="H25" t="s">
        <v>157</v>
      </c>
      <c r="I25" t="s">
        <v>322</v>
      </c>
      <c r="J25" t="s">
        <v>322</v>
      </c>
      <c r="K25" t="s">
        <v>322</v>
      </c>
      <c r="M25" s="36" t="s">
        <v>341</v>
      </c>
    </row>
    <row r="26" spans="3:17" ht="16" x14ac:dyDescent="0.2">
      <c r="C26">
        <v>91750</v>
      </c>
      <c r="D26">
        <v>7</v>
      </c>
      <c r="E26">
        <v>10134639</v>
      </c>
      <c r="F26" t="s">
        <v>14</v>
      </c>
      <c r="G26" t="s">
        <v>159</v>
      </c>
      <c r="H26" t="s">
        <v>159</v>
      </c>
      <c r="I26" t="s">
        <v>159</v>
      </c>
      <c r="J26" t="s">
        <v>323</v>
      </c>
      <c r="K26" t="s">
        <v>323</v>
      </c>
      <c r="M26" s="36" t="s">
        <v>342</v>
      </c>
    </row>
    <row r="27" spans="3:17" ht="16" x14ac:dyDescent="0.2">
      <c r="C27">
        <v>91767</v>
      </c>
      <c r="D27">
        <v>5</v>
      </c>
      <c r="E27">
        <v>100815</v>
      </c>
      <c r="F27" t="s">
        <v>14</v>
      </c>
      <c r="G27" t="s">
        <v>322</v>
      </c>
      <c r="H27" t="s">
        <v>323</v>
      </c>
      <c r="I27" t="s">
        <v>323</v>
      </c>
      <c r="J27" t="s">
        <v>323</v>
      </c>
      <c r="K27" t="s">
        <v>323</v>
      </c>
      <c r="M27" s="36" t="s">
        <v>343</v>
      </c>
    </row>
    <row r="28" spans="3:17" ht="16" x14ac:dyDescent="0.2">
      <c r="C28">
        <v>91784</v>
      </c>
      <c r="D28">
        <v>5</v>
      </c>
      <c r="E28">
        <v>10354485</v>
      </c>
      <c r="F28" t="s">
        <v>14</v>
      </c>
      <c r="G28" t="s">
        <v>323</v>
      </c>
      <c r="H28" t="s">
        <v>323</v>
      </c>
      <c r="I28" t="s">
        <v>323</v>
      </c>
      <c r="J28" t="s">
        <v>323</v>
      </c>
      <c r="K28" t="s">
        <v>323</v>
      </c>
      <c r="M28" s="36" t="s">
        <v>344</v>
      </c>
    </row>
    <row r="29" spans="3:17" ht="16" x14ac:dyDescent="0.2">
      <c r="C29">
        <v>91711</v>
      </c>
      <c r="D29">
        <v>5</v>
      </c>
      <c r="E29">
        <v>10097329</v>
      </c>
      <c r="F29" t="s">
        <v>14</v>
      </c>
      <c r="G29" t="s">
        <v>323</v>
      </c>
      <c r="H29" t="s">
        <v>323</v>
      </c>
      <c r="I29" t="s">
        <v>323</v>
      </c>
      <c r="J29" t="s">
        <v>323</v>
      </c>
      <c r="K29" t="s">
        <v>323</v>
      </c>
      <c r="M29" s="36" t="s">
        <v>345</v>
      </c>
    </row>
    <row r="30" spans="3:17" ht="16" x14ac:dyDescent="0.2">
      <c r="C30">
        <v>91767</v>
      </c>
      <c r="D30">
        <v>4</v>
      </c>
      <c r="E30">
        <v>10014411</v>
      </c>
      <c r="F30" t="s">
        <v>14</v>
      </c>
      <c r="G30" t="s">
        <v>323</v>
      </c>
      <c r="H30" t="s">
        <v>324</v>
      </c>
      <c r="I30" t="s">
        <v>324</v>
      </c>
      <c r="J30" t="s">
        <v>324</v>
      </c>
      <c r="K30" t="s">
        <v>323</v>
      </c>
      <c r="M30" s="36" t="s">
        <v>336</v>
      </c>
    </row>
    <row r="31" spans="3:17" ht="16" x14ac:dyDescent="0.2">
      <c r="C31">
        <v>91750</v>
      </c>
      <c r="D31">
        <v>4</v>
      </c>
      <c r="E31">
        <v>10020514</v>
      </c>
      <c r="F31" t="s">
        <v>14</v>
      </c>
      <c r="G31" t="s">
        <v>323</v>
      </c>
      <c r="H31" t="s">
        <v>323</v>
      </c>
      <c r="I31" t="s">
        <v>323</v>
      </c>
      <c r="J31" t="s">
        <v>323</v>
      </c>
      <c r="K31" t="s">
        <v>323</v>
      </c>
      <c r="M31" s="36" t="s">
        <v>346</v>
      </c>
    </row>
    <row r="32" spans="3:17" ht="16" x14ac:dyDescent="0.2">
      <c r="C32">
        <v>91711</v>
      </c>
      <c r="D32">
        <v>3</v>
      </c>
      <c r="E32">
        <v>10030143</v>
      </c>
      <c r="F32" t="s">
        <v>14</v>
      </c>
      <c r="G32" t="s">
        <v>322</v>
      </c>
      <c r="H32" t="s">
        <v>323</v>
      </c>
      <c r="I32" t="s">
        <v>322</v>
      </c>
      <c r="J32" t="s">
        <v>323</v>
      </c>
      <c r="K32" t="s">
        <v>322</v>
      </c>
      <c r="M32" s="36" t="s">
        <v>347</v>
      </c>
    </row>
    <row r="33" spans="3:13" ht="16" x14ac:dyDescent="0.2">
      <c r="C33">
        <v>91711</v>
      </c>
      <c r="D33">
        <v>3</v>
      </c>
      <c r="E33">
        <v>10197342</v>
      </c>
      <c r="F33" t="s">
        <v>14</v>
      </c>
      <c r="G33" t="s">
        <v>323</v>
      </c>
      <c r="H33" t="s">
        <v>323</v>
      </c>
      <c r="I33" t="s">
        <v>323</v>
      </c>
      <c r="J33" t="s">
        <v>323</v>
      </c>
      <c r="K33" t="s">
        <v>323</v>
      </c>
      <c r="M33" s="36" t="s">
        <v>324</v>
      </c>
    </row>
    <row r="34" spans="3:13" ht="16" x14ac:dyDescent="0.2">
      <c r="C34">
        <v>91711</v>
      </c>
      <c r="D34">
        <v>3</v>
      </c>
      <c r="E34">
        <v>10361504</v>
      </c>
      <c r="F34" t="s">
        <v>14</v>
      </c>
      <c r="G34" t="s">
        <v>323</v>
      </c>
      <c r="H34" t="s">
        <v>322</v>
      </c>
      <c r="I34" t="s">
        <v>323</v>
      </c>
      <c r="J34" t="s">
        <v>323</v>
      </c>
      <c r="K34" t="s">
        <v>323</v>
      </c>
      <c r="M34" s="36" t="s">
        <v>323</v>
      </c>
    </row>
    <row r="35" spans="3:13" ht="16" x14ac:dyDescent="0.2">
      <c r="C35">
        <v>91711</v>
      </c>
      <c r="D35">
        <v>3</v>
      </c>
      <c r="E35">
        <v>10042175</v>
      </c>
      <c r="F35" t="s">
        <v>14</v>
      </c>
      <c r="G35" t="s">
        <v>347</v>
      </c>
      <c r="H35" t="s">
        <v>347</v>
      </c>
      <c r="I35" t="s">
        <v>347</v>
      </c>
      <c r="J35" t="s">
        <v>347</v>
      </c>
      <c r="K35" t="s">
        <v>347</v>
      </c>
      <c r="M35" s="36" t="s">
        <v>326</v>
      </c>
    </row>
    <row r="36" spans="3:13" ht="16" x14ac:dyDescent="0.2">
      <c r="C36">
        <v>91711</v>
      </c>
      <c r="D36">
        <v>2</v>
      </c>
      <c r="E36">
        <v>10196240</v>
      </c>
      <c r="F36" t="s">
        <v>14</v>
      </c>
      <c r="G36" t="s">
        <v>323</v>
      </c>
      <c r="H36" t="s">
        <v>323</v>
      </c>
      <c r="I36" t="s">
        <v>323</v>
      </c>
      <c r="J36" t="s">
        <v>323</v>
      </c>
      <c r="K36" t="s">
        <v>323</v>
      </c>
      <c r="M36" s="36" t="s">
        <v>146</v>
      </c>
    </row>
    <row r="37" spans="3:13" ht="16" x14ac:dyDescent="0.2">
      <c r="C37">
        <v>91767</v>
      </c>
      <c r="D37">
        <v>2</v>
      </c>
      <c r="E37">
        <v>10187804</v>
      </c>
      <c r="F37" t="s">
        <v>14</v>
      </c>
      <c r="G37" t="s">
        <v>322</v>
      </c>
      <c r="H37" t="s">
        <v>323</v>
      </c>
      <c r="I37" t="s">
        <v>322</v>
      </c>
      <c r="J37" t="s">
        <v>323</v>
      </c>
      <c r="K37" t="s">
        <v>322</v>
      </c>
      <c r="M37" s="36" t="s">
        <v>153</v>
      </c>
    </row>
    <row r="38" spans="3:13" ht="16" x14ac:dyDescent="0.2">
      <c r="C38">
        <v>91711</v>
      </c>
      <c r="D38">
        <v>2</v>
      </c>
      <c r="E38">
        <v>10000076</v>
      </c>
      <c r="F38" t="s">
        <v>14</v>
      </c>
      <c r="G38" t="s">
        <v>323</v>
      </c>
      <c r="H38" t="s">
        <v>323</v>
      </c>
      <c r="I38" t="s">
        <v>323</v>
      </c>
      <c r="J38" t="s">
        <v>323</v>
      </c>
      <c r="K38" t="s">
        <v>323</v>
      </c>
      <c r="M38" s="36" t="s">
        <v>155</v>
      </c>
    </row>
    <row r="39" spans="3:13" ht="16" x14ac:dyDescent="0.2">
      <c r="C39">
        <v>91711</v>
      </c>
      <c r="D39">
        <v>2</v>
      </c>
      <c r="E39">
        <v>10023651</v>
      </c>
      <c r="F39" t="s">
        <v>14</v>
      </c>
      <c r="G39" t="s">
        <v>159</v>
      </c>
      <c r="H39" t="s">
        <v>323</v>
      </c>
      <c r="I39" t="s">
        <v>323</v>
      </c>
      <c r="J39" t="s">
        <v>323</v>
      </c>
      <c r="K39" t="s">
        <v>323</v>
      </c>
      <c r="M39" s="36" t="s">
        <v>157</v>
      </c>
    </row>
    <row r="40" spans="3:13" ht="16" x14ac:dyDescent="0.2">
      <c r="C40">
        <v>91711</v>
      </c>
      <c r="D40">
        <v>2</v>
      </c>
      <c r="E40">
        <v>10257490</v>
      </c>
      <c r="F40" t="s">
        <v>14</v>
      </c>
      <c r="G40" t="s">
        <v>323</v>
      </c>
      <c r="H40" t="s">
        <v>323</v>
      </c>
      <c r="I40" t="s">
        <v>323</v>
      </c>
      <c r="J40" t="s">
        <v>323</v>
      </c>
      <c r="K40" t="s">
        <v>323</v>
      </c>
      <c r="M40" s="37" t="s">
        <v>159</v>
      </c>
    </row>
    <row r="41" spans="3:13" x14ac:dyDescent="0.2">
      <c r="C41">
        <v>91711</v>
      </c>
      <c r="D41">
        <v>2</v>
      </c>
      <c r="E41">
        <v>10013538</v>
      </c>
      <c r="F41" t="s">
        <v>14</v>
      </c>
      <c r="G41" t="s">
        <v>323</v>
      </c>
      <c r="H41" t="s">
        <v>323</v>
      </c>
      <c r="I41" t="s">
        <v>323</v>
      </c>
      <c r="J41" t="s">
        <v>323</v>
      </c>
      <c r="K41" t="s">
        <v>323</v>
      </c>
    </row>
    <row r="42" spans="3:13" x14ac:dyDescent="0.2">
      <c r="C42">
        <v>91711</v>
      </c>
      <c r="D42">
        <v>2</v>
      </c>
      <c r="E42">
        <v>10361342</v>
      </c>
      <c r="F42" t="s">
        <v>14</v>
      </c>
      <c r="G42" t="s">
        <v>323</v>
      </c>
      <c r="H42" t="s">
        <v>323</v>
      </c>
      <c r="I42" t="s">
        <v>323</v>
      </c>
      <c r="J42" t="s">
        <v>323</v>
      </c>
      <c r="K42" t="s">
        <v>323</v>
      </c>
    </row>
    <row r="43" spans="3:13" x14ac:dyDescent="0.2">
      <c r="C43">
        <v>91711</v>
      </c>
      <c r="D43">
        <v>2</v>
      </c>
      <c r="E43">
        <v>10024385</v>
      </c>
      <c r="F43" t="s">
        <v>14</v>
      </c>
      <c r="G43" t="s">
        <v>323</v>
      </c>
      <c r="H43" t="s">
        <v>323</v>
      </c>
      <c r="I43" t="s">
        <v>323</v>
      </c>
      <c r="J43" t="s">
        <v>323</v>
      </c>
      <c r="K43" t="s">
        <v>347</v>
      </c>
    </row>
    <row r="44" spans="3:13" x14ac:dyDescent="0.2">
      <c r="C44">
        <v>91711</v>
      </c>
      <c r="D44">
        <v>2</v>
      </c>
      <c r="E44">
        <v>103809</v>
      </c>
      <c r="F44" t="s">
        <v>14</v>
      </c>
      <c r="G44" t="s">
        <v>323</v>
      </c>
      <c r="H44" t="s">
        <v>323</v>
      </c>
      <c r="I44" t="s">
        <v>323</v>
      </c>
      <c r="J44" t="s">
        <v>323</v>
      </c>
      <c r="K44" t="s">
        <v>323</v>
      </c>
    </row>
    <row r="45" spans="3:13" x14ac:dyDescent="0.2">
      <c r="C45">
        <v>91711</v>
      </c>
      <c r="D45">
        <v>2</v>
      </c>
      <c r="E45">
        <v>10091019</v>
      </c>
      <c r="F45" t="s">
        <v>14</v>
      </c>
      <c r="G45" t="s">
        <v>322</v>
      </c>
      <c r="H45" t="s">
        <v>323</v>
      </c>
      <c r="I45" t="s">
        <v>322</v>
      </c>
      <c r="J45" t="s">
        <v>323</v>
      </c>
      <c r="K45" t="s">
        <v>323</v>
      </c>
    </row>
    <row r="46" spans="3:13" x14ac:dyDescent="0.2">
      <c r="C46">
        <v>91711</v>
      </c>
      <c r="D46">
        <v>2</v>
      </c>
      <c r="E46">
        <v>10091714</v>
      </c>
      <c r="F46" t="s">
        <v>14</v>
      </c>
      <c r="G46" t="s">
        <v>326</v>
      </c>
      <c r="H46" t="s">
        <v>326</v>
      </c>
      <c r="I46" t="s">
        <v>326</v>
      </c>
      <c r="J46" t="s">
        <v>322</v>
      </c>
      <c r="K46" t="s">
        <v>326</v>
      </c>
    </row>
    <row r="47" spans="3:13" x14ac:dyDescent="0.2">
      <c r="C47">
        <v>91711</v>
      </c>
      <c r="D47">
        <v>2</v>
      </c>
      <c r="E47">
        <v>10042613</v>
      </c>
      <c r="F47" t="s">
        <v>14</v>
      </c>
      <c r="G47" t="s">
        <v>323</v>
      </c>
      <c r="H47" t="s">
        <v>323</v>
      </c>
      <c r="I47" t="s">
        <v>323</v>
      </c>
      <c r="J47" t="s">
        <v>323</v>
      </c>
      <c r="K47" t="s">
        <v>323</v>
      </c>
    </row>
    <row r="48" spans="3:13" x14ac:dyDescent="0.2">
      <c r="C48">
        <v>91711</v>
      </c>
      <c r="D48">
        <v>2</v>
      </c>
      <c r="E48">
        <v>10042428</v>
      </c>
      <c r="F48" t="s">
        <v>14</v>
      </c>
      <c r="G48" t="s">
        <v>323</v>
      </c>
      <c r="H48" t="s">
        <v>322</v>
      </c>
      <c r="I48" t="s">
        <v>323</v>
      </c>
      <c r="J48" t="s">
        <v>322</v>
      </c>
      <c r="K48" t="s">
        <v>322</v>
      </c>
    </row>
    <row r="49" spans="3:11" x14ac:dyDescent="0.2">
      <c r="C49">
        <v>91711</v>
      </c>
      <c r="D49">
        <v>2</v>
      </c>
      <c r="E49">
        <v>10008674</v>
      </c>
      <c r="F49" t="s">
        <v>14</v>
      </c>
      <c r="G49" t="s">
        <v>323</v>
      </c>
      <c r="H49" t="s">
        <v>323</v>
      </c>
      <c r="I49" t="s">
        <v>347</v>
      </c>
      <c r="J49" t="s">
        <v>323</v>
      </c>
      <c r="K49" t="s">
        <v>323</v>
      </c>
    </row>
    <row r="50" spans="3:11" x14ac:dyDescent="0.2">
      <c r="C50">
        <v>91711</v>
      </c>
      <c r="D50">
        <v>2</v>
      </c>
      <c r="E50">
        <v>10364499</v>
      </c>
      <c r="F50" t="s">
        <v>14</v>
      </c>
      <c r="G50" t="s">
        <v>323</v>
      </c>
      <c r="H50" t="s">
        <v>323</v>
      </c>
      <c r="I50" t="s">
        <v>323</v>
      </c>
      <c r="J50" t="s">
        <v>323</v>
      </c>
      <c r="K50" t="s">
        <v>323</v>
      </c>
    </row>
    <row r="51" spans="3:11" x14ac:dyDescent="0.2">
      <c r="C51">
        <v>91711</v>
      </c>
      <c r="D51">
        <v>1</v>
      </c>
      <c r="E51">
        <v>10364363</v>
      </c>
      <c r="F51" t="s">
        <v>14</v>
      </c>
      <c r="G51" t="s">
        <v>323</v>
      </c>
      <c r="H51" t="s">
        <v>323</v>
      </c>
      <c r="I51" t="s">
        <v>323</v>
      </c>
      <c r="J51" t="s">
        <v>323</v>
      </c>
      <c r="K51" t="s">
        <v>323</v>
      </c>
    </row>
    <row r="52" spans="3:11" x14ac:dyDescent="0.2">
      <c r="C52">
        <v>91711</v>
      </c>
      <c r="D52">
        <v>1</v>
      </c>
      <c r="E52">
        <v>10254425</v>
      </c>
      <c r="F52" t="s">
        <v>14</v>
      </c>
      <c r="G52" t="s">
        <v>323</v>
      </c>
      <c r="H52" t="s">
        <v>323</v>
      </c>
      <c r="I52" t="s">
        <v>323</v>
      </c>
      <c r="J52" t="s">
        <v>323</v>
      </c>
      <c r="K52" t="s">
        <v>323</v>
      </c>
    </row>
    <row r="53" spans="3:11" x14ac:dyDescent="0.2">
      <c r="C53">
        <v>91711</v>
      </c>
      <c r="D53">
        <v>1</v>
      </c>
      <c r="E53">
        <v>100859224</v>
      </c>
      <c r="F53" t="s">
        <v>14</v>
      </c>
      <c r="G53" t="s">
        <v>323</v>
      </c>
      <c r="H53" t="s">
        <v>323</v>
      </c>
      <c r="I53" t="s">
        <v>323</v>
      </c>
      <c r="J53" t="s">
        <v>323</v>
      </c>
      <c r="K53" t="s">
        <v>323</v>
      </c>
    </row>
    <row r="54" spans="3:11" x14ac:dyDescent="0.2">
      <c r="C54">
        <v>91711</v>
      </c>
      <c r="D54">
        <v>1</v>
      </c>
      <c r="E54">
        <v>10043030</v>
      </c>
      <c r="F54" t="s">
        <v>14</v>
      </c>
      <c r="G54" t="s">
        <v>346</v>
      </c>
      <c r="H54" t="s">
        <v>323</v>
      </c>
      <c r="I54" t="s">
        <v>323</v>
      </c>
      <c r="J54" t="s">
        <v>346</v>
      </c>
      <c r="K54" t="s">
        <v>346</v>
      </c>
    </row>
    <row r="55" spans="3:11" x14ac:dyDescent="0.2">
      <c r="C55">
        <v>91711</v>
      </c>
      <c r="D55">
        <v>1</v>
      </c>
      <c r="E55">
        <v>10097581</v>
      </c>
      <c r="F55" t="s">
        <v>14</v>
      </c>
      <c r="G55" t="s">
        <v>323</v>
      </c>
      <c r="H55" t="s">
        <v>323</v>
      </c>
      <c r="I55" t="s">
        <v>323</v>
      </c>
      <c r="J55" t="s">
        <v>323</v>
      </c>
      <c r="K55" t="s">
        <v>323</v>
      </c>
    </row>
    <row r="56" spans="3:11" x14ac:dyDescent="0.2">
      <c r="C56">
        <v>91711</v>
      </c>
      <c r="D56">
        <v>1</v>
      </c>
      <c r="E56">
        <v>10134553</v>
      </c>
      <c r="F56" t="s">
        <v>14</v>
      </c>
      <c r="G56" t="s">
        <v>323</v>
      </c>
      <c r="H56" t="s">
        <v>323</v>
      </c>
      <c r="I56" t="s">
        <v>323</v>
      </c>
      <c r="J56" t="s">
        <v>323</v>
      </c>
      <c r="K56" t="s">
        <v>323</v>
      </c>
    </row>
    <row r="57" spans="3:11" x14ac:dyDescent="0.2">
      <c r="C57">
        <v>91711</v>
      </c>
      <c r="D57">
        <v>1</v>
      </c>
      <c r="E57">
        <v>10271196</v>
      </c>
      <c r="F57" t="s">
        <v>14</v>
      </c>
      <c r="G57" t="s">
        <v>347</v>
      </c>
      <c r="H57" t="s">
        <v>347</v>
      </c>
      <c r="I57" t="s">
        <v>347</v>
      </c>
      <c r="J57" t="s">
        <v>347</v>
      </c>
      <c r="K57" t="s">
        <v>347</v>
      </c>
    </row>
    <row r="58" spans="3:11" x14ac:dyDescent="0.2">
      <c r="C58">
        <v>91711</v>
      </c>
      <c r="D58">
        <v>1</v>
      </c>
      <c r="E58">
        <v>10356603</v>
      </c>
      <c r="F58" t="s">
        <v>14</v>
      </c>
      <c r="G58" t="s">
        <v>347</v>
      </c>
      <c r="H58" t="s">
        <v>347</v>
      </c>
      <c r="I58" t="s">
        <v>347</v>
      </c>
      <c r="J58" t="s">
        <v>347</v>
      </c>
      <c r="K58" t="s">
        <v>347</v>
      </c>
    </row>
    <row r="59" spans="3:11" x14ac:dyDescent="0.2">
      <c r="C59">
        <v>91711</v>
      </c>
      <c r="D59">
        <v>1</v>
      </c>
      <c r="E59">
        <v>10087224</v>
      </c>
      <c r="F59" t="s">
        <v>14</v>
      </c>
      <c r="G59" t="s">
        <v>323</v>
      </c>
      <c r="H59" t="s">
        <v>323</v>
      </c>
      <c r="I59" t="s">
        <v>323</v>
      </c>
      <c r="J59" t="s">
        <v>323</v>
      </c>
      <c r="K59" t="s">
        <v>323</v>
      </c>
    </row>
    <row r="60" spans="3:11" x14ac:dyDescent="0.2">
      <c r="C60">
        <v>91711</v>
      </c>
      <c r="D60">
        <v>1</v>
      </c>
      <c r="E60">
        <v>10014392</v>
      </c>
      <c r="F60" t="s">
        <v>14</v>
      </c>
      <c r="G60" t="s">
        <v>159</v>
      </c>
      <c r="H60" t="s">
        <v>323</v>
      </c>
      <c r="I60" t="s">
        <v>159</v>
      </c>
      <c r="J60" t="s">
        <v>323</v>
      </c>
      <c r="K60" t="s">
        <v>159</v>
      </c>
    </row>
    <row r="61" spans="3:11" x14ac:dyDescent="0.2">
      <c r="C61">
        <v>91711</v>
      </c>
      <c r="D61">
        <v>1</v>
      </c>
      <c r="E61">
        <v>10029852</v>
      </c>
      <c r="F61" t="s">
        <v>14</v>
      </c>
      <c r="G61" t="s">
        <v>323</v>
      </c>
      <c r="H61" t="s">
        <v>323</v>
      </c>
      <c r="I61" t="s">
        <v>323</v>
      </c>
      <c r="J61" t="s">
        <v>323</v>
      </c>
      <c r="K61" t="s">
        <v>323</v>
      </c>
    </row>
    <row r="62" spans="3:11" x14ac:dyDescent="0.2">
      <c r="C62">
        <v>91711</v>
      </c>
      <c r="D62">
        <v>1</v>
      </c>
      <c r="E62">
        <v>10032294</v>
      </c>
      <c r="F62" t="s">
        <v>14</v>
      </c>
      <c r="G62" t="s">
        <v>346</v>
      </c>
      <c r="H62" t="s">
        <v>346</v>
      </c>
      <c r="I62" t="s">
        <v>346</v>
      </c>
      <c r="J62" t="s">
        <v>323</v>
      </c>
      <c r="K62" t="s">
        <v>346</v>
      </c>
    </row>
    <row r="63" spans="3:11" x14ac:dyDescent="0.2">
      <c r="C63">
        <v>91711</v>
      </c>
      <c r="D63">
        <v>1</v>
      </c>
      <c r="E63">
        <v>10361341</v>
      </c>
      <c r="F63" t="s">
        <v>14</v>
      </c>
      <c r="G63" t="s">
        <v>159</v>
      </c>
      <c r="H63" t="s">
        <v>323</v>
      </c>
      <c r="I63" t="s">
        <v>323</v>
      </c>
      <c r="J63" t="s">
        <v>323</v>
      </c>
      <c r="K63" t="s">
        <v>323</v>
      </c>
    </row>
    <row r="64" spans="3:11" x14ac:dyDescent="0.2">
      <c r="C64">
        <v>91711</v>
      </c>
      <c r="D64">
        <v>1</v>
      </c>
      <c r="E64">
        <v>10281423</v>
      </c>
      <c r="F64" t="s">
        <v>14</v>
      </c>
      <c r="G64" t="s">
        <v>323</v>
      </c>
      <c r="H64" t="s">
        <v>346</v>
      </c>
      <c r="I64" t="s">
        <v>323</v>
      </c>
      <c r="J64" t="s">
        <v>346</v>
      </c>
      <c r="K64" t="s">
        <v>323</v>
      </c>
    </row>
    <row r="65" spans="3:11" x14ac:dyDescent="0.2">
      <c r="C65">
        <v>91711</v>
      </c>
      <c r="D65">
        <v>1</v>
      </c>
      <c r="E65">
        <v>10005870</v>
      </c>
      <c r="F65" t="s">
        <v>14</v>
      </c>
      <c r="G65" t="s">
        <v>323</v>
      </c>
      <c r="H65" t="s">
        <v>323</v>
      </c>
      <c r="I65" t="s">
        <v>346</v>
      </c>
      <c r="J65" t="s">
        <v>323</v>
      </c>
      <c r="K65" t="s">
        <v>323</v>
      </c>
    </row>
    <row r="66" spans="3:11" x14ac:dyDescent="0.2">
      <c r="C66">
        <v>91711</v>
      </c>
      <c r="D66">
        <v>1</v>
      </c>
      <c r="E66">
        <v>10089127</v>
      </c>
      <c r="F66" t="s">
        <v>14</v>
      </c>
      <c r="G66" t="s">
        <v>323</v>
      </c>
      <c r="H66" t="s">
        <v>323</v>
      </c>
      <c r="I66" t="s">
        <v>323</v>
      </c>
      <c r="J66" t="s">
        <v>323</v>
      </c>
      <c r="K66" t="s">
        <v>323</v>
      </c>
    </row>
    <row r="67" spans="3:11" x14ac:dyDescent="0.2">
      <c r="C67">
        <v>91711</v>
      </c>
      <c r="D67">
        <v>1</v>
      </c>
      <c r="E67">
        <v>10024736</v>
      </c>
      <c r="F67" t="s">
        <v>14</v>
      </c>
      <c r="G67" t="s">
        <v>323</v>
      </c>
      <c r="H67" t="s">
        <v>347</v>
      </c>
      <c r="I67" t="s">
        <v>323</v>
      </c>
      <c r="J67" t="s">
        <v>322</v>
      </c>
      <c r="K67" t="s">
        <v>323</v>
      </c>
    </row>
    <row r="68" spans="3:11" x14ac:dyDescent="0.2">
      <c r="C68">
        <v>91711</v>
      </c>
      <c r="D68">
        <v>1</v>
      </c>
      <c r="E68">
        <v>10358353</v>
      </c>
      <c r="F68" t="s">
        <v>14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</row>
    <row r="69" spans="3:11" x14ac:dyDescent="0.2">
      <c r="C69">
        <v>91711</v>
      </c>
      <c r="D69">
        <v>1</v>
      </c>
      <c r="E69">
        <v>10032463</v>
      </c>
      <c r="F69" t="s">
        <v>14</v>
      </c>
      <c r="G69" t="s">
        <v>346</v>
      </c>
      <c r="H69" t="s">
        <v>346</v>
      </c>
      <c r="I69" t="s">
        <v>346</v>
      </c>
      <c r="J69" t="s">
        <v>346</v>
      </c>
      <c r="K69" t="s">
        <v>346</v>
      </c>
    </row>
    <row r="70" spans="3:11" x14ac:dyDescent="0.2">
      <c r="C70">
        <v>91711</v>
      </c>
      <c r="D70">
        <v>1</v>
      </c>
      <c r="E70">
        <v>10042136</v>
      </c>
      <c r="F70" t="s">
        <v>14</v>
      </c>
      <c r="G70" t="s">
        <v>159</v>
      </c>
      <c r="H70" t="s">
        <v>159</v>
      </c>
      <c r="I70" t="s">
        <v>159</v>
      </c>
      <c r="J70" t="s">
        <v>159</v>
      </c>
      <c r="K70" t="s">
        <v>323</v>
      </c>
    </row>
    <row r="71" spans="3:11" x14ac:dyDescent="0.2">
      <c r="C71">
        <v>97117</v>
      </c>
      <c r="D71">
        <v>1</v>
      </c>
      <c r="E71">
        <v>10180209</v>
      </c>
      <c r="F71" t="s">
        <v>14</v>
      </c>
      <c r="G71" t="s">
        <v>323</v>
      </c>
      <c r="H71" t="s">
        <v>323</v>
      </c>
      <c r="I71" t="s">
        <v>323</v>
      </c>
      <c r="J71" t="s">
        <v>323</v>
      </c>
      <c r="K71" t="s">
        <v>323</v>
      </c>
    </row>
    <row r="72" spans="3:11" x14ac:dyDescent="0.2">
      <c r="C72">
        <v>91711</v>
      </c>
      <c r="D72">
        <v>1</v>
      </c>
      <c r="E72">
        <v>10128165</v>
      </c>
      <c r="F72" t="s">
        <v>14</v>
      </c>
      <c r="G72" t="s">
        <v>346</v>
      </c>
      <c r="H72" t="s">
        <v>346</v>
      </c>
      <c r="I72" t="s">
        <v>322</v>
      </c>
      <c r="J72" t="s">
        <v>346</v>
      </c>
      <c r="K72" t="s">
        <v>322</v>
      </c>
    </row>
    <row r="73" spans="3:11" x14ac:dyDescent="0.2">
      <c r="C73">
        <v>91711</v>
      </c>
      <c r="D73">
        <v>1</v>
      </c>
      <c r="E73">
        <v>10357931</v>
      </c>
      <c r="F73" t="s">
        <v>14</v>
      </c>
      <c r="G73" t="s">
        <v>322</v>
      </c>
      <c r="H73" t="s">
        <v>322</v>
      </c>
      <c r="I73" t="s">
        <v>322</v>
      </c>
      <c r="J73" t="s">
        <v>322</v>
      </c>
      <c r="K73" t="s">
        <v>322</v>
      </c>
    </row>
    <row r="74" spans="3:11" x14ac:dyDescent="0.2">
      <c r="C74">
        <v>91711</v>
      </c>
      <c r="D74">
        <v>1</v>
      </c>
      <c r="E74">
        <v>10008115</v>
      </c>
      <c r="F74" t="s">
        <v>14</v>
      </c>
      <c r="G74" t="s">
        <v>323</v>
      </c>
      <c r="H74" t="s">
        <v>323</v>
      </c>
      <c r="I74" t="s">
        <v>323</v>
      </c>
      <c r="J74" t="s">
        <v>323</v>
      </c>
      <c r="K74" t="s">
        <v>323</v>
      </c>
    </row>
    <row r="75" spans="3:11" x14ac:dyDescent="0.2">
      <c r="C75">
        <v>91711</v>
      </c>
      <c r="D75">
        <v>1</v>
      </c>
      <c r="E75">
        <v>10181284</v>
      </c>
      <c r="F75" t="s">
        <v>14</v>
      </c>
      <c r="G75" t="s">
        <v>322</v>
      </c>
      <c r="H75" t="s">
        <v>322</v>
      </c>
      <c r="I75" t="s">
        <v>322</v>
      </c>
      <c r="J75" t="s">
        <v>322</v>
      </c>
      <c r="K75" t="s">
        <v>326</v>
      </c>
    </row>
    <row r="76" spans="3:11" x14ac:dyDescent="0.2">
      <c r="C76">
        <v>91711</v>
      </c>
      <c r="D76">
        <v>1</v>
      </c>
      <c r="E76">
        <v>10179974</v>
      </c>
      <c r="F76" t="s">
        <v>14</v>
      </c>
      <c r="G76" t="s">
        <v>323</v>
      </c>
      <c r="H76" t="s">
        <v>322</v>
      </c>
      <c r="I76" t="s">
        <v>323</v>
      </c>
      <c r="J76" t="s">
        <v>322</v>
      </c>
      <c r="K76" t="s">
        <v>323</v>
      </c>
    </row>
    <row r="77" spans="3:11" x14ac:dyDescent="0.2">
      <c r="C77">
        <v>91711</v>
      </c>
      <c r="D77">
        <v>1</v>
      </c>
      <c r="E77">
        <v>10356067</v>
      </c>
      <c r="F77" t="s">
        <v>14</v>
      </c>
      <c r="G77" t="s">
        <v>347</v>
      </c>
      <c r="H77" t="s">
        <v>347</v>
      </c>
      <c r="I77" t="s">
        <v>347</v>
      </c>
      <c r="J77" t="s">
        <v>347</v>
      </c>
      <c r="K77" t="s">
        <v>347</v>
      </c>
    </row>
    <row r="78" spans="3:11" x14ac:dyDescent="0.2">
      <c r="C78">
        <v>91711</v>
      </c>
      <c r="D78">
        <v>1</v>
      </c>
      <c r="E78">
        <v>10041942</v>
      </c>
      <c r="F78" t="s">
        <v>14</v>
      </c>
      <c r="G78" t="s">
        <v>346</v>
      </c>
      <c r="H78" t="s">
        <v>346</v>
      </c>
      <c r="I78" t="s">
        <v>323</v>
      </c>
      <c r="J78" t="s">
        <v>346</v>
      </c>
      <c r="K78" t="s">
        <v>323</v>
      </c>
    </row>
    <row r="79" spans="3:11" x14ac:dyDescent="0.2">
      <c r="C79">
        <v>91786</v>
      </c>
      <c r="D79">
        <v>1</v>
      </c>
      <c r="E79">
        <v>10180184</v>
      </c>
      <c r="F79" t="s">
        <v>14</v>
      </c>
      <c r="G79" t="s">
        <v>323</v>
      </c>
      <c r="H79" t="s">
        <v>323</v>
      </c>
      <c r="I79" t="s">
        <v>323</v>
      </c>
      <c r="J79" t="s">
        <v>323</v>
      </c>
      <c r="K79" t="s">
        <v>323</v>
      </c>
    </row>
    <row r="80" spans="3:11" x14ac:dyDescent="0.2">
      <c r="C80">
        <v>91711</v>
      </c>
      <c r="D80">
        <v>1</v>
      </c>
      <c r="E80">
        <v>101938844</v>
      </c>
      <c r="F80" t="s">
        <v>14</v>
      </c>
      <c r="G80" t="s">
        <v>323</v>
      </c>
      <c r="H80" t="s">
        <v>323</v>
      </c>
      <c r="I80" t="s">
        <v>323</v>
      </c>
      <c r="J80" t="s">
        <v>323</v>
      </c>
      <c r="K80" t="s">
        <v>323</v>
      </c>
    </row>
    <row r="81" spans="3:11" x14ac:dyDescent="0.2">
      <c r="C81">
        <v>91711</v>
      </c>
      <c r="D81">
        <v>1</v>
      </c>
      <c r="E81">
        <v>10108447</v>
      </c>
      <c r="F81" t="s">
        <v>14</v>
      </c>
      <c r="G81" t="s">
        <v>323</v>
      </c>
      <c r="H81" t="s">
        <v>323</v>
      </c>
      <c r="I81" t="s">
        <v>323</v>
      </c>
      <c r="J81" t="s">
        <v>323</v>
      </c>
      <c r="K81" t="s">
        <v>323</v>
      </c>
    </row>
    <row r="82" spans="3:11" x14ac:dyDescent="0.2">
      <c r="C82">
        <v>91711</v>
      </c>
      <c r="D82">
        <v>1</v>
      </c>
      <c r="E82">
        <v>10148564</v>
      </c>
      <c r="F82" t="s">
        <v>14</v>
      </c>
      <c r="G82" t="s">
        <v>323</v>
      </c>
      <c r="H82" t="s">
        <v>323</v>
      </c>
      <c r="I82" t="s">
        <v>323</v>
      </c>
      <c r="J82" t="s">
        <v>323</v>
      </c>
      <c r="K82" t="s">
        <v>323</v>
      </c>
    </row>
    <row r="83" spans="3:11" x14ac:dyDescent="0.2">
      <c r="C83">
        <v>94085</v>
      </c>
      <c r="D83">
        <v>0</v>
      </c>
      <c r="E83">
        <v>10355964</v>
      </c>
      <c r="F83" t="s">
        <v>14</v>
      </c>
      <c r="G83" t="s">
        <v>323</v>
      </c>
      <c r="H83" t="s">
        <v>323</v>
      </c>
      <c r="I83" t="s">
        <v>323</v>
      </c>
      <c r="J83" t="s">
        <v>323</v>
      </c>
      <c r="K83" t="s">
        <v>323</v>
      </c>
    </row>
    <row r="84" spans="3:11" x14ac:dyDescent="0.2">
      <c r="C84">
        <v>92602</v>
      </c>
      <c r="D84">
        <v>0</v>
      </c>
      <c r="E84">
        <v>10043732</v>
      </c>
      <c r="F84" t="s">
        <v>14</v>
      </c>
      <c r="G84" t="s">
        <v>323</v>
      </c>
      <c r="H84" t="s">
        <v>323</v>
      </c>
      <c r="I84" t="s">
        <v>323</v>
      </c>
      <c r="J84" t="s">
        <v>323</v>
      </c>
      <c r="K84" t="s">
        <v>323</v>
      </c>
    </row>
    <row r="85" spans="3:11" x14ac:dyDescent="0.2">
      <c r="C85">
        <v>90064</v>
      </c>
      <c r="D85">
        <v>0</v>
      </c>
      <c r="E85">
        <v>100129096</v>
      </c>
      <c r="F85" t="s">
        <v>14</v>
      </c>
      <c r="G85" t="s">
        <v>159</v>
      </c>
      <c r="H85" t="s">
        <v>323</v>
      </c>
      <c r="I85" t="s">
        <v>323</v>
      </c>
      <c r="J85" t="s">
        <v>159</v>
      </c>
      <c r="K85" t="s">
        <v>159</v>
      </c>
    </row>
    <row r="86" spans="3:11" x14ac:dyDescent="0.2">
      <c r="C86">
        <v>91711</v>
      </c>
      <c r="D86">
        <v>0</v>
      </c>
      <c r="E86">
        <v>10364482</v>
      </c>
      <c r="F86" t="s">
        <v>14</v>
      </c>
      <c r="G86" t="s">
        <v>323</v>
      </c>
      <c r="H86" t="s">
        <v>323</v>
      </c>
      <c r="I86" t="s">
        <v>323</v>
      </c>
      <c r="J86" t="s">
        <v>323</v>
      </c>
      <c r="K86" t="s">
        <v>323</v>
      </c>
    </row>
  </sheetData>
  <mergeCells count="12">
    <mergeCell ref="O21:P21"/>
    <mergeCell ref="M1:W1"/>
    <mergeCell ref="M8:X8"/>
    <mergeCell ref="O12:Q12"/>
    <mergeCell ref="O13:P13"/>
    <mergeCell ref="O14:P14"/>
    <mergeCell ref="O15:P15"/>
    <mergeCell ref="O16:P16"/>
    <mergeCell ref="O17:P17"/>
    <mergeCell ref="O18:P18"/>
    <mergeCell ref="O19:P19"/>
    <mergeCell ref="O20:P20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924B-D8DD-4649-BC0E-FAD369C5A5A0}">
  <dimension ref="A1:U148"/>
  <sheetViews>
    <sheetView workbookViewId="0">
      <selection activeCell="N18" sqref="N18"/>
    </sheetView>
  </sheetViews>
  <sheetFormatPr baseColWidth="10" defaultColWidth="8.83203125" defaultRowHeight="15" x14ac:dyDescent="0.2"/>
  <cols>
    <col min="1" max="1" width="11.5" bestFit="1" customWidth="1"/>
    <col min="2" max="2" width="14.83203125" bestFit="1" customWidth="1"/>
    <col min="3" max="3" width="14.1640625" bestFit="1" customWidth="1"/>
    <col min="4" max="8" width="34.1640625" bestFit="1" customWidth="1"/>
    <col min="10" max="10" width="32.83203125" customWidth="1"/>
    <col min="11" max="11" width="14.6640625" customWidth="1"/>
    <col min="12" max="12" width="9.1640625" bestFit="1" customWidth="1"/>
    <col min="13" max="13" width="12.6640625" customWidth="1"/>
    <col min="14" max="14" width="16.33203125" customWidth="1"/>
    <col min="15" max="15" width="17.33203125" customWidth="1"/>
    <col min="16" max="16" width="13.6640625" customWidth="1"/>
    <col min="17" max="17" width="13.83203125" customWidth="1"/>
    <col min="18" max="18" width="18.5" customWidth="1"/>
    <col min="19" max="19" width="15" customWidth="1"/>
    <col min="20" max="20" width="9.1640625" bestFit="1" customWidth="1"/>
    <col min="21" max="21" width="17.1640625" customWidth="1"/>
  </cols>
  <sheetData>
    <row r="1" spans="1:21" x14ac:dyDescent="0.2">
      <c r="A1" t="s">
        <v>2</v>
      </c>
      <c r="B1" t="s">
        <v>321</v>
      </c>
      <c r="C1" t="s">
        <v>316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J1" s="67" t="s">
        <v>11</v>
      </c>
      <c r="K1" s="68"/>
      <c r="L1" s="68"/>
      <c r="M1" s="68"/>
      <c r="N1" s="68"/>
      <c r="O1" s="68"/>
      <c r="P1" s="68"/>
      <c r="Q1" s="68"/>
      <c r="R1" s="68"/>
      <c r="S1" s="68"/>
      <c r="T1" s="69"/>
    </row>
    <row r="2" spans="1:21" x14ac:dyDescent="0.2">
      <c r="A2">
        <v>93117</v>
      </c>
      <c r="B2">
        <v>135</v>
      </c>
      <c r="C2" t="s">
        <v>14</v>
      </c>
      <c r="D2" t="s">
        <v>159</v>
      </c>
      <c r="E2" t="s">
        <v>159</v>
      </c>
      <c r="F2" t="s">
        <v>159</v>
      </c>
      <c r="G2" t="s">
        <v>159</v>
      </c>
      <c r="H2" t="s">
        <v>159</v>
      </c>
      <c r="J2" s="2"/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3" t="s">
        <v>24</v>
      </c>
      <c r="T2" s="4" t="s">
        <v>25</v>
      </c>
    </row>
    <row r="3" spans="1:21" x14ac:dyDescent="0.2">
      <c r="A3">
        <v>91325</v>
      </c>
      <c r="B3">
        <v>53</v>
      </c>
      <c r="C3" t="s">
        <v>14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J3" s="5" t="s">
        <v>29</v>
      </c>
      <c r="K3" s="6" cm="1">
        <f t="array" ref="K3">SUM(COUNTIF(D:H,{"A.*","B.*"}))/T10</f>
        <v>9.1503267973856203E-2</v>
      </c>
      <c r="L3" s="7">
        <f>COUNTIF(D:H,"T.*")/T10</f>
        <v>6.2091503267973858E-2</v>
      </c>
      <c r="M3" s="7" cm="1">
        <f t="array" ref="M3">SUM(COUNTIF(D:H,{"C.*","D.*","E.*","F.*","G.*","H.*","I.*","J.*","K.*","L.*","M.*","N.*","O.*","P.*"})/T10)</f>
        <v>0</v>
      </c>
      <c r="N3" s="7">
        <f>COUNTIF(D:H,"R.*")/T10</f>
        <v>0</v>
      </c>
      <c r="O3" s="7">
        <f>COUNTIF(D:H,"U.*")/T10</f>
        <v>8.1699346405228763E-3</v>
      </c>
      <c r="P3" s="7">
        <v>0</v>
      </c>
      <c r="Q3" s="7">
        <f>COUNTIF(D:H,"Q.*")/T10</f>
        <v>0</v>
      </c>
      <c r="R3" s="7">
        <f>COUNTIF(D:H,"V.*")/T10</f>
        <v>0.75980392156862742</v>
      </c>
      <c r="S3" s="7">
        <f>COUNTIF(D:H,"S.*")/T10</f>
        <v>7.8431372549019607E-2</v>
      </c>
      <c r="T3" s="7">
        <f>SUM(K3:S3)</f>
        <v>1</v>
      </c>
    </row>
    <row r="4" spans="1:21" ht="16" x14ac:dyDescent="0.2">
      <c r="A4">
        <v>91406</v>
      </c>
      <c r="B4">
        <v>50</v>
      </c>
      <c r="C4" t="s">
        <v>14</v>
      </c>
      <c r="D4" t="s">
        <v>323</v>
      </c>
      <c r="E4" t="s">
        <v>323</v>
      </c>
      <c r="F4" t="s">
        <v>323</v>
      </c>
      <c r="G4" t="s">
        <v>323</v>
      </c>
      <c r="H4" t="s">
        <v>323</v>
      </c>
      <c r="J4" s="9" t="s">
        <v>33</v>
      </c>
      <c r="K4" s="10" cm="1">
        <f t="array" ref="K4">SUM(_xlfn.BYCOL(D:H,_xlfn.LAMBDA(_xlpm.col,SUMIF(_xlpm.col,"A.*",B:B)+SUMIF(_xlpm.col,"B.*",B:B))))/K10</f>
        <v>5.15</v>
      </c>
      <c r="L4" s="11" cm="1">
        <f t="array" ref="L4">SUM(_xlfn.BYCOL(D:H,_xlfn.LAMBDA(_xlpm.col,SUMIF(_xlpm.col,"T.*",B:B))))/L10</f>
        <v>1.0657894736842106</v>
      </c>
      <c r="M4" s="12"/>
      <c r="N4" s="12"/>
      <c r="O4" s="12" cm="1">
        <f t="array" ref="O4">SUM(_xlfn.BYCOL(D:H,_xlfn.LAMBDA(_xlpm.col,SUMIF(_xlpm.col,"U.*",B:B))))/O10</f>
        <v>1</v>
      </c>
      <c r="P4" s="12"/>
      <c r="Q4" s="12"/>
      <c r="R4" s="12"/>
      <c r="S4" s="12" cm="1">
        <f t="array" ref="S4">SUM(_xlfn.BYCOL(D:H,_xlfn.LAMBDA(_xlpm.col,SUMIF(_xlpm.col,"S.*",B:B))))/T10</f>
        <v>6.8137254901960792E-2</v>
      </c>
      <c r="T4" s="10">
        <f>AVERAGE(K4:S4)</f>
        <v>1.820981682146543</v>
      </c>
    </row>
    <row r="5" spans="1:21" x14ac:dyDescent="0.2">
      <c r="A5">
        <v>90405</v>
      </c>
      <c r="B5">
        <v>50</v>
      </c>
      <c r="C5" t="s">
        <v>14</v>
      </c>
      <c r="D5" t="s">
        <v>323</v>
      </c>
      <c r="E5" t="s">
        <v>323</v>
      </c>
      <c r="F5" t="s">
        <v>323</v>
      </c>
      <c r="G5" t="s">
        <v>323</v>
      </c>
      <c r="H5" t="s">
        <v>323</v>
      </c>
      <c r="J5" s="33" t="s">
        <v>38</v>
      </c>
      <c r="K5" s="33"/>
      <c r="L5" s="33"/>
      <c r="M5" s="13"/>
      <c r="N5" s="33"/>
      <c r="O5" s="33"/>
      <c r="P5" s="33"/>
      <c r="Q5" s="33"/>
      <c r="R5" s="33"/>
      <c r="S5" s="33"/>
      <c r="T5" s="33"/>
    </row>
    <row r="6" spans="1:21" x14ac:dyDescent="0.2">
      <c r="A6">
        <v>91406</v>
      </c>
      <c r="B6">
        <v>50</v>
      </c>
      <c r="C6" t="s">
        <v>14</v>
      </c>
      <c r="D6" t="s">
        <v>159</v>
      </c>
      <c r="E6" t="s">
        <v>323</v>
      </c>
      <c r="F6" t="s">
        <v>159</v>
      </c>
      <c r="G6" t="s">
        <v>323</v>
      </c>
      <c r="H6" t="s">
        <v>159</v>
      </c>
      <c r="J6" s="14" t="s">
        <v>41</v>
      </c>
      <c r="K6" s="14"/>
      <c r="L6" s="14"/>
      <c r="M6" s="15"/>
      <c r="N6" s="14"/>
      <c r="O6" s="14"/>
      <c r="P6" s="14"/>
      <c r="Q6" s="14"/>
      <c r="R6" s="14"/>
      <c r="S6" s="14"/>
      <c r="T6" s="14"/>
    </row>
    <row r="7" spans="1:21" x14ac:dyDescent="0.2">
      <c r="A7">
        <v>90404</v>
      </c>
      <c r="B7">
        <v>48</v>
      </c>
      <c r="C7" t="s">
        <v>14</v>
      </c>
      <c r="D7" t="s">
        <v>323</v>
      </c>
      <c r="E7" t="s">
        <v>323</v>
      </c>
      <c r="F7" t="s">
        <v>323</v>
      </c>
      <c r="G7" t="s">
        <v>323</v>
      </c>
      <c r="H7" t="s">
        <v>323</v>
      </c>
      <c r="M7" s="16"/>
    </row>
    <row r="8" spans="1:21" x14ac:dyDescent="0.2">
      <c r="A8">
        <v>90064</v>
      </c>
      <c r="B8">
        <v>47</v>
      </c>
      <c r="C8" t="s">
        <v>14</v>
      </c>
      <c r="D8" t="s">
        <v>159</v>
      </c>
      <c r="E8" t="s">
        <v>323</v>
      </c>
      <c r="F8" t="s">
        <v>323</v>
      </c>
      <c r="G8" t="s">
        <v>159</v>
      </c>
      <c r="H8" t="s">
        <v>159</v>
      </c>
      <c r="J8" s="59" t="s">
        <v>47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0"/>
    </row>
    <row r="9" spans="1:21" x14ac:dyDescent="0.2">
      <c r="A9">
        <v>92630</v>
      </c>
      <c r="B9">
        <v>45</v>
      </c>
      <c r="C9" t="s">
        <v>14</v>
      </c>
      <c r="D9" t="s">
        <v>323</v>
      </c>
      <c r="E9" t="s">
        <v>323</v>
      </c>
      <c r="F9" t="s">
        <v>323</v>
      </c>
      <c r="G9" t="s">
        <v>323</v>
      </c>
      <c r="H9" t="s">
        <v>323</v>
      </c>
      <c r="J9" s="19"/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  <c r="R9" s="19" t="s">
        <v>23</v>
      </c>
      <c r="S9" s="19" t="s">
        <v>24</v>
      </c>
      <c r="T9" s="21" t="s">
        <v>25</v>
      </c>
      <c r="U9" s="19" t="s">
        <v>50</v>
      </c>
    </row>
    <row r="10" spans="1:21" x14ac:dyDescent="0.2">
      <c r="A10">
        <v>92630</v>
      </c>
      <c r="B10">
        <v>40</v>
      </c>
      <c r="C10" t="s">
        <v>14</v>
      </c>
      <c r="D10" t="s">
        <v>323</v>
      </c>
      <c r="E10" t="s">
        <v>323</v>
      </c>
      <c r="F10" t="s">
        <v>323</v>
      </c>
      <c r="G10" t="s">
        <v>323</v>
      </c>
      <c r="H10" t="s">
        <v>323</v>
      </c>
      <c r="J10" s="17" t="s">
        <v>317</v>
      </c>
      <c r="K10" s="17" cm="1">
        <f t="array" ref="K10">SUM(COUNTIF(D:H,{"A.*","B.*"}))</f>
        <v>56</v>
      </c>
      <c r="L10" s="17">
        <f>COUNTIF(D:H,"T.*")</f>
        <v>38</v>
      </c>
      <c r="M10" s="17" cm="1">
        <f t="array" ref="M10">SUM(COUNTIF(D:H,{"C.*","D.*","E.*","F.*","G.*","H.*","I.*","J.*","K.*","L.*","M.*","N.*","O.*","P.*"}))</f>
        <v>0</v>
      </c>
      <c r="N10" s="34">
        <f>COUNTIF(D:H,"R.*")</f>
        <v>0</v>
      </c>
      <c r="O10" s="17">
        <f>COUNTIF(D:H,"U.*")</f>
        <v>5</v>
      </c>
      <c r="P10" s="17">
        <v>0</v>
      </c>
      <c r="Q10" s="17">
        <f>COUNTIF(D:H,"Q.*")</f>
        <v>0</v>
      </c>
      <c r="R10" s="17">
        <f>COUNTIF(D:H,"V.*")</f>
        <v>465</v>
      </c>
      <c r="S10" s="17">
        <f>COUNTIF(D:H,"S.*")</f>
        <v>48</v>
      </c>
      <c r="T10" s="35">
        <f>SUM(K10:S10)</f>
        <v>612</v>
      </c>
      <c r="U10" s="17">
        <f>COUNTIFS($D$2:$H$1000,"&lt;&gt;",$D$2:$H$1000,"&lt;&gt;OFF.*",$D$2:$H$1000,"&lt;&gt;AA.*",$D$2:$H$1000,"&lt;&gt;BB.*",$D$2:$H$1000,"&lt;&gt;W.*",$D$2:$H$1000,"&lt;&gt;X.*",$D$2:$H$1000,"&lt;&gt;CC.*")</f>
        <v>612</v>
      </c>
    </row>
    <row r="11" spans="1:21" x14ac:dyDescent="0.2">
      <c r="A11">
        <v>92610</v>
      </c>
      <c r="B11">
        <v>40</v>
      </c>
      <c r="C11" t="s">
        <v>14</v>
      </c>
      <c r="D11" t="s">
        <v>159</v>
      </c>
      <c r="E11" t="s">
        <v>323</v>
      </c>
      <c r="F11" t="s">
        <v>323</v>
      </c>
      <c r="G11" t="s">
        <v>159</v>
      </c>
      <c r="H11" t="s">
        <v>323</v>
      </c>
    </row>
    <row r="12" spans="1:21" ht="16" x14ac:dyDescent="0.2">
      <c r="A12">
        <v>90808</v>
      </c>
      <c r="B12">
        <v>39</v>
      </c>
      <c r="C12" t="s">
        <v>14</v>
      </c>
      <c r="D12" t="s">
        <v>155</v>
      </c>
      <c r="E12" t="s">
        <v>155</v>
      </c>
      <c r="F12" t="s">
        <v>159</v>
      </c>
      <c r="G12" t="s">
        <v>159</v>
      </c>
      <c r="H12" t="s">
        <v>159</v>
      </c>
      <c r="J12" s="22" t="s">
        <v>349</v>
      </c>
      <c r="L12" s="59" t="s">
        <v>58</v>
      </c>
      <c r="M12" s="63"/>
      <c r="N12" s="60"/>
    </row>
    <row r="13" spans="1:21" ht="16" x14ac:dyDescent="0.2">
      <c r="A13">
        <v>92602</v>
      </c>
      <c r="B13">
        <v>35</v>
      </c>
      <c r="C13" t="s">
        <v>14</v>
      </c>
      <c r="D13" t="s">
        <v>323</v>
      </c>
      <c r="E13" t="s">
        <v>323</v>
      </c>
      <c r="F13" t="s">
        <v>323</v>
      </c>
      <c r="G13" t="s">
        <v>323</v>
      </c>
      <c r="H13" t="s">
        <v>323</v>
      </c>
      <c r="J13" s="36" t="s">
        <v>322</v>
      </c>
      <c r="L13" s="64" t="s">
        <v>63</v>
      </c>
      <c r="M13" s="64"/>
      <c r="N13" s="19">
        <f>2*T10/COUNTIF(A2:A1000,"&lt;&gt;")</f>
        <v>8.3265306122448983</v>
      </c>
    </row>
    <row r="14" spans="1:21" ht="16" x14ac:dyDescent="0.2">
      <c r="A14">
        <v>90065</v>
      </c>
      <c r="B14">
        <v>35</v>
      </c>
      <c r="C14" t="s">
        <v>14</v>
      </c>
      <c r="D14" t="s">
        <v>323</v>
      </c>
      <c r="E14" t="s">
        <v>159</v>
      </c>
      <c r="F14" t="s">
        <v>159</v>
      </c>
      <c r="G14" t="s">
        <v>159</v>
      </c>
      <c r="H14" t="s">
        <v>159</v>
      </c>
      <c r="J14" s="36" t="s">
        <v>329</v>
      </c>
      <c r="L14" s="62" t="s">
        <v>67</v>
      </c>
      <c r="M14" s="62"/>
      <c r="N14" s="17">
        <v>217</v>
      </c>
    </row>
    <row r="15" spans="1:21" ht="16" x14ac:dyDescent="0.2">
      <c r="A15">
        <v>90808</v>
      </c>
      <c r="B15">
        <v>35</v>
      </c>
      <c r="C15" t="s">
        <v>14</v>
      </c>
      <c r="D15" t="s">
        <v>323</v>
      </c>
      <c r="E15" t="s">
        <v>323</v>
      </c>
      <c r="F15" t="s">
        <v>323</v>
      </c>
      <c r="G15" t="s">
        <v>323</v>
      </c>
      <c r="H15" t="s">
        <v>323</v>
      </c>
      <c r="J15" s="36" t="s">
        <v>328</v>
      </c>
      <c r="L15" s="65" t="s">
        <v>72</v>
      </c>
      <c r="M15" s="65"/>
      <c r="N15" s="18">
        <f>COUNTIF(A2:A1000,"&lt;&gt;")</f>
        <v>147</v>
      </c>
    </row>
    <row r="16" spans="1:21" ht="16" x14ac:dyDescent="0.2">
      <c r="A16">
        <v>90065</v>
      </c>
      <c r="B16">
        <v>35</v>
      </c>
      <c r="C16" t="s">
        <v>14</v>
      </c>
      <c r="D16" t="s">
        <v>159</v>
      </c>
      <c r="E16" t="s">
        <v>323</v>
      </c>
      <c r="F16" t="s">
        <v>159</v>
      </c>
      <c r="G16" t="s">
        <v>159</v>
      </c>
      <c r="H16" t="s">
        <v>323</v>
      </c>
      <c r="J16" s="36" t="s">
        <v>331</v>
      </c>
      <c r="L16" s="62" t="s">
        <v>76</v>
      </c>
      <c r="M16" s="59"/>
      <c r="N16" s="27">
        <f>N15/N14</f>
        <v>0.67741935483870963</v>
      </c>
    </row>
    <row r="17" spans="1:14" ht="16" x14ac:dyDescent="0.2">
      <c r="A17">
        <v>92374</v>
      </c>
      <c r="B17">
        <v>35</v>
      </c>
      <c r="C17" t="s">
        <v>14</v>
      </c>
      <c r="D17" t="s">
        <v>323</v>
      </c>
      <c r="E17" t="s">
        <v>323</v>
      </c>
      <c r="F17" t="s">
        <v>323</v>
      </c>
      <c r="G17" t="s">
        <v>323</v>
      </c>
      <c r="H17" t="s">
        <v>322</v>
      </c>
      <c r="J17" s="36" t="s">
        <v>325</v>
      </c>
      <c r="L17" s="66" t="s">
        <v>80</v>
      </c>
      <c r="M17" s="66"/>
      <c r="N17" s="28">
        <v>32</v>
      </c>
    </row>
    <row r="18" spans="1:14" ht="16" x14ac:dyDescent="0.2">
      <c r="A18">
        <v>92374</v>
      </c>
      <c r="B18">
        <v>34</v>
      </c>
      <c r="C18" t="s">
        <v>14</v>
      </c>
      <c r="D18" t="s">
        <v>159</v>
      </c>
      <c r="E18" t="s">
        <v>323</v>
      </c>
      <c r="F18" t="s">
        <v>323</v>
      </c>
      <c r="G18" t="s">
        <v>323</v>
      </c>
      <c r="H18" t="s">
        <v>159</v>
      </c>
      <c r="J18" s="36" t="s">
        <v>332</v>
      </c>
      <c r="L18" s="59" t="s">
        <v>85</v>
      </c>
      <c r="M18" s="60"/>
      <c r="N18" s="17">
        <f>AVERAGE(B2:B1000)</f>
        <v>10.264625850340137</v>
      </c>
    </row>
    <row r="19" spans="1:14" ht="16" x14ac:dyDescent="0.2">
      <c r="A19" t="s">
        <v>350</v>
      </c>
      <c r="B19">
        <v>32</v>
      </c>
      <c r="C19" t="s">
        <v>14</v>
      </c>
      <c r="D19" t="s">
        <v>323</v>
      </c>
      <c r="E19" t="s">
        <v>323</v>
      </c>
      <c r="F19" t="s">
        <v>323</v>
      </c>
      <c r="G19" t="s">
        <v>323</v>
      </c>
      <c r="H19" t="s">
        <v>323</v>
      </c>
      <c r="J19" s="36" t="s">
        <v>334</v>
      </c>
      <c r="L19" s="59" t="s">
        <v>90</v>
      </c>
      <c r="M19" s="60"/>
      <c r="N19" s="17">
        <f>MEDIAN(B2:B1000)</f>
        <v>1.5</v>
      </c>
    </row>
    <row r="20" spans="1:14" ht="16" x14ac:dyDescent="0.2">
      <c r="A20">
        <v>90640</v>
      </c>
      <c r="B20">
        <v>30</v>
      </c>
      <c r="C20" t="s">
        <v>14</v>
      </c>
      <c r="D20" t="s">
        <v>323</v>
      </c>
      <c r="E20" t="s">
        <v>323</v>
      </c>
      <c r="F20" t="s">
        <v>323</v>
      </c>
      <c r="G20" t="s">
        <v>323</v>
      </c>
      <c r="H20" t="s">
        <v>323</v>
      </c>
      <c r="J20" s="36" t="s">
        <v>335</v>
      </c>
      <c r="L20" s="59" t="s">
        <v>94</v>
      </c>
      <c r="M20" s="60"/>
      <c r="N20" s="17">
        <f>(SUM(B2:B1000)/N15)*N14</f>
        <v>2227.4238095238097</v>
      </c>
    </row>
    <row r="21" spans="1:14" ht="16" x14ac:dyDescent="0.2">
      <c r="A21">
        <v>91105</v>
      </c>
      <c r="B21">
        <v>30</v>
      </c>
      <c r="C21" t="s">
        <v>14</v>
      </c>
      <c r="D21" t="s">
        <v>323</v>
      </c>
      <c r="E21" t="s">
        <v>323</v>
      </c>
      <c r="F21" t="s">
        <v>323</v>
      </c>
      <c r="G21" t="s">
        <v>323</v>
      </c>
      <c r="H21" t="s">
        <v>323</v>
      </c>
      <c r="J21" s="36" t="s">
        <v>337</v>
      </c>
      <c r="L21" s="59" t="s">
        <v>98</v>
      </c>
      <c r="M21" s="60"/>
      <c r="N21" s="27">
        <f>COUNTIF(B:B,"&lt;=5")/N15</f>
        <v>0.72789115646258506</v>
      </c>
    </row>
    <row r="22" spans="1:14" ht="16" x14ac:dyDescent="0.2">
      <c r="A22">
        <v>91103</v>
      </c>
      <c r="B22">
        <v>30</v>
      </c>
      <c r="C22" t="s">
        <v>14</v>
      </c>
      <c r="D22" t="s">
        <v>159</v>
      </c>
      <c r="E22" t="s">
        <v>159</v>
      </c>
      <c r="F22" t="s">
        <v>323</v>
      </c>
      <c r="G22" t="s">
        <v>159</v>
      </c>
      <c r="H22" t="s">
        <v>159</v>
      </c>
      <c r="J22" s="36" t="s">
        <v>338</v>
      </c>
    </row>
    <row r="23" spans="1:14" ht="16" x14ac:dyDescent="0.2">
      <c r="A23">
        <v>91103</v>
      </c>
      <c r="B23">
        <v>30</v>
      </c>
      <c r="C23" t="s">
        <v>14</v>
      </c>
      <c r="D23" t="s">
        <v>159</v>
      </c>
      <c r="E23" t="s">
        <v>323</v>
      </c>
      <c r="F23" t="s">
        <v>159</v>
      </c>
      <c r="G23" t="s">
        <v>159</v>
      </c>
      <c r="H23" t="s">
        <v>159</v>
      </c>
      <c r="J23" s="36" t="s">
        <v>339</v>
      </c>
    </row>
    <row r="24" spans="1:14" ht="16" x14ac:dyDescent="0.2">
      <c r="A24">
        <v>91107</v>
      </c>
      <c r="B24">
        <v>30</v>
      </c>
      <c r="C24" t="s">
        <v>14</v>
      </c>
      <c r="D24" t="s">
        <v>159</v>
      </c>
      <c r="E24" t="s">
        <v>159</v>
      </c>
      <c r="F24" t="s">
        <v>323</v>
      </c>
      <c r="G24" t="s">
        <v>159</v>
      </c>
      <c r="H24" t="s">
        <v>159</v>
      </c>
      <c r="J24" s="36" t="s">
        <v>340</v>
      </c>
    </row>
    <row r="25" spans="1:14" ht="16" x14ac:dyDescent="0.2">
      <c r="A25" t="s">
        <v>351</v>
      </c>
      <c r="B25">
        <v>30</v>
      </c>
      <c r="C25" t="s">
        <v>14</v>
      </c>
      <c r="D25" t="s">
        <v>326</v>
      </c>
      <c r="E25" t="s">
        <v>326</v>
      </c>
      <c r="F25" t="s">
        <v>326</v>
      </c>
      <c r="G25" t="s">
        <v>326</v>
      </c>
      <c r="H25" t="s">
        <v>326</v>
      </c>
      <c r="J25" s="36" t="s">
        <v>341</v>
      </c>
    </row>
    <row r="26" spans="1:14" ht="16" x14ac:dyDescent="0.2">
      <c r="A26">
        <v>91030</v>
      </c>
      <c r="B26">
        <v>30</v>
      </c>
      <c r="C26" t="s">
        <v>14</v>
      </c>
      <c r="D26" t="s">
        <v>323</v>
      </c>
      <c r="E26" t="s">
        <v>323</v>
      </c>
      <c r="F26" t="s">
        <v>323</v>
      </c>
      <c r="G26" t="s">
        <v>323</v>
      </c>
      <c r="H26" t="s">
        <v>322</v>
      </c>
      <c r="J26" s="36" t="s">
        <v>342</v>
      </c>
    </row>
    <row r="27" spans="1:14" ht="16" x14ac:dyDescent="0.2">
      <c r="A27">
        <v>90031</v>
      </c>
      <c r="B27">
        <v>30</v>
      </c>
      <c r="C27" t="s">
        <v>14</v>
      </c>
      <c r="D27" t="s">
        <v>323</v>
      </c>
      <c r="E27" t="s">
        <v>323</v>
      </c>
      <c r="F27" t="s">
        <v>323</v>
      </c>
      <c r="G27" t="s">
        <v>323</v>
      </c>
      <c r="H27" t="s">
        <v>323</v>
      </c>
      <c r="J27" s="36" t="s">
        <v>343</v>
      </c>
    </row>
    <row r="28" spans="1:14" ht="16" x14ac:dyDescent="0.2">
      <c r="A28">
        <v>91106</v>
      </c>
      <c r="B28">
        <v>28</v>
      </c>
      <c r="C28" t="s">
        <v>14</v>
      </c>
      <c r="D28" t="s">
        <v>323</v>
      </c>
      <c r="E28" t="s">
        <v>323</v>
      </c>
      <c r="F28" t="s">
        <v>323</v>
      </c>
      <c r="G28" t="s">
        <v>323</v>
      </c>
      <c r="H28" t="s">
        <v>323</v>
      </c>
      <c r="J28" s="36" t="s">
        <v>344</v>
      </c>
    </row>
    <row r="29" spans="1:14" ht="16" x14ac:dyDescent="0.2">
      <c r="A29">
        <v>91101</v>
      </c>
      <c r="B29">
        <v>28</v>
      </c>
      <c r="C29" t="s">
        <v>14</v>
      </c>
      <c r="D29" t="s">
        <v>159</v>
      </c>
      <c r="E29" t="s">
        <v>159</v>
      </c>
      <c r="F29" t="s">
        <v>159</v>
      </c>
      <c r="G29" t="s">
        <v>159</v>
      </c>
      <c r="H29" t="s">
        <v>323</v>
      </c>
      <c r="J29" s="36" t="s">
        <v>345</v>
      </c>
    </row>
    <row r="30" spans="1:14" ht="16" x14ac:dyDescent="0.2">
      <c r="A30">
        <v>91104</v>
      </c>
      <c r="B30">
        <v>27</v>
      </c>
      <c r="C30" t="s">
        <v>14</v>
      </c>
      <c r="D30" t="s">
        <v>323</v>
      </c>
      <c r="E30" t="s">
        <v>323</v>
      </c>
      <c r="F30" t="s">
        <v>323</v>
      </c>
      <c r="G30" t="s">
        <v>323</v>
      </c>
      <c r="H30" t="s">
        <v>323</v>
      </c>
      <c r="J30" s="36" t="s">
        <v>336</v>
      </c>
    </row>
    <row r="31" spans="1:14" ht="16" x14ac:dyDescent="0.2">
      <c r="A31">
        <v>92865</v>
      </c>
      <c r="B31">
        <v>27</v>
      </c>
      <c r="C31" t="s">
        <v>14</v>
      </c>
      <c r="D31" t="s">
        <v>322</v>
      </c>
      <c r="E31" t="s">
        <v>322</v>
      </c>
      <c r="F31" t="s">
        <v>322</v>
      </c>
      <c r="G31" t="s">
        <v>322</v>
      </c>
      <c r="H31" t="s">
        <v>322</v>
      </c>
      <c r="J31" s="36" t="s">
        <v>346</v>
      </c>
    </row>
    <row r="32" spans="1:14" ht="16" x14ac:dyDescent="0.2">
      <c r="A32">
        <v>91030</v>
      </c>
      <c r="B32">
        <v>27</v>
      </c>
      <c r="C32" t="s">
        <v>14</v>
      </c>
      <c r="D32" t="s">
        <v>323</v>
      </c>
      <c r="E32" t="s">
        <v>159</v>
      </c>
      <c r="F32" t="s">
        <v>159</v>
      </c>
      <c r="G32" t="s">
        <v>159</v>
      </c>
      <c r="H32" t="s">
        <v>323</v>
      </c>
      <c r="J32" s="36" t="s">
        <v>347</v>
      </c>
    </row>
    <row r="33" spans="1:10" ht="16" x14ac:dyDescent="0.2">
      <c r="A33">
        <v>91106</v>
      </c>
      <c r="B33">
        <v>26</v>
      </c>
      <c r="C33" t="s">
        <v>14</v>
      </c>
      <c r="D33" t="s">
        <v>323</v>
      </c>
      <c r="E33" t="s">
        <v>323</v>
      </c>
      <c r="F33" t="s">
        <v>323</v>
      </c>
      <c r="G33" t="s">
        <v>323</v>
      </c>
      <c r="H33" t="s">
        <v>323</v>
      </c>
      <c r="J33" s="36" t="s">
        <v>324</v>
      </c>
    </row>
    <row r="34" spans="1:10" ht="16" x14ac:dyDescent="0.2">
      <c r="A34">
        <v>91001</v>
      </c>
      <c r="B34">
        <v>25</v>
      </c>
      <c r="C34" t="s">
        <v>14</v>
      </c>
      <c r="D34" t="s">
        <v>159</v>
      </c>
      <c r="E34" t="s">
        <v>326</v>
      </c>
      <c r="F34" t="s">
        <v>159</v>
      </c>
      <c r="G34" t="s">
        <v>323</v>
      </c>
      <c r="H34" t="s">
        <v>159</v>
      </c>
      <c r="J34" s="36" t="s">
        <v>323</v>
      </c>
    </row>
    <row r="35" spans="1:10" ht="16" x14ac:dyDescent="0.2">
      <c r="A35">
        <v>91104</v>
      </c>
      <c r="B35">
        <v>25</v>
      </c>
      <c r="C35" t="s">
        <v>14</v>
      </c>
      <c r="D35" t="s">
        <v>159</v>
      </c>
      <c r="E35" t="s">
        <v>159</v>
      </c>
      <c r="F35" t="s">
        <v>159</v>
      </c>
      <c r="G35" t="s">
        <v>159</v>
      </c>
      <c r="H35" t="s">
        <v>159</v>
      </c>
      <c r="J35" s="36" t="s">
        <v>326</v>
      </c>
    </row>
    <row r="36" spans="1:10" ht="16" x14ac:dyDescent="0.2">
      <c r="A36">
        <v>92833</v>
      </c>
      <c r="B36">
        <v>24</v>
      </c>
      <c r="C36" t="s">
        <v>14</v>
      </c>
      <c r="D36" t="s">
        <v>323</v>
      </c>
      <c r="E36" t="s">
        <v>159</v>
      </c>
      <c r="F36" t="s">
        <v>323</v>
      </c>
      <c r="G36" t="s">
        <v>159</v>
      </c>
      <c r="H36" t="s">
        <v>159</v>
      </c>
      <c r="J36" s="36" t="s">
        <v>146</v>
      </c>
    </row>
    <row r="37" spans="1:10" ht="16" x14ac:dyDescent="0.2">
      <c r="A37">
        <v>91744</v>
      </c>
      <c r="B37">
        <v>20</v>
      </c>
      <c r="C37" t="s">
        <v>14</v>
      </c>
      <c r="D37" t="s">
        <v>323</v>
      </c>
      <c r="E37" t="s">
        <v>323</v>
      </c>
      <c r="F37" t="s">
        <v>323</v>
      </c>
      <c r="G37" t="s">
        <v>323</v>
      </c>
      <c r="H37" t="s">
        <v>323</v>
      </c>
      <c r="J37" s="36" t="s">
        <v>153</v>
      </c>
    </row>
    <row r="38" spans="1:10" ht="16" x14ac:dyDescent="0.2">
      <c r="A38">
        <v>91739</v>
      </c>
      <c r="B38">
        <v>12</v>
      </c>
      <c r="C38" t="s">
        <v>14</v>
      </c>
      <c r="D38" t="s">
        <v>323</v>
      </c>
      <c r="E38" t="s">
        <v>323</v>
      </c>
      <c r="F38" t="s">
        <v>323</v>
      </c>
      <c r="G38" t="s">
        <v>323</v>
      </c>
      <c r="H38" t="s">
        <v>323</v>
      </c>
      <c r="J38" s="36" t="s">
        <v>155</v>
      </c>
    </row>
    <row r="39" spans="1:10" ht="16" x14ac:dyDescent="0.2">
      <c r="A39" t="s">
        <v>352</v>
      </c>
      <c r="B39">
        <v>7</v>
      </c>
      <c r="C39" t="s">
        <v>14</v>
      </c>
      <c r="D39" t="s">
        <v>159</v>
      </c>
      <c r="E39" t="s">
        <v>159</v>
      </c>
      <c r="F39" t="s">
        <v>159</v>
      </c>
      <c r="G39" t="s">
        <v>159</v>
      </c>
      <c r="H39" t="s">
        <v>322</v>
      </c>
      <c r="J39" s="36" t="s">
        <v>157</v>
      </c>
    </row>
    <row r="40" spans="1:10" ht="16" x14ac:dyDescent="0.2">
      <c r="A40">
        <v>91784</v>
      </c>
      <c r="B40">
        <v>7</v>
      </c>
      <c r="C40" t="s">
        <v>14</v>
      </c>
      <c r="D40" t="s">
        <v>159</v>
      </c>
      <c r="E40" t="s">
        <v>159</v>
      </c>
      <c r="F40" t="s">
        <v>159</v>
      </c>
      <c r="G40" t="s">
        <v>159</v>
      </c>
      <c r="H40" t="s">
        <v>159</v>
      </c>
      <c r="J40" s="37" t="s">
        <v>159</v>
      </c>
    </row>
    <row r="41" spans="1:10" x14ac:dyDescent="0.2">
      <c r="A41">
        <v>91730</v>
      </c>
      <c r="B41">
        <v>5.9</v>
      </c>
      <c r="C41" t="s">
        <v>14</v>
      </c>
      <c r="D41" t="s">
        <v>323</v>
      </c>
      <c r="E41" t="s">
        <v>323</v>
      </c>
      <c r="F41" t="s">
        <v>323</v>
      </c>
      <c r="G41" t="s">
        <v>323</v>
      </c>
      <c r="H41" t="s">
        <v>323</v>
      </c>
    </row>
    <row r="42" spans="1:10" x14ac:dyDescent="0.2">
      <c r="A42">
        <v>91711</v>
      </c>
      <c r="B42">
        <v>5</v>
      </c>
      <c r="C42" t="s">
        <v>14</v>
      </c>
      <c r="D42" t="s">
        <v>323</v>
      </c>
      <c r="E42" t="s">
        <v>323</v>
      </c>
      <c r="F42" t="s">
        <v>323</v>
      </c>
      <c r="G42" t="s">
        <v>323</v>
      </c>
      <c r="H42" t="s">
        <v>323</v>
      </c>
    </row>
    <row r="43" spans="1:10" x14ac:dyDescent="0.2">
      <c r="A43">
        <v>91767</v>
      </c>
      <c r="B43">
        <v>5</v>
      </c>
      <c r="C43" t="s">
        <v>14</v>
      </c>
      <c r="D43" t="s">
        <v>322</v>
      </c>
      <c r="E43" t="s">
        <v>323</v>
      </c>
      <c r="F43" t="s">
        <v>323</v>
      </c>
      <c r="G43" t="s">
        <v>323</v>
      </c>
      <c r="H43" t="s">
        <v>322</v>
      </c>
    </row>
    <row r="44" spans="1:10" x14ac:dyDescent="0.2">
      <c r="A44" t="s">
        <v>353</v>
      </c>
      <c r="B44">
        <v>4</v>
      </c>
      <c r="C44" t="s">
        <v>14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</row>
    <row r="45" spans="1:10" x14ac:dyDescent="0.2">
      <c r="A45">
        <v>91750</v>
      </c>
      <c r="B45">
        <v>4</v>
      </c>
      <c r="C45" t="s">
        <v>14</v>
      </c>
      <c r="D45" t="s">
        <v>323</v>
      </c>
      <c r="E45" t="s">
        <v>323</v>
      </c>
      <c r="F45" t="s">
        <v>323</v>
      </c>
      <c r="G45" t="s">
        <v>323</v>
      </c>
      <c r="H45" t="s">
        <v>323</v>
      </c>
    </row>
    <row r="46" spans="1:10" x14ac:dyDescent="0.2">
      <c r="A46">
        <v>91786</v>
      </c>
      <c r="B46">
        <v>4</v>
      </c>
      <c r="C46" t="s">
        <v>14</v>
      </c>
      <c r="D46" t="s">
        <v>326</v>
      </c>
      <c r="E46" t="s">
        <v>326</v>
      </c>
      <c r="F46" t="s">
        <v>326</v>
      </c>
      <c r="G46" t="s">
        <v>326</v>
      </c>
      <c r="H46" t="s">
        <v>326</v>
      </c>
    </row>
    <row r="47" spans="1:10" x14ac:dyDescent="0.2">
      <c r="A47">
        <v>91711</v>
      </c>
      <c r="B47">
        <v>3</v>
      </c>
      <c r="C47" t="s">
        <v>14</v>
      </c>
      <c r="D47" t="s">
        <v>323</v>
      </c>
      <c r="E47" t="s">
        <v>323</v>
      </c>
      <c r="F47" t="s">
        <v>323</v>
      </c>
      <c r="G47" t="s">
        <v>323</v>
      </c>
      <c r="H47" t="s">
        <v>323</v>
      </c>
    </row>
    <row r="48" spans="1:10" x14ac:dyDescent="0.2">
      <c r="A48">
        <v>91711</v>
      </c>
      <c r="B48">
        <v>3</v>
      </c>
      <c r="C48" t="s">
        <v>14</v>
      </c>
      <c r="D48" t="s">
        <v>322</v>
      </c>
      <c r="E48" t="s">
        <v>322</v>
      </c>
      <c r="F48" t="s">
        <v>322</v>
      </c>
      <c r="G48" t="s">
        <v>322</v>
      </c>
      <c r="H48" t="s">
        <v>322</v>
      </c>
    </row>
    <row r="49" spans="1:8" x14ac:dyDescent="0.2">
      <c r="A49">
        <v>91711</v>
      </c>
      <c r="B49">
        <v>3</v>
      </c>
      <c r="C49" t="s">
        <v>14</v>
      </c>
      <c r="D49" t="s">
        <v>323</v>
      </c>
      <c r="E49" t="s">
        <v>323</v>
      </c>
      <c r="F49" t="s">
        <v>323</v>
      </c>
      <c r="G49" t="s">
        <v>323</v>
      </c>
      <c r="H49" t="s">
        <v>323</v>
      </c>
    </row>
    <row r="50" spans="1:8" x14ac:dyDescent="0.2">
      <c r="A50">
        <v>91711</v>
      </c>
      <c r="B50">
        <v>3</v>
      </c>
      <c r="C50" t="s">
        <v>14</v>
      </c>
      <c r="D50" t="s">
        <v>159</v>
      </c>
      <c r="E50" t="s">
        <v>159</v>
      </c>
      <c r="F50" t="s">
        <v>159</v>
      </c>
      <c r="G50" t="s">
        <v>159</v>
      </c>
      <c r="H50" t="s">
        <v>159</v>
      </c>
    </row>
    <row r="51" spans="1:8" x14ac:dyDescent="0.2">
      <c r="A51">
        <v>91711</v>
      </c>
      <c r="B51">
        <v>3</v>
      </c>
      <c r="C51" t="s">
        <v>14</v>
      </c>
      <c r="D51" t="s">
        <v>323</v>
      </c>
      <c r="E51" t="s">
        <v>323</v>
      </c>
      <c r="F51" t="s">
        <v>323</v>
      </c>
      <c r="G51" t="s">
        <v>323</v>
      </c>
      <c r="H51" t="s">
        <v>323</v>
      </c>
    </row>
    <row r="52" spans="1:8" x14ac:dyDescent="0.2">
      <c r="A52">
        <v>91711</v>
      </c>
      <c r="B52">
        <v>3</v>
      </c>
      <c r="C52" t="s">
        <v>14</v>
      </c>
      <c r="D52" t="s">
        <v>323</v>
      </c>
      <c r="E52" t="s">
        <v>323</v>
      </c>
      <c r="F52" t="s">
        <v>323</v>
      </c>
      <c r="G52" t="s">
        <v>323</v>
      </c>
      <c r="H52" t="s">
        <v>323</v>
      </c>
    </row>
    <row r="53" spans="1:8" x14ac:dyDescent="0.2">
      <c r="A53">
        <v>91711</v>
      </c>
      <c r="B53">
        <v>3</v>
      </c>
      <c r="C53" t="s">
        <v>14</v>
      </c>
      <c r="D53" t="s">
        <v>326</v>
      </c>
      <c r="E53" t="s">
        <v>322</v>
      </c>
      <c r="F53" t="s">
        <v>326</v>
      </c>
      <c r="G53" t="s">
        <v>322</v>
      </c>
      <c r="H53" t="s">
        <v>326</v>
      </c>
    </row>
    <row r="54" spans="1:8" x14ac:dyDescent="0.2">
      <c r="A54">
        <v>91711</v>
      </c>
      <c r="B54">
        <v>2.5</v>
      </c>
      <c r="C54" t="s">
        <v>14</v>
      </c>
      <c r="D54" t="s">
        <v>323</v>
      </c>
      <c r="E54" t="s">
        <v>323</v>
      </c>
      <c r="F54" t="s">
        <v>323</v>
      </c>
      <c r="G54" t="s">
        <v>323</v>
      </c>
      <c r="H54" t="s">
        <v>323</v>
      </c>
    </row>
    <row r="55" spans="1:8" x14ac:dyDescent="0.2">
      <c r="A55" t="s">
        <v>354</v>
      </c>
      <c r="B55">
        <v>2</v>
      </c>
      <c r="C55" t="s">
        <v>14</v>
      </c>
      <c r="D55" t="s">
        <v>346</v>
      </c>
      <c r="E55" t="s">
        <v>347</v>
      </c>
      <c r="F55" t="s">
        <v>322</v>
      </c>
      <c r="G55" t="s">
        <v>323</v>
      </c>
      <c r="H55" t="s">
        <v>323</v>
      </c>
    </row>
    <row r="56" spans="1:8" x14ac:dyDescent="0.2">
      <c r="A56">
        <v>91767</v>
      </c>
      <c r="B56">
        <v>2</v>
      </c>
      <c r="C56" t="s">
        <v>14</v>
      </c>
      <c r="D56" t="s">
        <v>323</v>
      </c>
      <c r="E56" t="s">
        <v>323</v>
      </c>
      <c r="F56" t="s">
        <v>322</v>
      </c>
      <c r="G56" t="s">
        <v>323</v>
      </c>
      <c r="H56" t="s">
        <v>322</v>
      </c>
    </row>
    <row r="57" spans="1:8" x14ac:dyDescent="0.2">
      <c r="A57">
        <v>91711</v>
      </c>
      <c r="B57">
        <v>2</v>
      </c>
      <c r="C57" t="s">
        <v>14</v>
      </c>
      <c r="D57" t="s">
        <v>323</v>
      </c>
      <c r="E57" t="s">
        <v>323</v>
      </c>
      <c r="F57" t="s">
        <v>323</v>
      </c>
      <c r="G57" t="s">
        <v>323</v>
      </c>
      <c r="H57" t="s">
        <v>323</v>
      </c>
    </row>
    <row r="58" spans="1:8" x14ac:dyDescent="0.2">
      <c r="A58">
        <v>91711</v>
      </c>
      <c r="B58">
        <v>2</v>
      </c>
      <c r="C58" t="s">
        <v>14</v>
      </c>
      <c r="D58" t="s">
        <v>323</v>
      </c>
      <c r="E58" t="s">
        <v>323</v>
      </c>
      <c r="F58" t="s">
        <v>323</v>
      </c>
      <c r="G58" t="s">
        <v>323</v>
      </c>
      <c r="H58" t="s">
        <v>323</v>
      </c>
    </row>
    <row r="59" spans="1:8" x14ac:dyDescent="0.2">
      <c r="A59">
        <v>91711</v>
      </c>
      <c r="B59">
        <v>2</v>
      </c>
      <c r="C59" t="s">
        <v>14</v>
      </c>
      <c r="D59" t="s">
        <v>326</v>
      </c>
      <c r="E59" t="s">
        <v>326</v>
      </c>
      <c r="F59" t="s">
        <v>326</v>
      </c>
      <c r="G59" t="s">
        <v>326</v>
      </c>
      <c r="H59" t="s">
        <v>326</v>
      </c>
    </row>
    <row r="60" spans="1:8" x14ac:dyDescent="0.2">
      <c r="A60">
        <v>91711</v>
      </c>
      <c r="B60">
        <v>2</v>
      </c>
      <c r="C60" t="s">
        <v>14</v>
      </c>
      <c r="D60" t="s">
        <v>323</v>
      </c>
      <c r="E60" t="s">
        <v>323</v>
      </c>
      <c r="F60" t="s">
        <v>323</v>
      </c>
      <c r="G60" t="s">
        <v>323</v>
      </c>
      <c r="H60" t="s">
        <v>323</v>
      </c>
    </row>
    <row r="61" spans="1:8" x14ac:dyDescent="0.2">
      <c r="A61">
        <v>91711</v>
      </c>
      <c r="B61">
        <v>2</v>
      </c>
      <c r="C61" t="s">
        <v>14</v>
      </c>
      <c r="D61" t="s">
        <v>323</v>
      </c>
      <c r="E61" t="s">
        <v>323</v>
      </c>
      <c r="F61" t="s">
        <v>323</v>
      </c>
      <c r="G61" t="s">
        <v>323</v>
      </c>
      <c r="H61" t="s">
        <v>323</v>
      </c>
    </row>
    <row r="62" spans="1:8" x14ac:dyDescent="0.2">
      <c r="A62">
        <v>91711</v>
      </c>
      <c r="B62">
        <v>2</v>
      </c>
      <c r="C62" t="s">
        <v>14</v>
      </c>
      <c r="D62" t="s">
        <v>322</v>
      </c>
      <c r="E62" t="s">
        <v>322</v>
      </c>
      <c r="F62" t="s">
        <v>322</v>
      </c>
      <c r="G62" t="s">
        <v>322</v>
      </c>
      <c r="H62" t="s">
        <v>322</v>
      </c>
    </row>
    <row r="63" spans="1:8" x14ac:dyDescent="0.2">
      <c r="A63">
        <v>91711</v>
      </c>
      <c r="B63">
        <v>2</v>
      </c>
      <c r="C63" t="s">
        <v>14</v>
      </c>
      <c r="D63" t="s">
        <v>347</v>
      </c>
      <c r="E63" t="s">
        <v>347</v>
      </c>
      <c r="F63" t="s">
        <v>347</v>
      </c>
      <c r="G63" t="s">
        <v>347</v>
      </c>
      <c r="H63" t="s">
        <v>347</v>
      </c>
    </row>
    <row r="64" spans="1:8" x14ac:dyDescent="0.2">
      <c r="A64">
        <v>91711</v>
      </c>
      <c r="B64">
        <v>2</v>
      </c>
      <c r="C64" t="s">
        <v>14</v>
      </c>
      <c r="D64" t="s">
        <v>323</v>
      </c>
      <c r="E64" t="s">
        <v>323</v>
      </c>
      <c r="F64" t="s">
        <v>323</v>
      </c>
      <c r="G64" t="s">
        <v>323</v>
      </c>
      <c r="H64" t="s">
        <v>323</v>
      </c>
    </row>
    <row r="65" spans="1:8" x14ac:dyDescent="0.2">
      <c r="A65">
        <v>91711</v>
      </c>
      <c r="B65">
        <v>2</v>
      </c>
      <c r="C65" t="s">
        <v>14</v>
      </c>
      <c r="D65" t="s">
        <v>323</v>
      </c>
      <c r="E65" t="s">
        <v>323</v>
      </c>
      <c r="F65" t="s">
        <v>323</v>
      </c>
      <c r="G65" t="s">
        <v>323</v>
      </c>
      <c r="H65" t="s">
        <v>323</v>
      </c>
    </row>
    <row r="66" spans="1:8" x14ac:dyDescent="0.2">
      <c r="A66">
        <v>91782</v>
      </c>
      <c r="B66">
        <v>2</v>
      </c>
      <c r="C66" t="s">
        <v>14</v>
      </c>
      <c r="D66" t="s">
        <v>323</v>
      </c>
      <c r="E66" t="s">
        <v>323</v>
      </c>
      <c r="F66" t="s">
        <v>323</v>
      </c>
      <c r="G66" t="s">
        <v>323</v>
      </c>
      <c r="H66" t="s">
        <v>323</v>
      </c>
    </row>
    <row r="67" spans="1:8" x14ac:dyDescent="0.2">
      <c r="A67">
        <v>91711</v>
      </c>
      <c r="B67">
        <v>2</v>
      </c>
      <c r="C67" t="s">
        <v>14</v>
      </c>
      <c r="D67" t="s">
        <v>159</v>
      </c>
      <c r="E67" t="s">
        <v>159</v>
      </c>
      <c r="F67" t="s">
        <v>159</v>
      </c>
      <c r="G67" t="s">
        <v>159</v>
      </c>
      <c r="H67" t="s">
        <v>159</v>
      </c>
    </row>
    <row r="68" spans="1:8" x14ac:dyDescent="0.2">
      <c r="A68" t="s">
        <v>355</v>
      </c>
      <c r="B68">
        <v>2</v>
      </c>
      <c r="C68" t="s">
        <v>14</v>
      </c>
      <c r="D68" t="s">
        <v>323</v>
      </c>
      <c r="E68" t="s">
        <v>323</v>
      </c>
      <c r="F68" t="s">
        <v>323</v>
      </c>
      <c r="G68" t="s">
        <v>323</v>
      </c>
      <c r="H68" t="s">
        <v>323</v>
      </c>
    </row>
    <row r="69" spans="1:8" x14ac:dyDescent="0.2">
      <c r="A69">
        <v>91711</v>
      </c>
      <c r="B69">
        <v>1.7</v>
      </c>
      <c r="C69" t="s">
        <v>14</v>
      </c>
      <c r="D69" t="s">
        <v>323</v>
      </c>
      <c r="E69" t="s">
        <v>323</v>
      </c>
      <c r="F69" t="s">
        <v>323</v>
      </c>
      <c r="G69" t="s">
        <v>323</v>
      </c>
      <c r="H69" t="s">
        <v>323</v>
      </c>
    </row>
    <row r="70" spans="1:8" x14ac:dyDescent="0.2">
      <c r="A70">
        <v>91711</v>
      </c>
      <c r="B70">
        <v>1.5</v>
      </c>
      <c r="C70" t="s">
        <v>14</v>
      </c>
      <c r="D70" t="s">
        <v>323</v>
      </c>
      <c r="E70" t="s">
        <v>323</v>
      </c>
      <c r="F70" t="s">
        <v>322</v>
      </c>
      <c r="G70" t="s">
        <v>323</v>
      </c>
      <c r="H70" t="s">
        <v>323</v>
      </c>
    </row>
    <row r="71" spans="1:8" x14ac:dyDescent="0.2">
      <c r="A71">
        <v>91711</v>
      </c>
      <c r="B71">
        <v>1.5</v>
      </c>
      <c r="C71" t="s">
        <v>14</v>
      </c>
      <c r="D71" t="s">
        <v>323</v>
      </c>
      <c r="E71" t="s">
        <v>323</v>
      </c>
      <c r="F71" t="s">
        <v>323</v>
      </c>
      <c r="G71" t="s">
        <v>323</v>
      </c>
      <c r="H71" t="s">
        <v>323</v>
      </c>
    </row>
    <row r="72" spans="1:8" x14ac:dyDescent="0.2">
      <c r="A72">
        <v>91711</v>
      </c>
      <c r="B72">
        <v>1.5</v>
      </c>
      <c r="C72" t="s">
        <v>14</v>
      </c>
      <c r="D72" t="s">
        <v>322</v>
      </c>
      <c r="E72" t="s">
        <v>322</v>
      </c>
      <c r="F72" t="s">
        <v>347</v>
      </c>
      <c r="G72" t="s">
        <v>323</v>
      </c>
      <c r="H72" t="s">
        <v>322</v>
      </c>
    </row>
    <row r="73" spans="1:8" x14ac:dyDescent="0.2">
      <c r="A73">
        <v>91711</v>
      </c>
      <c r="B73">
        <v>1.5</v>
      </c>
      <c r="C73" t="s">
        <v>14</v>
      </c>
      <c r="D73" t="s">
        <v>322</v>
      </c>
      <c r="E73" t="s">
        <v>322</v>
      </c>
      <c r="F73" t="s">
        <v>347</v>
      </c>
      <c r="G73" t="s">
        <v>322</v>
      </c>
      <c r="H73" t="s">
        <v>322</v>
      </c>
    </row>
    <row r="74" spans="1:8" x14ac:dyDescent="0.2">
      <c r="A74">
        <v>91711</v>
      </c>
      <c r="B74">
        <v>1.5</v>
      </c>
      <c r="C74" t="s">
        <v>14</v>
      </c>
      <c r="D74" t="s">
        <v>323</v>
      </c>
      <c r="E74" t="s">
        <v>323</v>
      </c>
      <c r="F74" t="s">
        <v>323</v>
      </c>
      <c r="G74" t="s">
        <v>323</v>
      </c>
      <c r="H74" t="s">
        <v>323</v>
      </c>
    </row>
    <row r="75" spans="1:8" x14ac:dyDescent="0.2">
      <c r="A75">
        <v>91767</v>
      </c>
      <c r="B75">
        <v>1.5</v>
      </c>
      <c r="C75" t="s">
        <v>14</v>
      </c>
      <c r="D75" t="s">
        <v>347</v>
      </c>
      <c r="E75" t="s">
        <v>326</v>
      </c>
      <c r="F75" t="s">
        <v>326</v>
      </c>
      <c r="G75" t="s">
        <v>347</v>
      </c>
      <c r="H75" t="s">
        <v>347</v>
      </c>
    </row>
    <row r="76" spans="1:8" x14ac:dyDescent="0.2">
      <c r="A76">
        <v>91711</v>
      </c>
      <c r="B76">
        <v>1.5</v>
      </c>
      <c r="C76" t="s">
        <v>14</v>
      </c>
      <c r="D76" t="s">
        <v>323</v>
      </c>
      <c r="E76" t="s">
        <v>323</v>
      </c>
      <c r="F76" t="s">
        <v>323</v>
      </c>
      <c r="G76" t="s">
        <v>323</v>
      </c>
      <c r="H76" t="s">
        <v>323</v>
      </c>
    </row>
    <row r="77" spans="1:8" x14ac:dyDescent="0.2">
      <c r="A77">
        <v>91711</v>
      </c>
      <c r="B77">
        <v>1.5</v>
      </c>
      <c r="C77" t="s">
        <v>14</v>
      </c>
      <c r="D77" t="s">
        <v>323</v>
      </c>
      <c r="E77" t="s">
        <v>323</v>
      </c>
      <c r="F77" t="s">
        <v>323</v>
      </c>
      <c r="G77" t="s">
        <v>323</v>
      </c>
      <c r="H77" t="s">
        <v>323</v>
      </c>
    </row>
    <row r="78" spans="1:8" x14ac:dyDescent="0.2">
      <c r="A78">
        <v>91711</v>
      </c>
      <c r="B78">
        <v>1.4</v>
      </c>
      <c r="C78" t="s">
        <v>14</v>
      </c>
      <c r="D78" t="s">
        <v>323</v>
      </c>
      <c r="E78" t="s">
        <v>323</v>
      </c>
      <c r="F78" t="s">
        <v>323</v>
      </c>
      <c r="G78" t="s">
        <v>323</v>
      </c>
      <c r="H78" t="s">
        <v>323</v>
      </c>
    </row>
    <row r="79" spans="1:8" x14ac:dyDescent="0.2">
      <c r="A79" t="s">
        <v>356</v>
      </c>
      <c r="B79">
        <v>1.2</v>
      </c>
      <c r="C79" t="s">
        <v>14</v>
      </c>
      <c r="D79" t="s">
        <v>323</v>
      </c>
      <c r="E79" t="s">
        <v>323</v>
      </c>
      <c r="F79" t="s">
        <v>323</v>
      </c>
      <c r="G79" t="s">
        <v>159</v>
      </c>
      <c r="H79" t="s">
        <v>323</v>
      </c>
    </row>
    <row r="80" spans="1:8" x14ac:dyDescent="0.2">
      <c r="A80">
        <v>91711</v>
      </c>
      <c r="B80">
        <v>1.1000000000000001</v>
      </c>
      <c r="C80" t="s">
        <v>14</v>
      </c>
      <c r="D80" t="s">
        <v>323</v>
      </c>
      <c r="E80" t="s">
        <v>323</v>
      </c>
      <c r="F80" t="s">
        <v>323</v>
      </c>
      <c r="G80" t="s">
        <v>323</v>
      </c>
      <c r="H80" t="s">
        <v>323</v>
      </c>
    </row>
    <row r="81" spans="1:8" x14ac:dyDescent="0.2">
      <c r="A81">
        <v>91711</v>
      </c>
      <c r="B81">
        <v>1</v>
      </c>
      <c r="C81" t="s">
        <v>14</v>
      </c>
      <c r="D81" t="s">
        <v>159</v>
      </c>
      <c r="E81" t="s">
        <v>159</v>
      </c>
      <c r="F81" t="s">
        <v>323</v>
      </c>
      <c r="G81" t="s">
        <v>323</v>
      </c>
      <c r="H81" t="s">
        <v>323</v>
      </c>
    </row>
    <row r="82" spans="1:8" x14ac:dyDescent="0.2">
      <c r="A82">
        <v>91711</v>
      </c>
      <c r="B82">
        <v>1</v>
      </c>
      <c r="C82" t="s">
        <v>14</v>
      </c>
      <c r="D82" t="s">
        <v>323</v>
      </c>
      <c r="E82" t="s">
        <v>323</v>
      </c>
      <c r="F82" t="s">
        <v>323</v>
      </c>
      <c r="G82" t="s">
        <v>323</v>
      </c>
      <c r="H82" t="s">
        <v>323</v>
      </c>
    </row>
    <row r="83" spans="1:8" x14ac:dyDescent="0.2">
      <c r="A83">
        <v>91711</v>
      </c>
      <c r="B83">
        <v>1</v>
      </c>
      <c r="C83" t="s">
        <v>14</v>
      </c>
      <c r="D83" t="s">
        <v>323</v>
      </c>
      <c r="E83" t="s">
        <v>323</v>
      </c>
      <c r="F83" t="s">
        <v>323</v>
      </c>
      <c r="G83" t="s">
        <v>323</v>
      </c>
      <c r="H83" t="s">
        <v>323</v>
      </c>
    </row>
    <row r="84" spans="1:8" x14ac:dyDescent="0.2">
      <c r="A84">
        <v>91711</v>
      </c>
      <c r="B84">
        <v>1</v>
      </c>
      <c r="C84" t="s">
        <v>14</v>
      </c>
      <c r="D84" t="s">
        <v>323</v>
      </c>
      <c r="E84" t="s">
        <v>323</v>
      </c>
      <c r="F84" t="s">
        <v>323</v>
      </c>
      <c r="G84" t="s">
        <v>323</v>
      </c>
      <c r="H84" t="s">
        <v>323</v>
      </c>
    </row>
    <row r="85" spans="1:8" x14ac:dyDescent="0.2">
      <c r="A85">
        <v>91711</v>
      </c>
      <c r="B85">
        <v>1</v>
      </c>
      <c r="C85" t="s">
        <v>14</v>
      </c>
      <c r="D85" t="s">
        <v>159</v>
      </c>
      <c r="E85" t="s">
        <v>323</v>
      </c>
      <c r="F85" t="s">
        <v>159</v>
      </c>
      <c r="G85" t="s">
        <v>323</v>
      </c>
      <c r="H85" t="s">
        <v>159</v>
      </c>
    </row>
    <row r="86" spans="1:8" x14ac:dyDescent="0.2">
      <c r="A86">
        <v>91711</v>
      </c>
      <c r="B86">
        <v>1</v>
      </c>
      <c r="C86" t="s">
        <v>14</v>
      </c>
      <c r="D86" t="s">
        <v>324</v>
      </c>
      <c r="E86" t="s">
        <v>324</v>
      </c>
      <c r="F86" t="s">
        <v>324</v>
      </c>
      <c r="G86" t="s">
        <v>324</v>
      </c>
      <c r="H86" t="s">
        <v>324</v>
      </c>
    </row>
    <row r="87" spans="1:8" x14ac:dyDescent="0.2">
      <c r="A87">
        <v>91711</v>
      </c>
      <c r="B87">
        <v>1</v>
      </c>
      <c r="C87" t="s">
        <v>14</v>
      </c>
      <c r="D87" t="s">
        <v>346</v>
      </c>
      <c r="E87" t="s">
        <v>346</v>
      </c>
      <c r="F87" t="s">
        <v>346</v>
      </c>
      <c r="G87" t="s">
        <v>346</v>
      </c>
      <c r="H87" t="s">
        <v>346</v>
      </c>
    </row>
    <row r="88" spans="1:8" x14ac:dyDescent="0.2">
      <c r="A88">
        <v>91711</v>
      </c>
      <c r="B88">
        <v>1</v>
      </c>
      <c r="C88" t="s">
        <v>14</v>
      </c>
      <c r="D88" t="s">
        <v>323</v>
      </c>
      <c r="E88" t="s">
        <v>347</v>
      </c>
      <c r="F88" t="s">
        <v>323</v>
      </c>
      <c r="G88" t="s">
        <v>347</v>
      </c>
      <c r="H88" t="s">
        <v>323</v>
      </c>
    </row>
    <row r="89" spans="1:8" x14ac:dyDescent="0.2">
      <c r="A89">
        <v>91711</v>
      </c>
      <c r="B89">
        <v>1</v>
      </c>
      <c r="C89" t="s">
        <v>14</v>
      </c>
      <c r="D89" t="s">
        <v>323</v>
      </c>
      <c r="E89" t="s">
        <v>323</v>
      </c>
      <c r="F89" t="s">
        <v>323</v>
      </c>
      <c r="G89" t="s">
        <v>323</v>
      </c>
      <c r="H89" t="s">
        <v>323</v>
      </c>
    </row>
    <row r="90" spans="1:8" x14ac:dyDescent="0.2">
      <c r="A90">
        <v>91711</v>
      </c>
      <c r="B90">
        <v>1</v>
      </c>
      <c r="C90" t="s">
        <v>14</v>
      </c>
      <c r="D90" t="s">
        <v>347</v>
      </c>
      <c r="E90" t="s">
        <v>347</v>
      </c>
      <c r="F90" t="s">
        <v>347</v>
      </c>
      <c r="G90" t="s">
        <v>347</v>
      </c>
      <c r="H90" t="s">
        <v>347</v>
      </c>
    </row>
    <row r="91" spans="1:8" x14ac:dyDescent="0.2">
      <c r="A91">
        <v>91711</v>
      </c>
      <c r="B91">
        <v>1</v>
      </c>
      <c r="C91" t="s">
        <v>14</v>
      </c>
      <c r="D91" t="s">
        <v>323</v>
      </c>
      <c r="E91" t="s">
        <v>323</v>
      </c>
      <c r="F91" t="s">
        <v>323</v>
      </c>
      <c r="G91" t="s">
        <v>323</v>
      </c>
      <c r="H91" t="s">
        <v>323</v>
      </c>
    </row>
    <row r="92" spans="1:8" x14ac:dyDescent="0.2">
      <c r="A92">
        <v>91711</v>
      </c>
      <c r="B92">
        <v>1</v>
      </c>
      <c r="C92" t="s">
        <v>14</v>
      </c>
      <c r="D92" t="s">
        <v>159</v>
      </c>
      <c r="E92" t="s">
        <v>323</v>
      </c>
      <c r="F92" t="s">
        <v>323</v>
      </c>
      <c r="G92" t="s">
        <v>159</v>
      </c>
      <c r="H92" t="s">
        <v>323</v>
      </c>
    </row>
    <row r="93" spans="1:8" x14ac:dyDescent="0.2">
      <c r="A93" t="s">
        <v>357</v>
      </c>
      <c r="B93">
        <v>1</v>
      </c>
      <c r="C93" t="s">
        <v>14</v>
      </c>
      <c r="D93" t="s">
        <v>322</v>
      </c>
      <c r="E93" t="s">
        <v>322</v>
      </c>
      <c r="F93" t="s">
        <v>322</v>
      </c>
      <c r="G93" t="s">
        <v>323</v>
      </c>
      <c r="H93" t="s">
        <v>322</v>
      </c>
    </row>
    <row r="94" spans="1:8" x14ac:dyDescent="0.2">
      <c r="A94" t="s">
        <v>358</v>
      </c>
      <c r="B94">
        <v>1</v>
      </c>
      <c r="C94" t="s">
        <v>14</v>
      </c>
      <c r="D94" t="s">
        <v>323</v>
      </c>
      <c r="E94" t="s">
        <v>323</v>
      </c>
      <c r="F94" t="s">
        <v>323</v>
      </c>
      <c r="G94" t="s">
        <v>323</v>
      </c>
      <c r="H94" t="s">
        <v>323</v>
      </c>
    </row>
    <row r="95" spans="1:8" x14ac:dyDescent="0.2">
      <c r="A95">
        <v>91711</v>
      </c>
      <c r="B95">
        <v>1</v>
      </c>
      <c r="C95" t="s">
        <v>14</v>
      </c>
      <c r="D95" t="s">
        <v>323</v>
      </c>
      <c r="E95" t="s">
        <v>323</v>
      </c>
      <c r="F95" t="s">
        <v>323</v>
      </c>
      <c r="G95" t="s">
        <v>323</v>
      </c>
      <c r="H95" t="s">
        <v>323</v>
      </c>
    </row>
    <row r="96" spans="1:8" x14ac:dyDescent="0.2">
      <c r="A96">
        <v>91711</v>
      </c>
      <c r="B96">
        <v>1</v>
      </c>
      <c r="C96" t="s">
        <v>14</v>
      </c>
      <c r="D96" t="s">
        <v>347</v>
      </c>
      <c r="E96" t="s">
        <v>347</v>
      </c>
      <c r="F96" t="s">
        <v>347</v>
      </c>
      <c r="G96" t="s">
        <v>347</v>
      </c>
      <c r="H96" t="s">
        <v>347</v>
      </c>
    </row>
    <row r="97" spans="1:8" x14ac:dyDescent="0.2">
      <c r="A97">
        <v>91711</v>
      </c>
      <c r="B97">
        <v>1</v>
      </c>
      <c r="C97" t="s">
        <v>14</v>
      </c>
      <c r="D97" t="s">
        <v>323</v>
      </c>
      <c r="E97" t="s">
        <v>323</v>
      </c>
      <c r="F97" t="s">
        <v>323</v>
      </c>
      <c r="G97" t="s">
        <v>323</v>
      </c>
      <c r="H97" t="s">
        <v>323</v>
      </c>
    </row>
    <row r="98" spans="1:8" x14ac:dyDescent="0.2">
      <c r="A98">
        <v>91711</v>
      </c>
      <c r="B98">
        <v>1</v>
      </c>
      <c r="C98" t="s">
        <v>14</v>
      </c>
      <c r="D98" t="s">
        <v>346</v>
      </c>
      <c r="E98" t="s">
        <v>323</v>
      </c>
      <c r="F98" t="s">
        <v>346</v>
      </c>
      <c r="G98" t="s">
        <v>346</v>
      </c>
      <c r="H98" t="s">
        <v>346</v>
      </c>
    </row>
    <row r="99" spans="1:8" x14ac:dyDescent="0.2">
      <c r="A99">
        <v>91711</v>
      </c>
      <c r="B99">
        <v>1</v>
      </c>
      <c r="C99" t="s">
        <v>14</v>
      </c>
      <c r="D99" t="s">
        <v>323</v>
      </c>
      <c r="E99" t="s">
        <v>323</v>
      </c>
      <c r="F99" t="s">
        <v>323</v>
      </c>
      <c r="G99" t="s">
        <v>323</v>
      </c>
      <c r="H99" t="s">
        <v>323</v>
      </c>
    </row>
    <row r="100" spans="1:8" x14ac:dyDescent="0.2">
      <c r="A100">
        <v>91711</v>
      </c>
      <c r="B100">
        <v>1</v>
      </c>
      <c r="C100" t="s">
        <v>14</v>
      </c>
      <c r="D100" t="s">
        <v>323</v>
      </c>
      <c r="E100" t="s">
        <v>323</v>
      </c>
      <c r="F100" t="s">
        <v>323</v>
      </c>
      <c r="G100" t="s">
        <v>323</v>
      </c>
      <c r="H100" t="s">
        <v>323</v>
      </c>
    </row>
    <row r="101" spans="1:8" x14ac:dyDescent="0.2">
      <c r="A101">
        <v>91786</v>
      </c>
      <c r="B101">
        <v>1</v>
      </c>
      <c r="C101" t="s">
        <v>14</v>
      </c>
      <c r="D101" t="s">
        <v>323</v>
      </c>
      <c r="E101" t="s">
        <v>323</v>
      </c>
      <c r="F101" t="s">
        <v>323</v>
      </c>
      <c r="G101" t="s">
        <v>323</v>
      </c>
      <c r="H101" t="s">
        <v>323</v>
      </c>
    </row>
    <row r="102" spans="1:8" x14ac:dyDescent="0.2">
      <c r="A102">
        <v>91711</v>
      </c>
      <c r="B102">
        <v>1</v>
      </c>
      <c r="C102" t="s">
        <v>14</v>
      </c>
      <c r="D102" t="s">
        <v>323</v>
      </c>
      <c r="E102" t="s">
        <v>322</v>
      </c>
      <c r="F102" t="s">
        <v>323</v>
      </c>
      <c r="G102" t="s">
        <v>322</v>
      </c>
      <c r="H102" t="s">
        <v>323</v>
      </c>
    </row>
    <row r="103" spans="1:8" x14ac:dyDescent="0.2">
      <c r="A103">
        <v>91711</v>
      </c>
      <c r="B103">
        <v>1</v>
      </c>
      <c r="C103" t="s">
        <v>14</v>
      </c>
      <c r="D103" t="s">
        <v>323</v>
      </c>
      <c r="E103" t="s">
        <v>323</v>
      </c>
      <c r="F103" t="s">
        <v>323</v>
      </c>
      <c r="G103" t="s">
        <v>323</v>
      </c>
      <c r="H103" t="s">
        <v>323</v>
      </c>
    </row>
    <row r="104" spans="1:8" x14ac:dyDescent="0.2">
      <c r="A104">
        <v>91711</v>
      </c>
      <c r="B104">
        <v>1</v>
      </c>
      <c r="C104" t="s">
        <v>14</v>
      </c>
      <c r="D104" t="s">
        <v>323</v>
      </c>
      <c r="E104" t="s">
        <v>323</v>
      </c>
      <c r="F104" t="s">
        <v>323</v>
      </c>
      <c r="G104" t="s">
        <v>323</v>
      </c>
      <c r="H104" t="s">
        <v>323</v>
      </c>
    </row>
    <row r="105" spans="1:8" x14ac:dyDescent="0.2">
      <c r="A105">
        <v>91711</v>
      </c>
      <c r="B105">
        <v>1</v>
      </c>
      <c r="C105" t="s">
        <v>14</v>
      </c>
      <c r="D105" t="s">
        <v>347</v>
      </c>
      <c r="E105" t="s">
        <v>347</v>
      </c>
      <c r="F105" t="s">
        <v>347</v>
      </c>
      <c r="G105" t="s">
        <v>347</v>
      </c>
      <c r="H105" t="s">
        <v>347</v>
      </c>
    </row>
    <row r="106" spans="1:8" x14ac:dyDescent="0.2">
      <c r="A106">
        <v>91711</v>
      </c>
      <c r="B106">
        <v>1</v>
      </c>
      <c r="C106" t="s">
        <v>14</v>
      </c>
      <c r="D106" t="s">
        <v>322</v>
      </c>
      <c r="E106" t="s">
        <v>322</v>
      </c>
      <c r="F106" t="s">
        <v>322</v>
      </c>
      <c r="G106" t="s">
        <v>322</v>
      </c>
      <c r="H106" t="s">
        <v>323</v>
      </c>
    </row>
    <row r="107" spans="1:8" x14ac:dyDescent="0.2">
      <c r="A107">
        <v>91711</v>
      </c>
      <c r="B107">
        <v>1</v>
      </c>
      <c r="C107" t="s">
        <v>14</v>
      </c>
      <c r="D107" t="s">
        <v>322</v>
      </c>
      <c r="E107" t="s">
        <v>322</v>
      </c>
      <c r="F107" t="s">
        <v>322</v>
      </c>
      <c r="G107" t="s">
        <v>322</v>
      </c>
      <c r="H107" t="s">
        <v>322</v>
      </c>
    </row>
    <row r="108" spans="1:8" x14ac:dyDescent="0.2">
      <c r="A108">
        <v>91711</v>
      </c>
      <c r="B108">
        <v>1</v>
      </c>
      <c r="C108" t="s">
        <v>14</v>
      </c>
      <c r="D108" t="s">
        <v>323</v>
      </c>
      <c r="E108" t="s">
        <v>323</v>
      </c>
      <c r="F108" t="s">
        <v>323</v>
      </c>
      <c r="G108" t="s">
        <v>323</v>
      </c>
      <c r="H108" t="s">
        <v>323</v>
      </c>
    </row>
    <row r="109" spans="1:8" x14ac:dyDescent="0.2">
      <c r="A109">
        <v>91711</v>
      </c>
      <c r="B109">
        <v>1</v>
      </c>
      <c r="C109" t="s">
        <v>14</v>
      </c>
      <c r="D109" t="s">
        <v>323</v>
      </c>
      <c r="E109" t="s">
        <v>323</v>
      </c>
      <c r="F109" t="s">
        <v>323</v>
      </c>
      <c r="G109" t="s">
        <v>323</v>
      </c>
      <c r="H109" t="s">
        <v>323</v>
      </c>
    </row>
    <row r="110" spans="1:8" x14ac:dyDescent="0.2">
      <c r="A110">
        <v>91711</v>
      </c>
      <c r="B110">
        <v>1</v>
      </c>
      <c r="C110" t="s">
        <v>14</v>
      </c>
      <c r="D110" t="s">
        <v>323</v>
      </c>
      <c r="E110" t="s">
        <v>323</v>
      </c>
      <c r="F110" t="s">
        <v>323</v>
      </c>
      <c r="G110" t="s">
        <v>323</v>
      </c>
      <c r="H110" t="s">
        <v>323</v>
      </c>
    </row>
    <row r="111" spans="1:8" x14ac:dyDescent="0.2">
      <c r="A111">
        <v>91711</v>
      </c>
      <c r="B111">
        <v>1</v>
      </c>
      <c r="C111" t="s">
        <v>14</v>
      </c>
      <c r="D111" t="s">
        <v>346</v>
      </c>
      <c r="E111" t="s">
        <v>346</v>
      </c>
      <c r="F111" t="s">
        <v>346</v>
      </c>
      <c r="G111" t="s">
        <v>346</v>
      </c>
      <c r="H111" t="s">
        <v>346</v>
      </c>
    </row>
    <row r="112" spans="1:8" x14ac:dyDescent="0.2">
      <c r="A112">
        <v>91711</v>
      </c>
      <c r="B112">
        <v>1</v>
      </c>
      <c r="C112" t="s">
        <v>14</v>
      </c>
      <c r="D112" t="s">
        <v>323</v>
      </c>
      <c r="E112" t="s">
        <v>323</v>
      </c>
      <c r="F112" t="s">
        <v>323</v>
      </c>
      <c r="G112" t="s">
        <v>323</v>
      </c>
      <c r="H112" t="s">
        <v>323</v>
      </c>
    </row>
    <row r="113" spans="1:8" x14ac:dyDescent="0.2">
      <c r="A113">
        <v>91711</v>
      </c>
      <c r="B113">
        <v>1</v>
      </c>
      <c r="C113" t="s">
        <v>14</v>
      </c>
      <c r="D113" t="s">
        <v>346</v>
      </c>
      <c r="E113" t="s">
        <v>346</v>
      </c>
      <c r="F113" t="s">
        <v>346</v>
      </c>
      <c r="G113" t="s">
        <v>346</v>
      </c>
      <c r="H113" t="s">
        <v>346</v>
      </c>
    </row>
    <row r="114" spans="1:8" x14ac:dyDescent="0.2">
      <c r="A114">
        <v>91711</v>
      </c>
      <c r="B114">
        <v>1</v>
      </c>
      <c r="C114" t="s">
        <v>14</v>
      </c>
      <c r="D114" t="s">
        <v>323</v>
      </c>
      <c r="E114" t="s">
        <v>323</v>
      </c>
      <c r="F114" t="s">
        <v>323</v>
      </c>
      <c r="G114" t="s">
        <v>323</v>
      </c>
      <c r="H114" t="s">
        <v>323</v>
      </c>
    </row>
    <row r="115" spans="1:8" x14ac:dyDescent="0.2">
      <c r="A115">
        <v>91711</v>
      </c>
      <c r="B115">
        <v>1</v>
      </c>
      <c r="C115" t="s">
        <v>14</v>
      </c>
      <c r="D115" t="s">
        <v>159</v>
      </c>
      <c r="E115" t="s">
        <v>159</v>
      </c>
      <c r="F115" t="s">
        <v>159</v>
      </c>
      <c r="G115" t="s">
        <v>159</v>
      </c>
      <c r="H115" t="s">
        <v>159</v>
      </c>
    </row>
    <row r="116" spans="1:8" x14ac:dyDescent="0.2">
      <c r="A116">
        <v>97124</v>
      </c>
      <c r="B116">
        <v>1</v>
      </c>
      <c r="C116" t="s">
        <v>14</v>
      </c>
      <c r="D116" t="s">
        <v>346</v>
      </c>
      <c r="E116" t="s">
        <v>346</v>
      </c>
      <c r="F116" t="s">
        <v>346</v>
      </c>
      <c r="G116" t="s">
        <v>346</v>
      </c>
      <c r="H116" t="s">
        <v>346</v>
      </c>
    </row>
    <row r="117" spans="1:8" x14ac:dyDescent="0.2">
      <c r="A117">
        <v>91711</v>
      </c>
      <c r="B117">
        <v>1</v>
      </c>
      <c r="C117" t="s">
        <v>14</v>
      </c>
      <c r="D117" t="s">
        <v>346</v>
      </c>
      <c r="E117" t="s">
        <v>346</v>
      </c>
      <c r="F117" t="s">
        <v>346</v>
      </c>
      <c r="G117" t="s">
        <v>346</v>
      </c>
      <c r="H117" t="s">
        <v>346</v>
      </c>
    </row>
    <row r="118" spans="1:8" x14ac:dyDescent="0.2">
      <c r="A118">
        <v>91711</v>
      </c>
      <c r="B118">
        <v>1</v>
      </c>
      <c r="C118" t="s">
        <v>14</v>
      </c>
      <c r="D118" t="s">
        <v>346</v>
      </c>
      <c r="E118" t="s">
        <v>346</v>
      </c>
      <c r="F118" t="s">
        <v>346</v>
      </c>
      <c r="G118" t="s">
        <v>346</v>
      </c>
      <c r="H118" t="s">
        <v>346</v>
      </c>
    </row>
    <row r="119" spans="1:8" x14ac:dyDescent="0.2">
      <c r="A119">
        <v>91711</v>
      </c>
      <c r="B119">
        <v>1</v>
      </c>
      <c r="C119" t="s">
        <v>14</v>
      </c>
      <c r="D119" t="s">
        <v>322</v>
      </c>
      <c r="E119" t="s">
        <v>322</v>
      </c>
      <c r="F119" t="s">
        <v>322</v>
      </c>
      <c r="G119" t="s">
        <v>322</v>
      </c>
      <c r="H119" t="s">
        <v>322</v>
      </c>
    </row>
    <row r="120" spans="1:8" x14ac:dyDescent="0.2">
      <c r="A120">
        <v>91711</v>
      </c>
      <c r="B120">
        <v>1</v>
      </c>
      <c r="C120" t="s">
        <v>14</v>
      </c>
      <c r="D120" t="s">
        <v>323</v>
      </c>
      <c r="E120" t="s">
        <v>323</v>
      </c>
      <c r="F120" t="s">
        <v>323</v>
      </c>
      <c r="G120" t="s">
        <v>323</v>
      </c>
      <c r="H120" t="s">
        <v>323</v>
      </c>
    </row>
    <row r="121" spans="1:8" x14ac:dyDescent="0.2">
      <c r="A121">
        <v>91711</v>
      </c>
      <c r="B121">
        <v>1</v>
      </c>
      <c r="C121" t="s">
        <v>14</v>
      </c>
      <c r="D121" t="s">
        <v>323</v>
      </c>
      <c r="E121" t="s">
        <v>323</v>
      </c>
      <c r="F121" t="s">
        <v>323</v>
      </c>
      <c r="G121" t="s">
        <v>347</v>
      </c>
      <c r="H121" t="s">
        <v>323</v>
      </c>
    </row>
    <row r="122" spans="1:8" x14ac:dyDescent="0.2">
      <c r="A122">
        <v>91711</v>
      </c>
      <c r="B122">
        <v>1</v>
      </c>
      <c r="C122" t="s">
        <v>14</v>
      </c>
      <c r="D122" t="s">
        <v>323</v>
      </c>
      <c r="E122" t="s">
        <v>323</v>
      </c>
      <c r="F122" t="s">
        <v>323</v>
      </c>
      <c r="G122" t="s">
        <v>323</v>
      </c>
      <c r="H122" t="s">
        <v>323</v>
      </c>
    </row>
    <row r="123" spans="1:8" x14ac:dyDescent="0.2">
      <c r="A123">
        <v>91711</v>
      </c>
      <c r="B123">
        <v>1</v>
      </c>
      <c r="C123" t="s">
        <v>14</v>
      </c>
      <c r="D123" t="s">
        <v>323</v>
      </c>
      <c r="E123" t="s">
        <v>323</v>
      </c>
      <c r="F123" t="s">
        <v>323</v>
      </c>
      <c r="G123" t="s">
        <v>323</v>
      </c>
      <c r="H123" t="s">
        <v>323</v>
      </c>
    </row>
    <row r="124" spans="1:8" x14ac:dyDescent="0.2">
      <c r="A124">
        <v>91711</v>
      </c>
      <c r="B124">
        <v>1</v>
      </c>
      <c r="C124" t="s">
        <v>14</v>
      </c>
      <c r="D124" t="s">
        <v>323</v>
      </c>
      <c r="E124" t="s">
        <v>323</v>
      </c>
      <c r="F124" t="s">
        <v>323</v>
      </c>
      <c r="G124" t="s">
        <v>323</v>
      </c>
      <c r="H124" t="s">
        <v>323</v>
      </c>
    </row>
    <row r="125" spans="1:8" x14ac:dyDescent="0.2">
      <c r="A125">
        <v>91711</v>
      </c>
      <c r="B125">
        <v>0.8</v>
      </c>
      <c r="C125" t="s">
        <v>14</v>
      </c>
      <c r="D125" t="s">
        <v>323</v>
      </c>
      <c r="E125" t="s">
        <v>322</v>
      </c>
      <c r="F125" t="s">
        <v>323</v>
      </c>
      <c r="G125" t="s">
        <v>322</v>
      </c>
      <c r="H125" t="s">
        <v>322</v>
      </c>
    </row>
    <row r="126" spans="1:8" x14ac:dyDescent="0.2">
      <c r="A126">
        <v>91711</v>
      </c>
      <c r="B126">
        <v>0.5</v>
      </c>
      <c r="C126" t="s">
        <v>14</v>
      </c>
      <c r="D126" t="s">
        <v>323</v>
      </c>
      <c r="E126" t="s">
        <v>323</v>
      </c>
      <c r="F126" t="s">
        <v>323</v>
      </c>
      <c r="G126" t="s">
        <v>323</v>
      </c>
      <c r="H126" t="s">
        <v>323</v>
      </c>
    </row>
    <row r="127" spans="1:8" x14ac:dyDescent="0.2">
      <c r="A127">
        <v>91711</v>
      </c>
      <c r="B127">
        <v>0.5</v>
      </c>
      <c r="C127" t="s">
        <v>14</v>
      </c>
      <c r="D127" t="s">
        <v>346</v>
      </c>
      <c r="E127" t="s">
        <v>346</v>
      </c>
      <c r="F127" t="s">
        <v>346</v>
      </c>
      <c r="G127" t="s">
        <v>346</v>
      </c>
      <c r="H127" t="s">
        <v>346</v>
      </c>
    </row>
    <row r="128" spans="1:8" x14ac:dyDescent="0.2">
      <c r="A128">
        <v>91711</v>
      </c>
      <c r="B128">
        <v>0.5</v>
      </c>
      <c r="C128" t="s">
        <v>14</v>
      </c>
      <c r="D128" t="s">
        <v>347</v>
      </c>
      <c r="E128" t="s">
        <v>347</v>
      </c>
      <c r="F128" t="s">
        <v>347</v>
      </c>
      <c r="G128" t="s">
        <v>347</v>
      </c>
      <c r="H128" t="s">
        <v>323</v>
      </c>
    </row>
    <row r="129" spans="1:8" x14ac:dyDescent="0.2">
      <c r="A129">
        <v>91711</v>
      </c>
      <c r="B129">
        <v>0.5</v>
      </c>
      <c r="C129" t="s">
        <v>14</v>
      </c>
      <c r="D129" t="s">
        <v>323</v>
      </c>
      <c r="E129" t="s">
        <v>346</v>
      </c>
      <c r="F129" t="s">
        <v>323</v>
      </c>
      <c r="G129" t="s">
        <v>346</v>
      </c>
      <c r="H129" t="s">
        <v>323</v>
      </c>
    </row>
    <row r="130" spans="1:8" x14ac:dyDescent="0.2">
      <c r="A130">
        <v>91711</v>
      </c>
      <c r="B130">
        <v>0.5</v>
      </c>
      <c r="C130" t="s">
        <v>14</v>
      </c>
      <c r="D130" t="s">
        <v>159</v>
      </c>
      <c r="E130" t="s">
        <v>159</v>
      </c>
      <c r="F130" t="s">
        <v>159</v>
      </c>
      <c r="G130" t="s">
        <v>159</v>
      </c>
      <c r="H130" t="s">
        <v>159</v>
      </c>
    </row>
    <row r="131" spans="1:8" x14ac:dyDescent="0.2">
      <c r="A131">
        <v>91711</v>
      </c>
      <c r="B131">
        <v>0.5</v>
      </c>
      <c r="C131" t="s">
        <v>14</v>
      </c>
      <c r="D131" t="s">
        <v>323</v>
      </c>
      <c r="E131" t="s">
        <v>323</v>
      </c>
      <c r="F131" t="s">
        <v>323</v>
      </c>
      <c r="G131" t="s">
        <v>323</v>
      </c>
      <c r="H131" t="s">
        <v>346</v>
      </c>
    </row>
    <row r="132" spans="1:8" x14ac:dyDescent="0.2">
      <c r="A132" t="s">
        <v>359</v>
      </c>
      <c r="B132">
        <v>0.5</v>
      </c>
      <c r="C132" t="s">
        <v>14</v>
      </c>
      <c r="D132" t="s">
        <v>323</v>
      </c>
      <c r="E132" t="s">
        <v>323</v>
      </c>
      <c r="F132" t="s">
        <v>346</v>
      </c>
      <c r="G132" t="s">
        <v>323</v>
      </c>
      <c r="H132" t="s">
        <v>323</v>
      </c>
    </row>
    <row r="133" spans="1:8" x14ac:dyDescent="0.2">
      <c r="A133">
        <v>91711</v>
      </c>
      <c r="B133">
        <v>0.5</v>
      </c>
      <c r="C133" t="s">
        <v>14</v>
      </c>
      <c r="D133" t="s">
        <v>323</v>
      </c>
      <c r="E133" t="s">
        <v>346</v>
      </c>
      <c r="F133" t="s">
        <v>323</v>
      </c>
      <c r="G133" t="s">
        <v>346</v>
      </c>
      <c r="H133" t="s">
        <v>323</v>
      </c>
    </row>
    <row r="134" spans="1:8" x14ac:dyDescent="0.2">
      <c r="A134">
        <v>91711</v>
      </c>
      <c r="B134">
        <v>0.5</v>
      </c>
      <c r="C134" t="s">
        <v>14</v>
      </c>
      <c r="D134" t="s">
        <v>323</v>
      </c>
      <c r="E134" t="s">
        <v>323</v>
      </c>
      <c r="F134" t="s">
        <v>323</v>
      </c>
      <c r="G134" t="s">
        <v>323</v>
      </c>
      <c r="H134" t="s">
        <v>159</v>
      </c>
    </row>
    <row r="135" spans="1:8" x14ac:dyDescent="0.2">
      <c r="A135">
        <v>91711</v>
      </c>
      <c r="B135">
        <v>0.5</v>
      </c>
      <c r="C135" t="s">
        <v>14</v>
      </c>
      <c r="D135" t="s">
        <v>323</v>
      </c>
      <c r="E135" t="s">
        <v>323</v>
      </c>
      <c r="F135" t="s">
        <v>323</v>
      </c>
      <c r="G135" t="s">
        <v>323</v>
      </c>
      <c r="H135" t="s">
        <v>323</v>
      </c>
    </row>
    <row r="136" spans="1:8" x14ac:dyDescent="0.2">
      <c r="A136">
        <v>91711</v>
      </c>
      <c r="B136">
        <v>0.3</v>
      </c>
      <c r="C136" t="s">
        <v>14</v>
      </c>
      <c r="D136" t="s">
        <v>323</v>
      </c>
      <c r="E136" t="s">
        <v>323</v>
      </c>
      <c r="F136" t="s">
        <v>323</v>
      </c>
      <c r="G136" t="s">
        <v>323</v>
      </c>
      <c r="H136" t="s">
        <v>323</v>
      </c>
    </row>
    <row r="137" spans="1:8" x14ac:dyDescent="0.2">
      <c r="A137">
        <v>91711</v>
      </c>
      <c r="B137">
        <v>0.25</v>
      </c>
      <c r="C137" t="s">
        <v>14</v>
      </c>
      <c r="D137" t="s">
        <v>159</v>
      </c>
      <c r="E137" t="s">
        <v>323</v>
      </c>
      <c r="F137" t="s">
        <v>159</v>
      </c>
      <c r="G137" t="s">
        <v>323</v>
      </c>
      <c r="H137" t="s">
        <v>323</v>
      </c>
    </row>
    <row r="138" spans="1:8" x14ac:dyDescent="0.2">
      <c r="A138">
        <v>91711</v>
      </c>
      <c r="B138">
        <v>0.25</v>
      </c>
      <c r="C138" t="s">
        <v>14</v>
      </c>
      <c r="D138" t="s">
        <v>323</v>
      </c>
      <c r="E138" t="s">
        <v>323</v>
      </c>
      <c r="F138" t="s">
        <v>323</v>
      </c>
      <c r="G138" t="s">
        <v>323</v>
      </c>
      <c r="H138" t="s">
        <v>323</v>
      </c>
    </row>
    <row r="139" spans="1:8" x14ac:dyDescent="0.2">
      <c r="A139" t="s">
        <v>360</v>
      </c>
      <c r="B139">
        <v>0.2</v>
      </c>
      <c r="C139" t="s">
        <v>14</v>
      </c>
      <c r="D139" t="s">
        <v>347</v>
      </c>
      <c r="E139" t="s">
        <v>347</v>
      </c>
      <c r="F139" t="s">
        <v>347</v>
      </c>
      <c r="G139" t="s">
        <v>347</v>
      </c>
      <c r="H139" t="s">
        <v>347</v>
      </c>
    </row>
    <row r="140" spans="1:8" x14ac:dyDescent="0.2">
      <c r="A140">
        <v>91711</v>
      </c>
      <c r="B140">
        <v>0.2</v>
      </c>
      <c r="C140" t="s">
        <v>14</v>
      </c>
      <c r="D140" t="s">
        <v>323</v>
      </c>
      <c r="E140" t="s">
        <v>323</v>
      </c>
      <c r="F140" t="s">
        <v>323</v>
      </c>
      <c r="G140" t="s">
        <v>323</v>
      </c>
      <c r="H140" t="s">
        <v>323</v>
      </c>
    </row>
    <row r="141" spans="1:8" x14ac:dyDescent="0.2">
      <c r="A141">
        <v>91711</v>
      </c>
      <c r="B141">
        <v>0.1</v>
      </c>
      <c r="C141" t="s">
        <v>14</v>
      </c>
      <c r="D141" t="s">
        <v>323</v>
      </c>
      <c r="E141" t="s">
        <v>346</v>
      </c>
      <c r="F141" t="s">
        <v>323</v>
      </c>
      <c r="G141" t="s">
        <v>346</v>
      </c>
      <c r="H141" t="s">
        <v>323</v>
      </c>
    </row>
    <row r="142" spans="1:8" x14ac:dyDescent="0.2">
      <c r="A142">
        <v>91711</v>
      </c>
      <c r="B142">
        <v>0</v>
      </c>
      <c r="C142" t="s">
        <v>14</v>
      </c>
      <c r="D142" t="s">
        <v>323</v>
      </c>
      <c r="E142" t="s">
        <v>323</v>
      </c>
      <c r="F142" t="s">
        <v>323</v>
      </c>
      <c r="G142" t="s">
        <v>323</v>
      </c>
      <c r="H142" t="s">
        <v>323</v>
      </c>
    </row>
    <row r="143" spans="1:8" x14ac:dyDescent="0.2">
      <c r="A143" t="s">
        <v>361</v>
      </c>
      <c r="B143">
        <v>0</v>
      </c>
      <c r="C143" t="s">
        <v>14</v>
      </c>
      <c r="D143" t="s">
        <v>323</v>
      </c>
      <c r="E143" t="s">
        <v>323</v>
      </c>
      <c r="F143" t="s">
        <v>323</v>
      </c>
      <c r="G143" t="s">
        <v>323</v>
      </c>
      <c r="H143" t="s">
        <v>323</v>
      </c>
    </row>
    <row r="144" spans="1:8" x14ac:dyDescent="0.2">
      <c r="A144">
        <v>90026</v>
      </c>
      <c r="B144">
        <v>0</v>
      </c>
      <c r="C144" t="s">
        <v>14</v>
      </c>
      <c r="D144" t="s">
        <v>323</v>
      </c>
      <c r="E144" t="s">
        <v>323</v>
      </c>
      <c r="F144" t="s">
        <v>323</v>
      </c>
      <c r="G144" t="s">
        <v>323</v>
      </c>
      <c r="H144" t="s">
        <v>323</v>
      </c>
    </row>
    <row r="145" spans="1:8" x14ac:dyDescent="0.2">
      <c r="A145">
        <v>92104</v>
      </c>
      <c r="B145">
        <v>0</v>
      </c>
      <c r="C145" t="s">
        <v>14</v>
      </c>
      <c r="D145" t="s">
        <v>323</v>
      </c>
      <c r="E145" t="s">
        <v>323</v>
      </c>
      <c r="F145" t="s">
        <v>323</v>
      </c>
      <c r="G145" t="s">
        <v>323</v>
      </c>
      <c r="H145" t="s">
        <v>323</v>
      </c>
    </row>
    <row r="146" spans="1:8" x14ac:dyDescent="0.2">
      <c r="A146">
        <v>91711</v>
      </c>
      <c r="B146">
        <v>0</v>
      </c>
      <c r="C146" t="s">
        <v>14</v>
      </c>
      <c r="D146" t="s">
        <v>323</v>
      </c>
      <c r="E146" t="s">
        <v>323</v>
      </c>
      <c r="F146" t="s">
        <v>323</v>
      </c>
      <c r="G146" t="s">
        <v>323</v>
      </c>
      <c r="H146" t="s">
        <v>323</v>
      </c>
    </row>
    <row r="147" spans="1:8" x14ac:dyDescent="0.2">
      <c r="A147">
        <v>91105</v>
      </c>
      <c r="B147">
        <v>0</v>
      </c>
      <c r="C147" t="s">
        <v>14</v>
      </c>
      <c r="D147" t="s">
        <v>323</v>
      </c>
      <c r="E147" t="s">
        <v>323</v>
      </c>
      <c r="F147" t="s">
        <v>323</v>
      </c>
      <c r="G147" t="s">
        <v>323</v>
      </c>
      <c r="H147" t="s">
        <v>323</v>
      </c>
    </row>
    <row r="148" spans="1:8" x14ac:dyDescent="0.2">
      <c r="A148">
        <v>91767</v>
      </c>
      <c r="B148">
        <v>0</v>
      </c>
      <c r="C148" t="s">
        <v>14</v>
      </c>
      <c r="D148" t="s">
        <v>323</v>
      </c>
      <c r="E148" t="s">
        <v>323</v>
      </c>
      <c r="F148" t="s">
        <v>323</v>
      </c>
      <c r="G148" t="s">
        <v>323</v>
      </c>
      <c r="H148" t="s">
        <v>323</v>
      </c>
    </row>
  </sheetData>
  <mergeCells count="12">
    <mergeCell ref="L21:M21"/>
    <mergeCell ref="J1:T1"/>
    <mergeCell ref="J8:U8"/>
    <mergeCell ref="L12:N12"/>
    <mergeCell ref="L13:M13"/>
    <mergeCell ref="L14:M14"/>
    <mergeCell ref="L15:M15"/>
    <mergeCell ref="L16:M16"/>
    <mergeCell ref="L17:M17"/>
    <mergeCell ref="L18:M18"/>
    <mergeCell ref="L19:M19"/>
    <mergeCell ref="L20:M20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62CE-EB9D-4245-8D19-4A00FECD29F8}">
  <dimension ref="A1:E1"/>
  <sheetViews>
    <sheetView workbookViewId="0">
      <selection activeCell="K27" sqref="K27"/>
    </sheetView>
  </sheetViews>
  <sheetFormatPr baseColWidth="10" defaultColWidth="8.83203125" defaultRowHeight="15" x14ac:dyDescent="0.2"/>
  <cols>
    <col min="1" max="1" width="10" customWidth="1"/>
  </cols>
  <sheetData>
    <row r="1" spans="1:5" x14ac:dyDescent="0.2">
      <c r="A1" s="38" t="s">
        <v>362</v>
      </c>
      <c r="B1" s="38"/>
      <c r="C1" s="38"/>
      <c r="D1" s="38"/>
      <c r="E1" s="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5842-499A-43AE-B6FF-34AFFDD0C1EC}">
  <dimension ref="A1:U192"/>
  <sheetViews>
    <sheetView workbookViewId="0">
      <selection activeCell="N18" sqref="N18"/>
    </sheetView>
  </sheetViews>
  <sheetFormatPr baseColWidth="10" defaultColWidth="8.83203125" defaultRowHeight="15" x14ac:dyDescent="0.2"/>
  <cols>
    <col min="1" max="1" width="11.5" bestFit="1" customWidth="1"/>
    <col min="2" max="2" width="14.83203125" bestFit="1" customWidth="1"/>
    <col min="3" max="3" width="14.1640625" bestFit="1" customWidth="1"/>
    <col min="4" max="8" width="34.1640625" bestFit="1" customWidth="1"/>
    <col min="10" max="10" width="32.83203125" customWidth="1"/>
    <col min="11" max="11" width="14.6640625" customWidth="1"/>
    <col min="12" max="12" width="9.1640625" bestFit="1" customWidth="1"/>
    <col min="13" max="13" width="12.6640625" customWidth="1"/>
    <col min="14" max="14" width="16.33203125" customWidth="1"/>
    <col min="15" max="15" width="17.33203125" customWidth="1"/>
    <col min="16" max="16" width="13.6640625" customWidth="1"/>
    <col min="17" max="17" width="13.83203125" customWidth="1"/>
    <col min="18" max="18" width="18.5" customWidth="1"/>
    <col min="19" max="19" width="15" customWidth="1"/>
    <col min="20" max="20" width="9.1640625" bestFit="1" customWidth="1"/>
    <col min="21" max="21" width="17.1640625" customWidth="1"/>
  </cols>
  <sheetData>
    <row r="1" spans="1:21" x14ac:dyDescent="0.2">
      <c r="A1" t="s">
        <v>2</v>
      </c>
      <c r="B1" t="s">
        <v>321</v>
      </c>
      <c r="C1" t="s">
        <v>316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J1" s="67" t="s">
        <v>11</v>
      </c>
      <c r="K1" s="68"/>
      <c r="L1" s="68"/>
      <c r="M1" s="68"/>
      <c r="N1" s="68"/>
      <c r="O1" s="68"/>
      <c r="P1" s="68"/>
      <c r="Q1" s="68"/>
      <c r="R1" s="68"/>
      <c r="S1" s="68"/>
      <c r="T1" s="69"/>
    </row>
    <row r="2" spans="1:21" x14ac:dyDescent="0.2">
      <c r="A2">
        <v>93117</v>
      </c>
      <c r="B2">
        <v>135</v>
      </c>
      <c r="C2" t="s">
        <v>14</v>
      </c>
      <c r="D2" t="s">
        <v>322</v>
      </c>
      <c r="E2" t="s">
        <v>346</v>
      </c>
      <c r="F2" t="s">
        <v>346</v>
      </c>
      <c r="G2" t="s">
        <v>346</v>
      </c>
      <c r="H2" t="s">
        <v>323</v>
      </c>
      <c r="J2" s="2"/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3" t="s">
        <v>24</v>
      </c>
      <c r="T2" s="4" t="s">
        <v>25</v>
      </c>
    </row>
    <row r="3" spans="1:21" x14ac:dyDescent="0.2">
      <c r="A3">
        <v>92082</v>
      </c>
      <c r="B3">
        <v>91</v>
      </c>
      <c r="C3" t="s">
        <v>14</v>
      </c>
      <c r="D3" t="s">
        <v>326</v>
      </c>
      <c r="E3" t="s">
        <v>326</v>
      </c>
      <c r="F3" t="s">
        <v>322</v>
      </c>
      <c r="G3" t="s">
        <v>326</v>
      </c>
      <c r="H3" t="s">
        <v>322</v>
      </c>
      <c r="J3" s="5" t="s">
        <v>29</v>
      </c>
      <c r="K3" s="6" cm="1">
        <f t="array" ref="K3">SUM(COUNTIF(D:H,{"A.*","B.*"}))/T10</f>
        <v>0.50254452926208648</v>
      </c>
      <c r="L3" s="7">
        <f>COUNTIF(D:H,"T.*")/T10</f>
        <v>0.12595419847328243</v>
      </c>
      <c r="M3" s="7" cm="1">
        <f t="array" ref="M3">SUM(COUNTIF(D:H,{"C.*","D.*","E.*","F.*","G.*","H.*","I.*","J.*","K.*","L.*","M.*","N.*","O.*","P.*"})/T10)</f>
        <v>7.124681933842239E-2</v>
      </c>
      <c r="N3" s="7">
        <f>COUNTIF(D:H,"R.*")/T10</f>
        <v>2.2900763358778626E-2</v>
      </c>
      <c r="O3" s="7">
        <f>COUNTIF(D:H,"U.*")/T10</f>
        <v>1.3994910941475827E-2</v>
      </c>
      <c r="P3" s="7">
        <v>0</v>
      </c>
      <c r="Q3" s="7">
        <f>COUNTIF(D:H,"Q.*")/T10</f>
        <v>7.6335877862595417E-3</v>
      </c>
      <c r="R3" s="7">
        <f>COUNTIF(D:H,"V.*")/T10</f>
        <v>2.4173027989821884E-2</v>
      </c>
      <c r="S3" s="7">
        <f>COUNTIF(D:H,"S.*")/T10</f>
        <v>0.23155216284987276</v>
      </c>
      <c r="T3" s="7">
        <f>SUM(K3:S3)</f>
        <v>1</v>
      </c>
    </row>
    <row r="4" spans="1:21" ht="16" x14ac:dyDescent="0.2">
      <c r="A4">
        <v>91307</v>
      </c>
      <c r="B4">
        <v>75</v>
      </c>
      <c r="C4" t="s">
        <v>14</v>
      </c>
      <c r="D4" t="s">
        <v>322</v>
      </c>
      <c r="E4" t="s">
        <v>159</v>
      </c>
      <c r="F4" t="s">
        <v>322</v>
      </c>
      <c r="G4" t="s">
        <v>159</v>
      </c>
      <c r="H4" t="s">
        <v>159</v>
      </c>
      <c r="J4" s="9" t="s">
        <v>33</v>
      </c>
      <c r="K4" s="10" cm="1">
        <f t="array" ref="K4">SUM(_xlfn.BYCOL(D:H,_xlfn.LAMBDA(_xlpm.col,SUMIF(_xlpm.col,"A.*",B:B)+SUMIF(_xlpm.col,"B.*",B:B))))/K10</f>
        <v>12.988227848101268</v>
      </c>
      <c r="L4" s="11" cm="1">
        <f t="array" ref="L4">SUM(_xlfn.BYCOL(D:H,_xlfn.LAMBDA(_xlpm.col,SUMIF(_xlpm.col,"T.*",B:B))))/L10</f>
        <v>1.0484848484848486</v>
      </c>
      <c r="M4" s="12" cm="1">
        <f t="array" ref="M4">SUM(_xlfn.BYCOL(D:H,_xlfn.LAMBDA(_xlpm.col,SUMIF(_xlpm.col,"C.*",B:B)+SUMIF(_xlpm.col,"D.*",B:B)+SUMIF(_xlpm.col,"E.*",B:B)+SUMIF(_xlpm.col,"F.*",B:B)+SUMIF(_xlpm.col,"G.*",B:B)+SUMIF(_xlpm.col,"H.*",B:B)+SUMIF(_xlpm.col,"I.*",B:B)+SUMIF(_xlpm.col,"J.*",B:B)+SUMIF(_xlpm.col,"K.*",B:B)+SUMIF(_xlpm.col,"L.*",B:B)+SUMIF(_xlpm.col,"M.*",B:B)+SUMIF(_xlpm.col,"N.*",B:B)+SUMIF(_xlpm.col,"O.*",B:B)+SUMIF(_xlpm.col,"P.*",B:B))))/M10</f>
        <v>3.6464285714285718</v>
      </c>
      <c r="N4" s="12" cm="1">
        <f t="array" ref="N4">SUM(_xlfn.BYCOL(D:H,_xlfn.LAMBDA(_xlpm.col,SUMIF(_xlpm.col,"R.*",B:B))))/N10</f>
        <v>33.777777777777779</v>
      </c>
      <c r="O4" s="12" cm="1">
        <f t="array" ref="O4">SUM(_xlfn.BYCOL(D:H,_xlfn.LAMBDA(_xlpm.col,SUMIF(_xlpm.col,"U.*",B:B))))/O10</f>
        <v>1.7090909090909088</v>
      </c>
      <c r="P4" s="12"/>
      <c r="Q4" s="12" cm="1">
        <f t="array" ref="Q4">SUM(_xlfn.BYCOL(D:H,_xlfn.LAMBDA(_xlpm.col,SUMIF(_xlpm.col,"Q.*",B:B))))/R10</f>
        <v>4.0263157894736841</v>
      </c>
      <c r="R4" s="12"/>
      <c r="S4" s="12" cm="1">
        <f t="array" ref="S4">SUM(_xlfn.BYCOL(D:H,_xlfn.LAMBDA(_xlpm.col,SUMIF(_xlpm.col,"S.*",B:B))))/T10</f>
        <v>0.71685750636132306</v>
      </c>
      <c r="T4" s="10">
        <f>AVERAGE(K4:S4)</f>
        <v>8.2733118929597698</v>
      </c>
    </row>
    <row r="5" spans="1:21" x14ac:dyDescent="0.2">
      <c r="A5">
        <v>91325</v>
      </c>
      <c r="B5">
        <v>52</v>
      </c>
      <c r="C5" t="s">
        <v>14</v>
      </c>
      <c r="D5" t="s">
        <v>322</v>
      </c>
      <c r="E5" t="s">
        <v>326</v>
      </c>
      <c r="F5" t="s">
        <v>322</v>
      </c>
      <c r="G5" t="s">
        <v>326</v>
      </c>
      <c r="H5" t="s">
        <v>322</v>
      </c>
      <c r="J5" s="33" t="s">
        <v>38</v>
      </c>
      <c r="K5" s="33"/>
      <c r="L5" s="33"/>
      <c r="M5" s="13" cm="1">
        <f t="array" ref="M5">SUM(_xlfn.BYCOL(D:H,_xlfn.LAMBDA(_xlpm.col,SUMIF(_xlpm.col,"C.*",B:B)*2+SUMIF(_xlpm.col,"D.*",B:B)*3+SUMIF(_xlpm.col,"E.*",B:B)*4+SUMIF(_xlpm.col,"F.*",B:B)*5+SUMIF(_xlpm.col,"G.*",B:B)*6+SUMIF(_xlpm.col,"H.*",B:B)*7+SUMIF(_xlpm.col,"I.*",B:B)*8+SUMIF(_xlpm.col,"J.*",B:B)*9+SUMIF(_xlpm.col,"K.*",B:B)*10+SUMIF(_xlpm.col,"L.*",B:B)*11+SUMIF(_xlpm.col,"M.*",B:B)*12+SUMIF(_xlpm.col,"N.*",B:B)*13+SUMIF(_xlpm.col,"O.*",B:B)*14+SUMIF(_xlpm.col,"P.*",B:B)*15)))/M10</f>
        <v>10.232142857142858</v>
      </c>
      <c r="N5" s="33"/>
      <c r="O5" s="33"/>
      <c r="P5" s="33"/>
      <c r="Q5" s="33"/>
      <c r="R5" s="33"/>
      <c r="S5" s="33"/>
      <c r="T5" s="33"/>
    </row>
    <row r="6" spans="1:21" x14ac:dyDescent="0.2">
      <c r="A6">
        <v>91406</v>
      </c>
      <c r="B6">
        <v>50</v>
      </c>
      <c r="C6" t="s">
        <v>14</v>
      </c>
      <c r="D6" t="s">
        <v>159</v>
      </c>
      <c r="E6" t="s">
        <v>322</v>
      </c>
      <c r="F6" t="s">
        <v>159</v>
      </c>
      <c r="G6" t="s">
        <v>322</v>
      </c>
      <c r="H6" t="s">
        <v>159</v>
      </c>
      <c r="J6" s="14" t="s">
        <v>41</v>
      </c>
      <c r="K6" s="14"/>
      <c r="L6" s="14"/>
      <c r="M6" s="15">
        <f>M5/M4</f>
        <v>2.8060724779627813</v>
      </c>
      <c r="N6" s="14"/>
      <c r="O6" s="14"/>
      <c r="P6" s="14"/>
      <c r="Q6" s="14"/>
      <c r="R6" s="14"/>
      <c r="S6" s="14"/>
      <c r="T6" s="14"/>
    </row>
    <row r="7" spans="1:21" x14ac:dyDescent="0.2">
      <c r="A7" t="s">
        <v>363</v>
      </c>
      <c r="B7">
        <v>50</v>
      </c>
      <c r="C7" t="s">
        <v>14</v>
      </c>
      <c r="D7" t="s">
        <v>159</v>
      </c>
      <c r="E7" t="s">
        <v>159</v>
      </c>
      <c r="F7" t="s">
        <v>159</v>
      </c>
      <c r="G7" t="s">
        <v>159</v>
      </c>
      <c r="H7" t="s">
        <v>322</v>
      </c>
      <c r="M7" s="16"/>
    </row>
    <row r="8" spans="1:21" x14ac:dyDescent="0.2">
      <c r="A8">
        <v>92610</v>
      </c>
      <c r="B8">
        <v>45</v>
      </c>
      <c r="C8" t="s">
        <v>14</v>
      </c>
      <c r="D8" t="s">
        <v>322</v>
      </c>
      <c r="E8" t="s">
        <v>322</v>
      </c>
      <c r="F8" t="s">
        <v>322</v>
      </c>
      <c r="G8" t="s">
        <v>322</v>
      </c>
      <c r="H8" t="s">
        <v>322</v>
      </c>
      <c r="J8" s="59" t="s">
        <v>47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0"/>
    </row>
    <row r="9" spans="1:21" x14ac:dyDescent="0.2">
      <c r="A9" t="s">
        <v>364</v>
      </c>
      <c r="B9">
        <v>45</v>
      </c>
      <c r="C9" t="s">
        <v>14</v>
      </c>
      <c r="D9" t="s">
        <v>159</v>
      </c>
      <c r="E9" t="s">
        <v>322</v>
      </c>
      <c r="F9" t="s">
        <v>322</v>
      </c>
      <c r="G9" t="s">
        <v>159</v>
      </c>
      <c r="H9" t="s">
        <v>159</v>
      </c>
      <c r="J9" s="19"/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  <c r="R9" s="19" t="s">
        <v>23</v>
      </c>
      <c r="S9" s="19" t="s">
        <v>24</v>
      </c>
      <c r="T9" s="21" t="s">
        <v>25</v>
      </c>
      <c r="U9" s="19" t="s">
        <v>50</v>
      </c>
    </row>
    <row r="10" spans="1:21" x14ac:dyDescent="0.2">
      <c r="A10">
        <v>92630</v>
      </c>
      <c r="B10">
        <v>40</v>
      </c>
      <c r="C10" t="s">
        <v>14</v>
      </c>
      <c r="D10" t="s">
        <v>322</v>
      </c>
      <c r="E10" t="s">
        <v>322</v>
      </c>
      <c r="F10" t="s">
        <v>322</v>
      </c>
      <c r="G10" t="s">
        <v>322</v>
      </c>
      <c r="H10" t="s">
        <v>322</v>
      </c>
      <c r="J10" s="17" t="s">
        <v>317</v>
      </c>
      <c r="K10" s="17" cm="1">
        <f t="array" ref="K10">SUM(COUNTIF(D:H,{"A.*","B.*"}))</f>
        <v>395</v>
      </c>
      <c r="L10" s="17">
        <f>COUNTIF(D:H,"T.*")</f>
        <v>99</v>
      </c>
      <c r="M10" s="17" cm="1">
        <f t="array" ref="M10">SUM(COUNTIF(D:H,{"C.*","D.*","E.*","F.*","G.*","H.*","I.*","J.*","K.*","L.*","M.*","N.*","O.*","P.*"}))</f>
        <v>56</v>
      </c>
      <c r="N10" s="34">
        <f>COUNTIF(D:H,"R.*")</f>
        <v>18</v>
      </c>
      <c r="O10" s="17">
        <f>COUNTIF(D:H,"U.*")</f>
        <v>11</v>
      </c>
      <c r="P10" s="17">
        <v>0</v>
      </c>
      <c r="Q10" s="17">
        <f>COUNTIF(D:H,"Q.*")</f>
        <v>6</v>
      </c>
      <c r="R10" s="17">
        <f>COUNTIF(D:H,"V.*")</f>
        <v>19</v>
      </c>
      <c r="S10" s="17">
        <f>COUNTIF(D:H,"S.*")</f>
        <v>182</v>
      </c>
      <c r="T10" s="35">
        <f>SUM(K10:S10)</f>
        <v>786</v>
      </c>
      <c r="U10" s="17">
        <f>COUNTIFS($D$2:$H$999,"&lt;&gt;",$D$2:$H$999,"&lt;&gt;OFF.*",$D$2:$H$999,"&lt;&gt;AA.*",$D$2:$H$999,"&lt;&gt;BB.*",$D$2:$H$999,"&lt;&gt;W.*",$D$2:$H$999,"&lt;&gt;X.*",$D$2:$H$999,"&lt;&gt;CC.*")</f>
        <v>786</v>
      </c>
    </row>
    <row r="11" spans="1:21" x14ac:dyDescent="0.2">
      <c r="A11">
        <v>90808</v>
      </c>
      <c r="B11">
        <v>40</v>
      </c>
      <c r="C11" t="s">
        <v>14</v>
      </c>
      <c r="D11" t="s">
        <v>322</v>
      </c>
      <c r="E11" t="s">
        <v>322</v>
      </c>
      <c r="F11" t="s">
        <v>322</v>
      </c>
      <c r="G11" t="s">
        <v>322</v>
      </c>
      <c r="H11" t="s">
        <v>322</v>
      </c>
    </row>
    <row r="12" spans="1:21" ht="16" x14ac:dyDescent="0.2">
      <c r="A12">
        <v>90015</v>
      </c>
      <c r="B12">
        <v>40</v>
      </c>
      <c r="C12" t="s">
        <v>14</v>
      </c>
      <c r="D12" t="s">
        <v>159</v>
      </c>
      <c r="E12" t="s">
        <v>336</v>
      </c>
      <c r="F12" t="s">
        <v>159</v>
      </c>
      <c r="G12" t="s">
        <v>159</v>
      </c>
      <c r="H12" t="s">
        <v>159</v>
      </c>
      <c r="J12" s="22" t="s">
        <v>349</v>
      </c>
      <c r="L12" s="59" t="s">
        <v>58</v>
      </c>
      <c r="M12" s="63"/>
      <c r="N12" s="60"/>
    </row>
    <row r="13" spans="1:21" ht="16" x14ac:dyDescent="0.2">
      <c r="A13">
        <v>92610</v>
      </c>
      <c r="B13">
        <v>40</v>
      </c>
      <c r="C13" t="s">
        <v>14</v>
      </c>
      <c r="D13" t="s">
        <v>159</v>
      </c>
      <c r="E13" t="s">
        <v>322</v>
      </c>
      <c r="F13" t="s">
        <v>322</v>
      </c>
      <c r="G13" t="s">
        <v>322</v>
      </c>
      <c r="H13" t="s">
        <v>159</v>
      </c>
      <c r="J13" s="36" t="s">
        <v>322</v>
      </c>
      <c r="L13" s="64" t="s">
        <v>63</v>
      </c>
      <c r="M13" s="64"/>
      <c r="N13" s="19">
        <f>2*T10/COUNTIF(A2:A999,"&lt;&gt;")</f>
        <v>8.2303664921465973</v>
      </c>
    </row>
    <row r="14" spans="1:21" ht="16" x14ac:dyDescent="0.2">
      <c r="A14">
        <v>90046</v>
      </c>
      <c r="B14">
        <v>40</v>
      </c>
      <c r="C14" t="s">
        <v>14</v>
      </c>
      <c r="D14" t="s">
        <v>322</v>
      </c>
      <c r="E14" t="s">
        <v>322</v>
      </c>
      <c r="F14" t="s">
        <v>322</v>
      </c>
      <c r="G14" t="s">
        <v>322</v>
      </c>
      <c r="H14" t="s">
        <v>323</v>
      </c>
      <c r="J14" s="36" t="s">
        <v>329</v>
      </c>
      <c r="L14" s="62" t="s">
        <v>67</v>
      </c>
      <c r="M14" s="62"/>
      <c r="N14" s="17">
        <v>282</v>
      </c>
    </row>
    <row r="15" spans="1:21" ht="16" x14ac:dyDescent="0.2">
      <c r="A15">
        <v>90031</v>
      </c>
      <c r="B15">
        <v>40</v>
      </c>
      <c r="C15" t="s">
        <v>14</v>
      </c>
      <c r="D15" t="s">
        <v>322</v>
      </c>
      <c r="E15" t="s">
        <v>159</v>
      </c>
      <c r="F15" t="s">
        <v>322</v>
      </c>
      <c r="G15" t="s">
        <v>159</v>
      </c>
      <c r="H15" t="s">
        <v>159</v>
      </c>
      <c r="J15" s="36" t="s">
        <v>328</v>
      </c>
      <c r="L15" s="65" t="s">
        <v>72</v>
      </c>
      <c r="M15" s="65"/>
      <c r="N15" s="18">
        <f>COUNTIF(A2:A999,"&lt;&gt;")</f>
        <v>191</v>
      </c>
    </row>
    <row r="16" spans="1:21" ht="16" x14ac:dyDescent="0.2">
      <c r="A16" t="s">
        <v>365</v>
      </c>
      <c r="B16">
        <v>39</v>
      </c>
      <c r="C16" t="s">
        <v>14</v>
      </c>
      <c r="D16" t="s">
        <v>159</v>
      </c>
      <c r="E16" t="s">
        <v>322</v>
      </c>
      <c r="F16" t="s">
        <v>159</v>
      </c>
      <c r="G16" t="s">
        <v>322</v>
      </c>
      <c r="H16" t="s">
        <v>159</v>
      </c>
      <c r="J16" s="36" t="s">
        <v>331</v>
      </c>
      <c r="L16" s="62" t="s">
        <v>76</v>
      </c>
      <c r="M16" s="59"/>
      <c r="N16" s="27">
        <f>N15/N14</f>
        <v>0.67730496453900713</v>
      </c>
    </row>
    <row r="17" spans="1:14" ht="16" x14ac:dyDescent="0.2">
      <c r="A17">
        <v>90808</v>
      </c>
      <c r="B17">
        <v>39</v>
      </c>
      <c r="C17" t="s">
        <v>14</v>
      </c>
      <c r="D17" t="s">
        <v>322</v>
      </c>
      <c r="E17" t="s">
        <v>322</v>
      </c>
      <c r="F17" t="s">
        <v>322</v>
      </c>
      <c r="G17" t="s">
        <v>322</v>
      </c>
      <c r="H17" t="s">
        <v>322</v>
      </c>
      <c r="J17" s="36" t="s">
        <v>325</v>
      </c>
      <c r="L17" s="66" t="s">
        <v>80</v>
      </c>
      <c r="M17" s="66"/>
      <c r="N17" s="28">
        <v>32</v>
      </c>
    </row>
    <row r="18" spans="1:14" ht="16" x14ac:dyDescent="0.2">
      <c r="A18">
        <v>90026</v>
      </c>
      <c r="B18">
        <v>38</v>
      </c>
      <c r="C18" t="s">
        <v>14</v>
      </c>
      <c r="D18" t="s">
        <v>159</v>
      </c>
      <c r="E18" t="s">
        <v>336</v>
      </c>
      <c r="F18" t="s">
        <v>159</v>
      </c>
      <c r="G18" t="s">
        <v>336</v>
      </c>
      <c r="H18" t="s">
        <v>159</v>
      </c>
      <c r="J18" s="36" t="s">
        <v>332</v>
      </c>
      <c r="L18" s="59" t="s">
        <v>85</v>
      </c>
      <c r="M18" s="60"/>
      <c r="N18" s="17">
        <f>AVERAGE(B2:B999)</f>
        <v>10.96099476439791</v>
      </c>
    </row>
    <row r="19" spans="1:14" ht="16" x14ac:dyDescent="0.2">
      <c r="A19">
        <v>92620</v>
      </c>
      <c r="B19">
        <v>37.5</v>
      </c>
      <c r="C19" t="s">
        <v>14</v>
      </c>
      <c r="D19" t="s">
        <v>322</v>
      </c>
      <c r="E19" t="s">
        <v>322</v>
      </c>
      <c r="F19" t="s">
        <v>322</v>
      </c>
      <c r="G19" t="s">
        <v>322</v>
      </c>
      <c r="H19" t="s">
        <v>157</v>
      </c>
      <c r="J19" s="36" t="s">
        <v>334</v>
      </c>
      <c r="L19" s="59" t="s">
        <v>90</v>
      </c>
      <c r="M19" s="60"/>
      <c r="N19" s="17">
        <f>MEDIAN(B2:B999)</f>
        <v>1.7</v>
      </c>
    </row>
    <row r="20" spans="1:14" ht="16" x14ac:dyDescent="0.2">
      <c r="A20">
        <v>90065</v>
      </c>
      <c r="B20">
        <v>35</v>
      </c>
      <c r="C20" t="s">
        <v>14</v>
      </c>
      <c r="D20" t="s">
        <v>322</v>
      </c>
      <c r="E20" t="s">
        <v>159</v>
      </c>
      <c r="F20" t="s">
        <v>322</v>
      </c>
      <c r="G20" t="s">
        <v>322</v>
      </c>
      <c r="H20" t="s">
        <v>159</v>
      </c>
      <c r="J20" s="36" t="s">
        <v>335</v>
      </c>
      <c r="L20" s="59" t="s">
        <v>94</v>
      </c>
      <c r="M20" s="60"/>
      <c r="N20" s="17">
        <f>(SUM(B2:B999)/N15)*N14</f>
        <v>3091.0005235602107</v>
      </c>
    </row>
    <row r="21" spans="1:14" ht="16" x14ac:dyDescent="0.2">
      <c r="A21">
        <v>91103</v>
      </c>
      <c r="B21">
        <v>35</v>
      </c>
      <c r="C21" t="s">
        <v>14</v>
      </c>
      <c r="D21" t="s">
        <v>159</v>
      </c>
      <c r="E21" t="s">
        <v>159</v>
      </c>
      <c r="F21" t="s">
        <v>159</v>
      </c>
      <c r="G21" t="s">
        <v>159</v>
      </c>
      <c r="H21" t="s">
        <v>159</v>
      </c>
      <c r="J21" s="36" t="s">
        <v>337</v>
      </c>
      <c r="L21" s="59" t="s">
        <v>98</v>
      </c>
      <c r="M21" s="60"/>
      <c r="N21" s="27">
        <f>COUNTIF(B:B,"&lt;=5")/N15</f>
        <v>0.7120418848167539</v>
      </c>
    </row>
    <row r="22" spans="1:14" ht="16" x14ac:dyDescent="0.2">
      <c r="A22">
        <v>90026</v>
      </c>
      <c r="B22">
        <v>35</v>
      </c>
      <c r="C22" t="s">
        <v>14</v>
      </c>
      <c r="D22" t="s">
        <v>322</v>
      </c>
      <c r="E22" t="s">
        <v>322</v>
      </c>
      <c r="F22" t="s">
        <v>322</v>
      </c>
      <c r="G22" t="s">
        <v>322</v>
      </c>
      <c r="H22" t="s">
        <v>322</v>
      </c>
      <c r="J22" s="36" t="s">
        <v>338</v>
      </c>
    </row>
    <row r="23" spans="1:14" ht="16" x14ac:dyDescent="0.2">
      <c r="A23">
        <v>92374</v>
      </c>
      <c r="B23">
        <v>35</v>
      </c>
      <c r="C23" t="s">
        <v>14</v>
      </c>
      <c r="D23" t="s">
        <v>336</v>
      </c>
      <c r="E23" t="s">
        <v>336</v>
      </c>
      <c r="F23" t="s">
        <v>322</v>
      </c>
      <c r="G23" t="s">
        <v>336</v>
      </c>
      <c r="H23" t="s">
        <v>336</v>
      </c>
      <c r="J23" s="36" t="s">
        <v>339</v>
      </c>
    </row>
    <row r="24" spans="1:14" ht="16" x14ac:dyDescent="0.2">
      <c r="A24" t="s">
        <v>366</v>
      </c>
      <c r="B24">
        <v>35</v>
      </c>
      <c r="C24" t="s">
        <v>14</v>
      </c>
      <c r="D24" t="s">
        <v>159</v>
      </c>
      <c r="E24" t="s">
        <v>159</v>
      </c>
      <c r="F24" t="s">
        <v>322</v>
      </c>
      <c r="G24" t="s">
        <v>159</v>
      </c>
      <c r="H24" t="s">
        <v>159</v>
      </c>
      <c r="J24" s="36" t="s">
        <v>340</v>
      </c>
    </row>
    <row r="25" spans="1:14" ht="16" x14ac:dyDescent="0.2">
      <c r="A25">
        <v>92373</v>
      </c>
      <c r="B25">
        <v>34</v>
      </c>
      <c r="C25" t="s">
        <v>14</v>
      </c>
      <c r="D25" t="s">
        <v>336</v>
      </c>
      <c r="E25" t="s">
        <v>336</v>
      </c>
      <c r="F25" t="s">
        <v>336</v>
      </c>
      <c r="G25" t="s">
        <v>336</v>
      </c>
      <c r="H25" t="s">
        <v>326</v>
      </c>
      <c r="J25" s="36" t="s">
        <v>341</v>
      </c>
    </row>
    <row r="26" spans="1:14" ht="16" x14ac:dyDescent="0.2">
      <c r="A26">
        <v>92374</v>
      </c>
      <c r="B26">
        <v>33</v>
      </c>
      <c r="C26" t="s">
        <v>14</v>
      </c>
      <c r="D26" t="s">
        <v>322</v>
      </c>
      <c r="E26" t="s">
        <v>326</v>
      </c>
      <c r="F26" t="s">
        <v>322</v>
      </c>
      <c r="G26" t="s">
        <v>326</v>
      </c>
      <c r="H26" t="s">
        <v>326</v>
      </c>
      <c r="J26" s="36" t="s">
        <v>342</v>
      </c>
    </row>
    <row r="27" spans="1:14" ht="16" x14ac:dyDescent="0.2">
      <c r="A27">
        <v>90027</v>
      </c>
      <c r="B27">
        <v>32</v>
      </c>
      <c r="C27" t="s">
        <v>14</v>
      </c>
      <c r="D27" t="s">
        <v>322</v>
      </c>
      <c r="E27" t="s">
        <v>322</v>
      </c>
      <c r="F27" t="s">
        <v>322</v>
      </c>
      <c r="G27" t="s">
        <v>322</v>
      </c>
      <c r="H27" t="s">
        <v>322</v>
      </c>
      <c r="J27" s="36" t="s">
        <v>343</v>
      </c>
    </row>
    <row r="28" spans="1:14" ht="16" x14ac:dyDescent="0.2">
      <c r="A28" t="s">
        <v>367</v>
      </c>
      <c r="B28">
        <v>32</v>
      </c>
      <c r="C28" t="s">
        <v>14</v>
      </c>
      <c r="D28" t="s">
        <v>323</v>
      </c>
      <c r="E28" t="s">
        <v>323</v>
      </c>
      <c r="F28" t="s">
        <v>323</v>
      </c>
      <c r="G28" t="s">
        <v>323</v>
      </c>
      <c r="H28" t="s">
        <v>323</v>
      </c>
      <c r="J28" s="36" t="s">
        <v>344</v>
      </c>
    </row>
    <row r="29" spans="1:14" ht="16" x14ac:dyDescent="0.2">
      <c r="A29" t="s">
        <v>368</v>
      </c>
      <c r="B29">
        <v>31.5</v>
      </c>
      <c r="C29" t="s">
        <v>14</v>
      </c>
      <c r="D29" t="s">
        <v>323</v>
      </c>
      <c r="E29" t="s">
        <v>336</v>
      </c>
      <c r="F29" t="s">
        <v>336</v>
      </c>
      <c r="G29" t="s">
        <v>336</v>
      </c>
      <c r="H29" t="s">
        <v>336</v>
      </c>
      <c r="J29" s="36" t="s">
        <v>345</v>
      </c>
    </row>
    <row r="30" spans="1:14" ht="16" x14ac:dyDescent="0.2">
      <c r="A30">
        <v>92808</v>
      </c>
      <c r="B30">
        <v>30</v>
      </c>
      <c r="C30" t="s">
        <v>14</v>
      </c>
      <c r="D30" t="s">
        <v>159</v>
      </c>
      <c r="E30" t="s">
        <v>322</v>
      </c>
      <c r="F30" t="s">
        <v>159</v>
      </c>
      <c r="G30" t="s">
        <v>159</v>
      </c>
      <c r="H30" t="s">
        <v>159</v>
      </c>
      <c r="J30" s="36" t="s">
        <v>336</v>
      </c>
    </row>
    <row r="31" spans="1:14" ht="16" x14ac:dyDescent="0.2">
      <c r="A31">
        <v>90019</v>
      </c>
      <c r="B31">
        <v>30</v>
      </c>
      <c r="C31" t="s">
        <v>14</v>
      </c>
      <c r="D31" t="s">
        <v>157</v>
      </c>
      <c r="E31" t="s">
        <v>322</v>
      </c>
      <c r="F31" t="s">
        <v>322</v>
      </c>
      <c r="G31" t="s">
        <v>322</v>
      </c>
      <c r="H31" t="s">
        <v>159</v>
      </c>
      <c r="J31" s="36" t="s">
        <v>346</v>
      </c>
    </row>
    <row r="32" spans="1:14" ht="16" x14ac:dyDescent="0.2">
      <c r="A32" t="s">
        <v>351</v>
      </c>
      <c r="B32">
        <v>30</v>
      </c>
      <c r="C32" t="s">
        <v>14</v>
      </c>
      <c r="D32" t="s">
        <v>322</v>
      </c>
      <c r="E32" t="s">
        <v>336</v>
      </c>
      <c r="F32" t="s">
        <v>336</v>
      </c>
      <c r="G32" t="s">
        <v>336</v>
      </c>
      <c r="H32" t="s">
        <v>326</v>
      </c>
      <c r="J32" s="36" t="s">
        <v>347</v>
      </c>
    </row>
    <row r="33" spans="1:10" ht="16" x14ac:dyDescent="0.2">
      <c r="A33">
        <v>90012</v>
      </c>
      <c r="B33">
        <v>30</v>
      </c>
      <c r="C33" t="s">
        <v>14</v>
      </c>
      <c r="D33" t="s">
        <v>322</v>
      </c>
      <c r="E33" t="s">
        <v>326</v>
      </c>
      <c r="F33" t="s">
        <v>322</v>
      </c>
      <c r="G33" t="s">
        <v>322</v>
      </c>
      <c r="H33" t="s">
        <v>326</v>
      </c>
      <c r="J33" s="36" t="s">
        <v>324</v>
      </c>
    </row>
    <row r="34" spans="1:10" ht="16" x14ac:dyDescent="0.2">
      <c r="A34">
        <v>91001</v>
      </c>
      <c r="B34">
        <v>29</v>
      </c>
      <c r="C34" t="s">
        <v>14</v>
      </c>
      <c r="D34" t="s">
        <v>159</v>
      </c>
      <c r="E34" t="s">
        <v>322</v>
      </c>
      <c r="F34" t="s">
        <v>159</v>
      </c>
      <c r="G34" t="s">
        <v>322</v>
      </c>
      <c r="H34" t="s">
        <v>159</v>
      </c>
      <c r="J34" s="36" t="s">
        <v>323</v>
      </c>
    </row>
    <row r="35" spans="1:10" ht="16" x14ac:dyDescent="0.2">
      <c r="A35">
        <v>92833</v>
      </c>
      <c r="B35">
        <v>29</v>
      </c>
      <c r="C35" t="s">
        <v>14</v>
      </c>
      <c r="D35" t="s">
        <v>322</v>
      </c>
      <c r="E35" t="s">
        <v>159</v>
      </c>
      <c r="F35" t="s">
        <v>322</v>
      </c>
      <c r="G35" t="s">
        <v>159</v>
      </c>
      <c r="H35" t="s">
        <v>159</v>
      </c>
      <c r="J35" s="36" t="s">
        <v>326</v>
      </c>
    </row>
    <row r="36" spans="1:10" ht="16" x14ac:dyDescent="0.2">
      <c r="A36" t="s">
        <v>369</v>
      </c>
      <c r="B36">
        <v>29</v>
      </c>
      <c r="C36" t="s">
        <v>14</v>
      </c>
      <c r="D36" t="s">
        <v>322</v>
      </c>
      <c r="E36" t="s">
        <v>322</v>
      </c>
      <c r="F36" t="s">
        <v>322</v>
      </c>
      <c r="G36" t="s">
        <v>322</v>
      </c>
      <c r="H36" t="s">
        <v>322</v>
      </c>
      <c r="J36" s="36" t="s">
        <v>146</v>
      </c>
    </row>
    <row r="37" spans="1:10" ht="16" x14ac:dyDescent="0.2">
      <c r="A37">
        <v>91101</v>
      </c>
      <c r="B37">
        <v>28</v>
      </c>
      <c r="C37" t="s">
        <v>14</v>
      </c>
      <c r="D37" t="s">
        <v>322</v>
      </c>
      <c r="E37" t="s">
        <v>322</v>
      </c>
      <c r="F37" t="s">
        <v>322</v>
      </c>
      <c r="G37" t="s">
        <v>322</v>
      </c>
      <c r="H37" t="s">
        <v>322</v>
      </c>
      <c r="J37" s="36" t="s">
        <v>153</v>
      </c>
    </row>
    <row r="38" spans="1:10" ht="16" x14ac:dyDescent="0.2">
      <c r="A38">
        <v>91030</v>
      </c>
      <c r="B38">
        <v>28</v>
      </c>
      <c r="C38" t="s">
        <v>14</v>
      </c>
      <c r="D38" t="s">
        <v>322</v>
      </c>
      <c r="E38" t="s">
        <v>159</v>
      </c>
      <c r="F38" t="s">
        <v>159</v>
      </c>
      <c r="G38" t="s">
        <v>159</v>
      </c>
      <c r="H38" t="s">
        <v>322</v>
      </c>
      <c r="J38" s="36" t="s">
        <v>155</v>
      </c>
    </row>
    <row r="39" spans="1:10" ht="16" x14ac:dyDescent="0.2">
      <c r="A39">
        <v>91101</v>
      </c>
      <c r="B39">
        <v>28</v>
      </c>
      <c r="C39" t="s">
        <v>14</v>
      </c>
      <c r="D39" t="s">
        <v>159</v>
      </c>
      <c r="E39" t="s">
        <v>159</v>
      </c>
      <c r="F39" t="s">
        <v>159</v>
      </c>
      <c r="G39" t="s">
        <v>322</v>
      </c>
      <c r="H39" t="s">
        <v>159</v>
      </c>
      <c r="J39" s="36" t="s">
        <v>157</v>
      </c>
    </row>
    <row r="40" spans="1:10" ht="16" x14ac:dyDescent="0.2">
      <c r="A40">
        <v>91106</v>
      </c>
      <c r="B40">
        <v>28</v>
      </c>
      <c r="C40" t="s">
        <v>14</v>
      </c>
      <c r="D40" t="s">
        <v>322</v>
      </c>
      <c r="E40" t="s">
        <v>322</v>
      </c>
      <c r="F40" t="s">
        <v>322</v>
      </c>
      <c r="G40" t="s">
        <v>322</v>
      </c>
      <c r="H40" t="s">
        <v>322</v>
      </c>
      <c r="J40" s="37" t="s">
        <v>159</v>
      </c>
    </row>
    <row r="41" spans="1:10" x14ac:dyDescent="0.2">
      <c r="A41" t="s">
        <v>370</v>
      </c>
      <c r="B41">
        <v>27</v>
      </c>
      <c r="C41" t="s">
        <v>14</v>
      </c>
      <c r="D41" t="s">
        <v>322</v>
      </c>
      <c r="E41" t="s">
        <v>322</v>
      </c>
      <c r="F41" t="s">
        <v>322</v>
      </c>
      <c r="G41" t="s">
        <v>322</v>
      </c>
      <c r="H41" t="s">
        <v>322</v>
      </c>
    </row>
    <row r="42" spans="1:10" x14ac:dyDescent="0.2">
      <c r="A42">
        <v>91104</v>
      </c>
      <c r="B42">
        <v>26</v>
      </c>
      <c r="C42" t="s">
        <v>14</v>
      </c>
      <c r="D42" t="s">
        <v>322</v>
      </c>
      <c r="E42" t="s">
        <v>322</v>
      </c>
      <c r="F42" t="s">
        <v>322</v>
      </c>
      <c r="G42" t="s">
        <v>322</v>
      </c>
      <c r="H42" t="s">
        <v>322</v>
      </c>
    </row>
    <row r="43" spans="1:10" x14ac:dyDescent="0.2">
      <c r="A43">
        <v>91104</v>
      </c>
      <c r="B43">
        <v>26</v>
      </c>
      <c r="C43" t="s">
        <v>14</v>
      </c>
      <c r="D43" t="s">
        <v>159</v>
      </c>
      <c r="E43" t="s">
        <v>159</v>
      </c>
      <c r="F43" t="s">
        <v>322</v>
      </c>
      <c r="G43" t="s">
        <v>159</v>
      </c>
      <c r="H43" t="s">
        <v>322</v>
      </c>
    </row>
    <row r="44" spans="1:10" x14ac:dyDescent="0.2">
      <c r="A44">
        <v>91104</v>
      </c>
      <c r="B44">
        <v>26</v>
      </c>
      <c r="C44" t="s">
        <v>14</v>
      </c>
      <c r="D44" t="s">
        <v>322</v>
      </c>
      <c r="E44" t="s">
        <v>322</v>
      </c>
      <c r="F44" t="s">
        <v>322</v>
      </c>
      <c r="G44" t="s">
        <v>322</v>
      </c>
      <c r="H44" t="s">
        <v>326</v>
      </c>
    </row>
    <row r="45" spans="1:10" x14ac:dyDescent="0.2">
      <c r="A45">
        <v>92835</v>
      </c>
      <c r="B45">
        <v>26</v>
      </c>
      <c r="C45" t="s">
        <v>14</v>
      </c>
      <c r="D45" t="s">
        <v>322</v>
      </c>
      <c r="E45" t="s">
        <v>322</v>
      </c>
      <c r="F45" t="s">
        <v>322</v>
      </c>
      <c r="G45" t="s">
        <v>322</v>
      </c>
      <c r="H45" t="s">
        <v>322</v>
      </c>
    </row>
    <row r="46" spans="1:10" x14ac:dyDescent="0.2">
      <c r="A46">
        <v>91007</v>
      </c>
      <c r="B46">
        <v>23</v>
      </c>
      <c r="C46" t="s">
        <v>14</v>
      </c>
      <c r="D46" t="s">
        <v>322</v>
      </c>
      <c r="E46" t="s">
        <v>159</v>
      </c>
      <c r="F46" t="s">
        <v>322</v>
      </c>
      <c r="G46" t="s">
        <v>159</v>
      </c>
      <c r="H46" t="s">
        <v>159</v>
      </c>
    </row>
    <row r="47" spans="1:10" x14ac:dyDescent="0.2">
      <c r="A47">
        <v>91107</v>
      </c>
      <c r="B47">
        <v>22</v>
      </c>
      <c r="C47" t="s">
        <v>14</v>
      </c>
      <c r="D47" t="s">
        <v>325</v>
      </c>
      <c r="E47" t="s">
        <v>328</v>
      </c>
      <c r="F47" t="s">
        <v>325</v>
      </c>
      <c r="G47" t="s">
        <v>322</v>
      </c>
      <c r="H47" t="s">
        <v>322</v>
      </c>
    </row>
    <row r="48" spans="1:10" x14ac:dyDescent="0.2">
      <c r="A48">
        <v>92821</v>
      </c>
      <c r="B48">
        <v>20</v>
      </c>
      <c r="C48" t="s">
        <v>14</v>
      </c>
      <c r="D48" t="s">
        <v>322</v>
      </c>
      <c r="E48" t="s">
        <v>322</v>
      </c>
      <c r="F48" t="s">
        <v>322</v>
      </c>
      <c r="G48" t="s">
        <v>322</v>
      </c>
      <c r="H48" t="s">
        <v>322</v>
      </c>
    </row>
    <row r="49" spans="1:8" x14ac:dyDescent="0.2">
      <c r="A49">
        <v>91104</v>
      </c>
      <c r="B49">
        <v>18</v>
      </c>
      <c r="C49" t="s">
        <v>14</v>
      </c>
      <c r="D49" t="s">
        <v>331</v>
      </c>
      <c r="E49" t="s">
        <v>323</v>
      </c>
      <c r="F49" t="s">
        <v>331</v>
      </c>
      <c r="G49" t="s">
        <v>323</v>
      </c>
      <c r="H49" t="s">
        <v>331</v>
      </c>
    </row>
    <row r="50" spans="1:8" x14ac:dyDescent="0.2">
      <c r="A50">
        <v>91740</v>
      </c>
      <c r="B50">
        <v>15</v>
      </c>
      <c r="C50" t="s">
        <v>14</v>
      </c>
      <c r="D50" t="s">
        <v>345</v>
      </c>
      <c r="E50" t="s">
        <v>345</v>
      </c>
      <c r="F50" t="s">
        <v>345</v>
      </c>
      <c r="G50" t="s">
        <v>345</v>
      </c>
      <c r="H50" t="s">
        <v>345</v>
      </c>
    </row>
    <row r="51" spans="1:8" x14ac:dyDescent="0.2">
      <c r="A51">
        <v>91739</v>
      </c>
      <c r="B51">
        <v>15</v>
      </c>
      <c r="C51" t="s">
        <v>14</v>
      </c>
      <c r="D51" t="s">
        <v>157</v>
      </c>
      <c r="E51" t="s">
        <v>157</v>
      </c>
      <c r="F51" t="s">
        <v>157</v>
      </c>
      <c r="G51" t="s">
        <v>157</v>
      </c>
      <c r="H51" t="s">
        <v>157</v>
      </c>
    </row>
    <row r="52" spans="1:8" x14ac:dyDescent="0.2">
      <c r="A52">
        <v>91739</v>
      </c>
      <c r="B52">
        <v>15</v>
      </c>
      <c r="C52" t="s">
        <v>14</v>
      </c>
      <c r="D52" t="s">
        <v>153</v>
      </c>
      <c r="E52" t="s">
        <v>153</v>
      </c>
      <c r="F52" t="s">
        <v>153</v>
      </c>
      <c r="G52" t="s">
        <v>153</v>
      </c>
      <c r="H52" t="s">
        <v>153</v>
      </c>
    </row>
    <row r="53" spans="1:8" x14ac:dyDescent="0.2">
      <c r="A53" t="s">
        <v>371</v>
      </c>
      <c r="B53">
        <v>11</v>
      </c>
      <c r="C53" t="s">
        <v>14</v>
      </c>
      <c r="D53" t="s">
        <v>322</v>
      </c>
      <c r="E53" t="s">
        <v>322</v>
      </c>
      <c r="F53" t="s">
        <v>322</v>
      </c>
      <c r="G53" t="s">
        <v>322</v>
      </c>
      <c r="H53" t="s">
        <v>322</v>
      </c>
    </row>
    <row r="54" spans="1:8" x14ac:dyDescent="0.2">
      <c r="A54" t="s">
        <v>352</v>
      </c>
      <c r="B54">
        <v>7.2</v>
      </c>
      <c r="C54" t="s">
        <v>14</v>
      </c>
      <c r="D54" t="s">
        <v>159</v>
      </c>
      <c r="E54" t="s">
        <v>159</v>
      </c>
      <c r="F54" t="s">
        <v>159</v>
      </c>
      <c r="G54" t="s">
        <v>322</v>
      </c>
      <c r="H54" t="s">
        <v>159</v>
      </c>
    </row>
    <row r="55" spans="1:8" x14ac:dyDescent="0.2">
      <c r="A55">
        <v>91784</v>
      </c>
      <c r="B55">
        <v>7</v>
      </c>
      <c r="C55" t="s">
        <v>14</v>
      </c>
      <c r="D55" t="s">
        <v>322</v>
      </c>
      <c r="E55" t="s">
        <v>322</v>
      </c>
      <c r="F55" t="s">
        <v>322</v>
      </c>
      <c r="G55" t="s">
        <v>322</v>
      </c>
      <c r="H55" t="s">
        <v>322</v>
      </c>
    </row>
    <row r="56" spans="1:8" x14ac:dyDescent="0.2">
      <c r="A56">
        <v>91784</v>
      </c>
      <c r="B56">
        <v>6</v>
      </c>
      <c r="C56" t="s">
        <v>14</v>
      </c>
      <c r="D56" t="s">
        <v>322</v>
      </c>
      <c r="E56" t="s">
        <v>322</v>
      </c>
      <c r="F56" t="s">
        <v>157</v>
      </c>
      <c r="G56" t="s">
        <v>157</v>
      </c>
      <c r="H56" t="s">
        <v>322</v>
      </c>
    </row>
    <row r="57" spans="1:8" x14ac:dyDescent="0.2">
      <c r="A57">
        <v>91711</v>
      </c>
      <c r="B57">
        <v>5</v>
      </c>
      <c r="C57" t="s">
        <v>14</v>
      </c>
      <c r="D57" t="s">
        <v>322</v>
      </c>
      <c r="E57" t="s">
        <v>322</v>
      </c>
      <c r="F57" t="s">
        <v>322</v>
      </c>
      <c r="G57" t="s">
        <v>322</v>
      </c>
      <c r="H57" t="s">
        <v>322</v>
      </c>
    </row>
    <row r="58" spans="1:8" x14ac:dyDescent="0.2">
      <c r="A58">
        <v>91784</v>
      </c>
      <c r="B58">
        <v>5</v>
      </c>
      <c r="C58" t="s">
        <v>14</v>
      </c>
      <c r="D58" t="s">
        <v>322</v>
      </c>
      <c r="E58" t="s">
        <v>322</v>
      </c>
      <c r="F58" t="s">
        <v>322</v>
      </c>
      <c r="G58" t="s">
        <v>322</v>
      </c>
      <c r="H58" t="s">
        <v>322</v>
      </c>
    </row>
    <row r="59" spans="1:8" x14ac:dyDescent="0.2">
      <c r="A59">
        <v>91711</v>
      </c>
      <c r="B59">
        <v>5</v>
      </c>
      <c r="C59" t="s">
        <v>14</v>
      </c>
      <c r="D59" t="s">
        <v>322</v>
      </c>
      <c r="E59" t="s">
        <v>322</v>
      </c>
      <c r="F59" t="s">
        <v>322</v>
      </c>
      <c r="G59" t="s">
        <v>322</v>
      </c>
      <c r="H59" t="s">
        <v>322</v>
      </c>
    </row>
    <row r="60" spans="1:8" x14ac:dyDescent="0.2">
      <c r="A60" t="s">
        <v>372</v>
      </c>
      <c r="B60">
        <v>5</v>
      </c>
      <c r="C60" t="s">
        <v>14</v>
      </c>
      <c r="D60" t="s">
        <v>328</v>
      </c>
      <c r="E60" t="s">
        <v>328</v>
      </c>
      <c r="F60" t="s">
        <v>328</v>
      </c>
      <c r="G60" t="s">
        <v>328</v>
      </c>
      <c r="H60" t="s">
        <v>159</v>
      </c>
    </row>
    <row r="61" spans="1:8" x14ac:dyDescent="0.2">
      <c r="A61">
        <v>91784</v>
      </c>
      <c r="B61">
        <v>5</v>
      </c>
      <c r="C61" t="s">
        <v>14</v>
      </c>
      <c r="D61" t="s">
        <v>322</v>
      </c>
      <c r="E61" t="s">
        <v>322</v>
      </c>
      <c r="F61" t="s">
        <v>322</v>
      </c>
      <c r="G61" t="s">
        <v>322</v>
      </c>
      <c r="H61" t="s">
        <v>323</v>
      </c>
    </row>
    <row r="62" spans="1:8" x14ac:dyDescent="0.2">
      <c r="A62">
        <v>91767</v>
      </c>
      <c r="B62">
        <v>4.5</v>
      </c>
      <c r="C62" t="s">
        <v>14</v>
      </c>
      <c r="D62" t="s">
        <v>322</v>
      </c>
      <c r="E62" t="s">
        <v>322</v>
      </c>
      <c r="F62" t="s">
        <v>322</v>
      </c>
      <c r="G62" t="s">
        <v>322</v>
      </c>
      <c r="H62" t="s">
        <v>322</v>
      </c>
    </row>
    <row r="63" spans="1:8" x14ac:dyDescent="0.2">
      <c r="A63">
        <v>91786</v>
      </c>
      <c r="B63">
        <v>4</v>
      </c>
      <c r="C63" t="s">
        <v>14</v>
      </c>
      <c r="D63" t="s">
        <v>322</v>
      </c>
      <c r="E63" t="s">
        <v>322</v>
      </c>
      <c r="F63" t="s">
        <v>322</v>
      </c>
      <c r="G63" t="s">
        <v>322</v>
      </c>
      <c r="H63" t="s">
        <v>322</v>
      </c>
    </row>
    <row r="64" spans="1:8" x14ac:dyDescent="0.2">
      <c r="A64">
        <v>91750</v>
      </c>
      <c r="B64">
        <v>4</v>
      </c>
      <c r="C64" t="s">
        <v>14</v>
      </c>
      <c r="D64" t="s">
        <v>322</v>
      </c>
      <c r="E64" t="s">
        <v>322</v>
      </c>
      <c r="F64" t="s">
        <v>322</v>
      </c>
      <c r="G64" t="s">
        <v>157</v>
      </c>
      <c r="H64" t="s">
        <v>157</v>
      </c>
    </row>
    <row r="65" spans="1:8" x14ac:dyDescent="0.2">
      <c r="A65">
        <v>91784</v>
      </c>
      <c r="B65">
        <v>4</v>
      </c>
      <c r="C65" t="s">
        <v>14</v>
      </c>
      <c r="D65" t="s">
        <v>322</v>
      </c>
      <c r="E65" t="s">
        <v>322</v>
      </c>
      <c r="F65" t="s">
        <v>322</v>
      </c>
      <c r="G65" t="s">
        <v>322</v>
      </c>
      <c r="H65" t="s">
        <v>322</v>
      </c>
    </row>
    <row r="66" spans="1:8" x14ac:dyDescent="0.2">
      <c r="A66">
        <v>91767</v>
      </c>
      <c r="B66">
        <v>4</v>
      </c>
      <c r="C66" t="s">
        <v>14</v>
      </c>
      <c r="D66" t="s">
        <v>322</v>
      </c>
      <c r="E66" t="s">
        <v>322</v>
      </c>
      <c r="F66" t="s">
        <v>347</v>
      </c>
      <c r="G66" t="s">
        <v>322</v>
      </c>
      <c r="H66" t="s">
        <v>322</v>
      </c>
    </row>
    <row r="67" spans="1:8" x14ac:dyDescent="0.2">
      <c r="A67">
        <v>91767</v>
      </c>
      <c r="B67">
        <v>4</v>
      </c>
      <c r="C67" t="s">
        <v>14</v>
      </c>
      <c r="D67" t="s">
        <v>329</v>
      </c>
      <c r="E67" t="s">
        <v>329</v>
      </c>
      <c r="F67" t="s">
        <v>322</v>
      </c>
      <c r="G67" t="s">
        <v>329</v>
      </c>
      <c r="H67" t="s">
        <v>153</v>
      </c>
    </row>
    <row r="68" spans="1:8" x14ac:dyDescent="0.2">
      <c r="A68">
        <v>91711</v>
      </c>
      <c r="B68">
        <v>3.5</v>
      </c>
      <c r="C68" t="s">
        <v>14</v>
      </c>
      <c r="D68" t="s">
        <v>322</v>
      </c>
      <c r="E68" t="s">
        <v>322</v>
      </c>
      <c r="F68" t="s">
        <v>322</v>
      </c>
      <c r="G68" t="s">
        <v>322</v>
      </c>
      <c r="H68" t="s">
        <v>322</v>
      </c>
    </row>
    <row r="69" spans="1:8" x14ac:dyDescent="0.2">
      <c r="A69">
        <v>91711</v>
      </c>
      <c r="B69">
        <v>3</v>
      </c>
      <c r="C69" t="s">
        <v>14</v>
      </c>
      <c r="D69" t="s">
        <v>322</v>
      </c>
      <c r="E69" t="s">
        <v>322</v>
      </c>
      <c r="F69" t="s">
        <v>322</v>
      </c>
      <c r="G69" t="s">
        <v>322</v>
      </c>
      <c r="H69" t="s">
        <v>322</v>
      </c>
    </row>
    <row r="70" spans="1:8" x14ac:dyDescent="0.2">
      <c r="A70" t="s">
        <v>373</v>
      </c>
      <c r="B70">
        <v>3</v>
      </c>
      <c r="C70" t="s">
        <v>14</v>
      </c>
      <c r="D70" t="s">
        <v>159</v>
      </c>
      <c r="E70" t="s">
        <v>322</v>
      </c>
      <c r="F70" t="s">
        <v>159</v>
      </c>
      <c r="G70" t="s">
        <v>159</v>
      </c>
      <c r="H70" t="s">
        <v>159</v>
      </c>
    </row>
    <row r="71" spans="1:8" x14ac:dyDescent="0.2">
      <c r="A71">
        <v>91711</v>
      </c>
      <c r="B71">
        <v>3</v>
      </c>
      <c r="C71" t="s">
        <v>14</v>
      </c>
      <c r="D71" t="s">
        <v>322</v>
      </c>
      <c r="E71" t="s">
        <v>322</v>
      </c>
      <c r="F71" t="s">
        <v>322</v>
      </c>
      <c r="G71" t="s">
        <v>328</v>
      </c>
      <c r="H71" t="s">
        <v>326</v>
      </c>
    </row>
    <row r="72" spans="1:8" x14ac:dyDescent="0.2">
      <c r="A72" t="s">
        <v>361</v>
      </c>
      <c r="B72">
        <v>3</v>
      </c>
      <c r="C72" t="s">
        <v>14</v>
      </c>
      <c r="D72" t="s">
        <v>328</v>
      </c>
      <c r="E72" t="s">
        <v>322</v>
      </c>
      <c r="F72" t="s">
        <v>157</v>
      </c>
      <c r="G72" t="s">
        <v>157</v>
      </c>
      <c r="H72" t="s">
        <v>157</v>
      </c>
    </row>
    <row r="73" spans="1:8" x14ac:dyDescent="0.2">
      <c r="A73">
        <v>91711</v>
      </c>
      <c r="B73">
        <v>3</v>
      </c>
      <c r="C73" t="s">
        <v>14</v>
      </c>
      <c r="D73" t="s">
        <v>322</v>
      </c>
      <c r="E73" t="s">
        <v>322</v>
      </c>
      <c r="F73" t="s">
        <v>322</v>
      </c>
      <c r="G73" t="s">
        <v>322</v>
      </c>
      <c r="H73" t="s">
        <v>322</v>
      </c>
    </row>
    <row r="74" spans="1:8" x14ac:dyDescent="0.2">
      <c r="A74">
        <v>91711</v>
      </c>
      <c r="B74">
        <v>3</v>
      </c>
      <c r="C74" t="s">
        <v>14</v>
      </c>
      <c r="D74" t="s">
        <v>322</v>
      </c>
      <c r="E74" t="s">
        <v>322</v>
      </c>
      <c r="F74" t="s">
        <v>322</v>
      </c>
      <c r="G74" t="s">
        <v>322</v>
      </c>
      <c r="H74" t="s">
        <v>322</v>
      </c>
    </row>
    <row r="75" spans="1:8" x14ac:dyDescent="0.2">
      <c r="A75">
        <v>91711</v>
      </c>
      <c r="B75">
        <v>3</v>
      </c>
      <c r="C75" t="s">
        <v>14</v>
      </c>
      <c r="D75" t="s">
        <v>322</v>
      </c>
      <c r="E75" t="s">
        <v>322</v>
      </c>
      <c r="F75" t="s">
        <v>322</v>
      </c>
      <c r="G75" t="s">
        <v>322</v>
      </c>
      <c r="H75" t="s">
        <v>322</v>
      </c>
    </row>
    <row r="76" spans="1:8" x14ac:dyDescent="0.2">
      <c r="A76">
        <v>91767</v>
      </c>
      <c r="B76">
        <v>2.5</v>
      </c>
      <c r="C76" t="s">
        <v>14</v>
      </c>
      <c r="D76" t="s">
        <v>322</v>
      </c>
      <c r="E76" t="s">
        <v>322</v>
      </c>
      <c r="F76" t="s">
        <v>322</v>
      </c>
      <c r="G76" t="s">
        <v>322</v>
      </c>
      <c r="H76" t="s">
        <v>322</v>
      </c>
    </row>
    <row r="77" spans="1:8" x14ac:dyDescent="0.2">
      <c r="A77">
        <v>91711</v>
      </c>
      <c r="B77">
        <v>2.5</v>
      </c>
      <c r="C77" t="s">
        <v>14</v>
      </c>
      <c r="D77" t="s">
        <v>157</v>
      </c>
      <c r="E77" t="s">
        <v>157</v>
      </c>
      <c r="F77" t="s">
        <v>157</v>
      </c>
      <c r="G77" t="s">
        <v>324</v>
      </c>
      <c r="H77" t="s">
        <v>157</v>
      </c>
    </row>
    <row r="78" spans="1:8" x14ac:dyDescent="0.2">
      <c r="A78">
        <v>91767</v>
      </c>
      <c r="B78">
        <v>2.5</v>
      </c>
      <c r="C78" t="s">
        <v>14</v>
      </c>
      <c r="D78" t="s">
        <v>322</v>
      </c>
      <c r="E78" t="s">
        <v>322</v>
      </c>
      <c r="F78" t="s">
        <v>322</v>
      </c>
      <c r="G78" t="s">
        <v>322</v>
      </c>
      <c r="H78" t="s">
        <v>322</v>
      </c>
    </row>
    <row r="79" spans="1:8" x14ac:dyDescent="0.2">
      <c r="A79" t="s">
        <v>354</v>
      </c>
      <c r="B79">
        <v>2.2999999999999998</v>
      </c>
      <c r="C79" t="s">
        <v>14</v>
      </c>
      <c r="D79" t="s">
        <v>346</v>
      </c>
      <c r="E79" t="s">
        <v>322</v>
      </c>
      <c r="F79" t="s">
        <v>322</v>
      </c>
      <c r="G79" t="s">
        <v>322</v>
      </c>
      <c r="H79" t="s">
        <v>323</v>
      </c>
    </row>
    <row r="80" spans="1:8" x14ac:dyDescent="0.2">
      <c r="A80">
        <v>91711</v>
      </c>
      <c r="B80">
        <v>2.25</v>
      </c>
      <c r="C80" t="s">
        <v>14</v>
      </c>
      <c r="D80" t="s">
        <v>347</v>
      </c>
      <c r="E80" t="s">
        <v>347</v>
      </c>
      <c r="F80" t="s">
        <v>347</v>
      </c>
      <c r="G80" t="s">
        <v>347</v>
      </c>
      <c r="H80" t="s">
        <v>326</v>
      </c>
    </row>
    <row r="81" spans="1:8" x14ac:dyDescent="0.2">
      <c r="A81">
        <v>91767</v>
      </c>
      <c r="B81">
        <v>2</v>
      </c>
      <c r="C81" t="s">
        <v>14</v>
      </c>
      <c r="D81" t="s">
        <v>322</v>
      </c>
      <c r="E81" t="s">
        <v>322</v>
      </c>
      <c r="F81" t="s">
        <v>322</v>
      </c>
      <c r="G81" t="s">
        <v>322</v>
      </c>
      <c r="H81" t="s">
        <v>322</v>
      </c>
    </row>
    <row r="82" spans="1:8" x14ac:dyDescent="0.2">
      <c r="A82">
        <v>91763</v>
      </c>
      <c r="B82">
        <v>2</v>
      </c>
      <c r="C82" t="s">
        <v>14</v>
      </c>
      <c r="D82" t="s">
        <v>322</v>
      </c>
      <c r="E82" t="s">
        <v>159</v>
      </c>
      <c r="F82" t="s">
        <v>322</v>
      </c>
      <c r="G82" t="s">
        <v>159</v>
      </c>
      <c r="H82" t="s">
        <v>159</v>
      </c>
    </row>
    <row r="83" spans="1:8" x14ac:dyDescent="0.2">
      <c r="A83">
        <v>91711</v>
      </c>
      <c r="B83">
        <v>2</v>
      </c>
      <c r="C83" t="s">
        <v>14</v>
      </c>
      <c r="D83" t="s">
        <v>322</v>
      </c>
      <c r="E83" t="s">
        <v>322</v>
      </c>
      <c r="F83" t="s">
        <v>322</v>
      </c>
      <c r="G83" t="s">
        <v>322</v>
      </c>
      <c r="H83" t="s">
        <v>322</v>
      </c>
    </row>
    <row r="84" spans="1:8" x14ac:dyDescent="0.2">
      <c r="A84">
        <v>91711</v>
      </c>
      <c r="B84">
        <v>2</v>
      </c>
      <c r="C84" t="s">
        <v>14</v>
      </c>
      <c r="D84" t="s">
        <v>346</v>
      </c>
      <c r="E84" t="s">
        <v>323</v>
      </c>
      <c r="F84" t="s">
        <v>346</v>
      </c>
      <c r="G84" t="s">
        <v>346</v>
      </c>
      <c r="H84" t="s">
        <v>346</v>
      </c>
    </row>
    <row r="85" spans="1:8" x14ac:dyDescent="0.2">
      <c r="A85">
        <v>91711</v>
      </c>
      <c r="B85">
        <v>2</v>
      </c>
      <c r="C85" t="s">
        <v>14</v>
      </c>
      <c r="D85" t="s">
        <v>322</v>
      </c>
      <c r="E85" t="s">
        <v>322</v>
      </c>
      <c r="F85" t="s">
        <v>322</v>
      </c>
      <c r="G85" t="s">
        <v>322</v>
      </c>
      <c r="H85" t="s">
        <v>322</v>
      </c>
    </row>
    <row r="86" spans="1:8" x14ac:dyDescent="0.2">
      <c r="A86">
        <v>91711</v>
      </c>
      <c r="B86">
        <v>2</v>
      </c>
      <c r="C86" t="s">
        <v>14</v>
      </c>
      <c r="D86" t="s">
        <v>346</v>
      </c>
      <c r="E86" t="s">
        <v>346</v>
      </c>
      <c r="F86" t="s">
        <v>346</v>
      </c>
      <c r="G86" t="s">
        <v>346</v>
      </c>
      <c r="H86" t="s">
        <v>346</v>
      </c>
    </row>
    <row r="87" spans="1:8" x14ac:dyDescent="0.2">
      <c r="A87">
        <v>91711</v>
      </c>
      <c r="B87">
        <v>2</v>
      </c>
      <c r="C87" t="s">
        <v>14</v>
      </c>
      <c r="D87" t="s">
        <v>322</v>
      </c>
      <c r="E87" t="s">
        <v>322</v>
      </c>
      <c r="F87" t="s">
        <v>322</v>
      </c>
      <c r="G87" t="s">
        <v>322</v>
      </c>
      <c r="H87" t="s">
        <v>159</v>
      </c>
    </row>
    <row r="88" spans="1:8" x14ac:dyDescent="0.2">
      <c r="A88">
        <v>91711</v>
      </c>
      <c r="B88">
        <v>2</v>
      </c>
      <c r="C88" t="s">
        <v>14</v>
      </c>
      <c r="D88" t="s">
        <v>331</v>
      </c>
      <c r="E88" t="s">
        <v>331</v>
      </c>
      <c r="F88" t="s">
        <v>331</v>
      </c>
      <c r="G88" t="s">
        <v>331</v>
      </c>
      <c r="H88" t="s">
        <v>331</v>
      </c>
    </row>
    <row r="89" spans="1:8" x14ac:dyDescent="0.2">
      <c r="A89">
        <v>91711</v>
      </c>
      <c r="B89">
        <v>2</v>
      </c>
      <c r="C89" t="s">
        <v>14</v>
      </c>
      <c r="D89" t="s">
        <v>322</v>
      </c>
      <c r="E89" t="s">
        <v>346</v>
      </c>
      <c r="F89" t="s">
        <v>322</v>
      </c>
      <c r="G89" t="s">
        <v>346</v>
      </c>
      <c r="H89" t="s">
        <v>322</v>
      </c>
    </row>
    <row r="90" spans="1:8" x14ac:dyDescent="0.2">
      <c r="A90">
        <v>91711</v>
      </c>
      <c r="B90">
        <v>2</v>
      </c>
      <c r="C90" t="s">
        <v>14</v>
      </c>
      <c r="D90" t="s">
        <v>347</v>
      </c>
      <c r="E90" t="s">
        <v>347</v>
      </c>
      <c r="F90" t="s">
        <v>322</v>
      </c>
      <c r="G90" t="s">
        <v>322</v>
      </c>
      <c r="H90" t="s">
        <v>347</v>
      </c>
    </row>
    <row r="91" spans="1:8" x14ac:dyDescent="0.2">
      <c r="A91" t="s">
        <v>355</v>
      </c>
      <c r="B91">
        <v>2</v>
      </c>
      <c r="C91" t="s">
        <v>14</v>
      </c>
      <c r="D91" t="s">
        <v>322</v>
      </c>
      <c r="E91" t="s">
        <v>322</v>
      </c>
      <c r="F91" t="s">
        <v>322</v>
      </c>
      <c r="G91" t="s">
        <v>322</v>
      </c>
      <c r="H91" t="s">
        <v>322</v>
      </c>
    </row>
    <row r="92" spans="1:8" x14ac:dyDescent="0.2">
      <c r="A92">
        <v>91711</v>
      </c>
      <c r="B92">
        <v>2</v>
      </c>
      <c r="C92" t="s">
        <v>14</v>
      </c>
      <c r="D92" t="s">
        <v>328</v>
      </c>
      <c r="E92" t="s">
        <v>328</v>
      </c>
      <c r="F92" t="s">
        <v>328</v>
      </c>
      <c r="G92" t="s">
        <v>328</v>
      </c>
      <c r="H92" t="s">
        <v>328</v>
      </c>
    </row>
    <row r="93" spans="1:8" x14ac:dyDescent="0.2">
      <c r="A93">
        <v>91711</v>
      </c>
      <c r="B93">
        <v>2</v>
      </c>
      <c r="C93" t="s">
        <v>14</v>
      </c>
      <c r="D93" t="s">
        <v>347</v>
      </c>
      <c r="E93" t="s">
        <v>347</v>
      </c>
      <c r="F93" t="s">
        <v>347</v>
      </c>
      <c r="G93" t="s">
        <v>347</v>
      </c>
      <c r="H93" t="s">
        <v>347</v>
      </c>
    </row>
    <row r="94" spans="1:8" x14ac:dyDescent="0.2">
      <c r="A94">
        <v>91711</v>
      </c>
      <c r="B94">
        <v>2</v>
      </c>
      <c r="C94" t="s">
        <v>14</v>
      </c>
      <c r="D94" t="s">
        <v>322</v>
      </c>
      <c r="E94" t="s">
        <v>322</v>
      </c>
      <c r="F94" t="s">
        <v>322</v>
      </c>
      <c r="G94" t="s">
        <v>322</v>
      </c>
      <c r="H94" t="s">
        <v>322</v>
      </c>
    </row>
    <row r="95" spans="1:8" x14ac:dyDescent="0.2">
      <c r="A95">
        <v>91711</v>
      </c>
      <c r="B95">
        <v>2</v>
      </c>
      <c r="C95" t="s">
        <v>14</v>
      </c>
      <c r="D95" t="s">
        <v>322</v>
      </c>
      <c r="E95" t="s">
        <v>322</v>
      </c>
      <c r="F95" t="s">
        <v>322</v>
      </c>
      <c r="G95" t="s">
        <v>322</v>
      </c>
      <c r="H95" t="s">
        <v>322</v>
      </c>
    </row>
    <row r="96" spans="1:8" x14ac:dyDescent="0.2">
      <c r="A96">
        <v>91711</v>
      </c>
      <c r="B96">
        <v>2</v>
      </c>
      <c r="C96" t="s">
        <v>14</v>
      </c>
      <c r="D96" t="s">
        <v>324</v>
      </c>
      <c r="E96" t="s">
        <v>324</v>
      </c>
      <c r="F96" t="s">
        <v>324</v>
      </c>
      <c r="G96" t="s">
        <v>324</v>
      </c>
      <c r="H96" t="s">
        <v>324</v>
      </c>
    </row>
    <row r="97" spans="1:8" x14ac:dyDescent="0.2">
      <c r="A97">
        <v>91767</v>
      </c>
      <c r="B97">
        <v>1.7</v>
      </c>
      <c r="C97" t="s">
        <v>14</v>
      </c>
      <c r="D97" t="s">
        <v>347</v>
      </c>
      <c r="E97" t="s">
        <v>347</v>
      </c>
      <c r="F97" t="s">
        <v>347</v>
      </c>
      <c r="G97" t="s">
        <v>347</v>
      </c>
      <c r="H97" t="s">
        <v>347</v>
      </c>
    </row>
    <row r="98" spans="1:8" x14ac:dyDescent="0.2">
      <c r="A98">
        <v>91711</v>
      </c>
      <c r="B98">
        <v>1.7</v>
      </c>
      <c r="C98" t="s">
        <v>14</v>
      </c>
      <c r="D98" t="s">
        <v>322</v>
      </c>
      <c r="E98" t="s">
        <v>322</v>
      </c>
      <c r="F98" t="s">
        <v>322</v>
      </c>
      <c r="G98" t="s">
        <v>322</v>
      </c>
      <c r="H98" t="s">
        <v>322</v>
      </c>
    </row>
    <row r="99" spans="1:8" x14ac:dyDescent="0.2">
      <c r="A99" t="s">
        <v>374</v>
      </c>
      <c r="B99">
        <v>1.5</v>
      </c>
      <c r="C99" t="s">
        <v>14</v>
      </c>
      <c r="D99" t="s">
        <v>322</v>
      </c>
      <c r="E99" t="s">
        <v>322</v>
      </c>
      <c r="F99" t="s">
        <v>322</v>
      </c>
      <c r="G99" t="s">
        <v>322</v>
      </c>
      <c r="H99" t="s">
        <v>322</v>
      </c>
    </row>
    <row r="100" spans="1:8" x14ac:dyDescent="0.2">
      <c r="A100">
        <v>91711</v>
      </c>
      <c r="B100">
        <v>1.5</v>
      </c>
      <c r="C100" t="s">
        <v>14</v>
      </c>
      <c r="D100" t="s">
        <v>322</v>
      </c>
      <c r="E100" t="s">
        <v>322</v>
      </c>
      <c r="F100" t="s">
        <v>322</v>
      </c>
      <c r="G100" t="s">
        <v>322</v>
      </c>
      <c r="H100" t="s">
        <v>159</v>
      </c>
    </row>
    <row r="101" spans="1:8" x14ac:dyDescent="0.2">
      <c r="A101">
        <v>91711</v>
      </c>
      <c r="B101">
        <v>1.5</v>
      </c>
      <c r="C101" t="s">
        <v>14</v>
      </c>
      <c r="D101" t="s">
        <v>322</v>
      </c>
      <c r="E101" t="s">
        <v>322</v>
      </c>
      <c r="F101" t="s">
        <v>322</v>
      </c>
      <c r="G101" t="s">
        <v>322</v>
      </c>
      <c r="H101" t="s">
        <v>322</v>
      </c>
    </row>
    <row r="102" spans="1:8" x14ac:dyDescent="0.2">
      <c r="A102">
        <v>91711</v>
      </c>
      <c r="B102">
        <v>1.5</v>
      </c>
      <c r="C102" t="s">
        <v>14</v>
      </c>
      <c r="D102" t="s">
        <v>322</v>
      </c>
      <c r="E102" t="s">
        <v>322</v>
      </c>
      <c r="F102" t="s">
        <v>322</v>
      </c>
      <c r="G102" t="s">
        <v>322</v>
      </c>
      <c r="H102" t="s">
        <v>322</v>
      </c>
    </row>
    <row r="103" spans="1:8" x14ac:dyDescent="0.2">
      <c r="A103">
        <v>91767</v>
      </c>
      <c r="B103">
        <v>1.5</v>
      </c>
      <c r="C103" t="s">
        <v>14</v>
      </c>
      <c r="D103" t="s">
        <v>326</v>
      </c>
      <c r="E103" t="s">
        <v>347</v>
      </c>
      <c r="F103" t="s">
        <v>347</v>
      </c>
      <c r="G103" t="s">
        <v>347</v>
      </c>
      <c r="H103" t="s">
        <v>326</v>
      </c>
    </row>
    <row r="104" spans="1:8" x14ac:dyDescent="0.2">
      <c r="A104">
        <v>91711</v>
      </c>
      <c r="B104">
        <v>1.5</v>
      </c>
      <c r="C104" t="s">
        <v>14</v>
      </c>
      <c r="D104" t="s">
        <v>322</v>
      </c>
      <c r="E104" t="s">
        <v>322</v>
      </c>
      <c r="F104" t="s">
        <v>322</v>
      </c>
      <c r="G104" t="s">
        <v>322</v>
      </c>
      <c r="H104" t="s">
        <v>322</v>
      </c>
    </row>
    <row r="105" spans="1:8" x14ac:dyDescent="0.2">
      <c r="A105">
        <v>91711</v>
      </c>
      <c r="B105">
        <v>1.5</v>
      </c>
      <c r="C105" t="s">
        <v>14</v>
      </c>
      <c r="D105" t="s">
        <v>322</v>
      </c>
      <c r="E105" t="s">
        <v>322</v>
      </c>
      <c r="F105" t="s">
        <v>322</v>
      </c>
      <c r="G105" t="s">
        <v>322</v>
      </c>
      <c r="H105" t="s">
        <v>322</v>
      </c>
    </row>
    <row r="106" spans="1:8" x14ac:dyDescent="0.2">
      <c r="A106">
        <v>91711</v>
      </c>
      <c r="B106">
        <v>1.5</v>
      </c>
      <c r="C106" t="s">
        <v>14</v>
      </c>
      <c r="D106" t="s">
        <v>324</v>
      </c>
      <c r="E106" t="s">
        <v>324</v>
      </c>
      <c r="F106" t="s">
        <v>157</v>
      </c>
      <c r="G106" t="s">
        <v>157</v>
      </c>
      <c r="H106" t="s">
        <v>157</v>
      </c>
    </row>
    <row r="107" spans="1:8" x14ac:dyDescent="0.2">
      <c r="A107">
        <v>91711</v>
      </c>
      <c r="B107">
        <v>1.5</v>
      </c>
      <c r="C107" t="s">
        <v>14</v>
      </c>
      <c r="D107" t="s">
        <v>322</v>
      </c>
      <c r="E107" t="s">
        <v>322</v>
      </c>
      <c r="F107" t="s">
        <v>322</v>
      </c>
      <c r="G107" t="s">
        <v>322</v>
      </c>
      <c r="H107" t="s">
        <v>322</v>
      </c>
    </row>
    <row r="108" spans="1:8" x14ac:dyDescent="0.2">
      <c r="A108">
        <v>91711</v>
      </c>
      <c r="B108">
        <v>1.5</v>
      </c>
      <c r="C108" t="s">
        <v>14</v>
      </c>
      <c r="D108" t="s">
        <v>328</v>
      </c>
      <c r="E108" t="s">
        <v>328</v>
      </c>
      <c r="F108" t="s">
        <v>328</v>
      </c>
      <c r="G108" t="s">
        <v>328</v>
      </c>
      <c r="H108" t="s">
        <v>328</v>
      </c>
    </row>
    <row r="109" spans="1:8" x14ac:dyDescent="0.2">
      <c r="A109">
        <v>91711</v>
      </c>
      <c r="B109">
        <v>1.5</v>
      </c>
      <c r="C109" t="s">
        <v>14</v>
      </c>
      <c r="D109" t="s">
        <v>322</v>
      </c>
      <c r="E109" t="s">
        <v>322</v>
      </c>
      <c r="F109" t="s">
        <v>322</v>
      </c>
      <c r="G109" t="s">
        <v>322</v>
      </c>
      <c r="H109" t="s">
        <v>345</v>
      </c>
    </row>
    <row r="110" spans="1:8" x14ac:dyDescent="0.2">
      <c r="A110">
        <v>91711</v>
      </c>
      <c r="B110">
        <v>1.5</v>
      </c>
      <c r="C110" t="s">
        <v>14</v>
      </c>
      <c r="D110" t="s">
        <v>347</v>
      </c>
      <c r="E110" t="s">
        <v>347</v>
      </c>
      <c r="F110" t="s">
        <v>347</v>
      </c>
      <c r="G110" t="s">
        <v>347</v>
      </c>
      <c r="H110" t="s">
        <v>322</v>
      </c>
    </row>
    <row r="111" spans="1:8" x14ac:dyDescent="0.2">
      <c r="A111">
        <v>91711</v>
      </c>
      <c r="B111">
        <v>1.5</v>
      </c>
      <c r="C111" t="s">
        <v>14</v>
      </c>
      <c r="D111" t="s">
        <v>322</v>
      </c>
      <c r="E111" t="s">
        <v>322</v>
      </c>
      <c r="F111" t="s">
        <v>347</v>
      </c>
      <c r="G111" t="s">
        <v>347</v>
      </c>
      <c r="H111" t="s">
        <v>347</v>
      </c>
    </row>
    <row r="112" spans="1:8" x14ac:dyDescent="0.2">
      <c r="A112" t="s">
        <v>375</v>
      </c>
      <c r="B112">
        <v>1.5</v>
      </c>
      <c r="C112" t="s">
        <v>14</v>
      </c>
      <c r="D112" t="s">
        <v>346</v>
      </c>
      <c r="E112" t="s">
        <v>346</v>
      </c>
      <c r="F112" t="s">
        <v>346</v>
      </c>
      <c r="G112" t="s">
        <v>322</v>
      </c>
      <c r="H112" t="s">
        <v>346</v>
      </c>
    </row>
    <row r="113" spans="1:8" x14ac:dyDescent="0.2">
      <c r="A113">
        <v>91767</v>
      </c>
      <c r="B113">
        <v>1.5</v>
      </c>
      <c r="C113" t="s">
        <v>14</v>
      </c>
      <c r="D113" t="s">
        <v>322</v>
      </c>
      <c r="E113" t="s">
        <v>322</v>
      </c>
      <c r="F113" t="s">
        <v>322</v>
      </c>
      <c r="G113" t="s">
        <v>322</v>
      </c>
      <c r="H113" t="s">
        <v>322</v>
      </c>
    </row>
    <row r="114" spans="1:8" x14ac:dyDescent="0.2">
      <c r="A114">
        <v>91711</v>
      </c>
      <c r="B114">
        <v>1.5</v>
      </c>
      <c r="C114" t="s">
        <v>14</v>
      </c>
      <c r="D114" t="s">
        <v>155</v>
      </c>
      <c r="E114" t="s">
        <v>155</v>
      </c>
      <c r="F114" t="s">
        <v>155</v>
      </c>
      <c r="G114" t="s">
        <v>155</v>
      </c>
      <c r="H114" t="s">
        <v>155</v>
      </c>
    </row>
    <row r="115" spans="1:8" x14ac:dyDescent="0.2">
      <c r="A115">
        <v>91711</v>
      </c>
      <c r="B115">
        <v>1.5</v>
      </c>
      <c r="C115" t="s">
        <v>14</v>
      </c>
      <c r="D115" t="s">
        <v>322</v>
      </c>
      <c r="E115" t="s">
        <v>346</v>
      </c>
      <c r="F115" t="s">
        <v>329</v>
      </c>
      <c r="G115" t="s">
        <v>322</v>
      </c>
      <c r="H115" t="s">
        <v>346</v>
      </c>
    </row>
    <row r="116" spans="1:8" x14ac:dyDescent="0.2">
      <c r="A116" t="s">
        <v>375</v>
      </c>
      <c r="B116">
        <v>1.5</v>
      </c>
      <c r="C116" t="s">
        <v>14</v>
      </c>
      <c r="D116" t="s">
        <v>346</v>
      </c>
      <c r="E116" t="s">
        <v>346</v>
      </c>
      <c r="F116" t="s">
        <v>346</v>
      </c>
      <c r="G116" t="s">
        <v>346</v>
      </c>
      <c r="H116" t="s">
        <v>346</v>
      </c>
    </row>
    <row r="117" spans="1:8" x14ac:dyDescent="0.2">
      <c r="A117">
        <v>91711</v>
      </c>
      <c r="B117">
        <v>1.2</v>
      </c>
      <c r="C117" t="s">
        <v>14</v>
      </c>
      <c r="D117" t="s">
        <v>326</v>
      </c>
      <c r="E117" t="s">
        <v>322</v>
      </c>
      <c r="F117" t="s">
        <v>322</v>
      </c>
      <c r="G117" t="s">
        <v>322</v>
      </c>
      <c r="H117" t="s">
        <v>159</v>
      </c>
    </row>
    <row r="118" spans="1:8" x14ac:dyDescent="0.2">
      <c r="A118">
        <v>91711</v>
      </c>
      <c r="B118">
        <v>1.2</v>
      </c>
      <c r="C118" t="s">
        <v>14</v>
      </c>
      <c r="D118" t="s">
        <v>331</v>
      </c>
      <c r="E118" t="s">
        <v>331</v>
      </c>
      <c r="F118" t="s">
        <v>331</v>
      </c>
      <c r="G118" t="s">
        <v>322</v>
      </c>
      <c r="H118" t="s">
        <v>322</v>
      </c>
    </row>
    <row r="119" spans="1:8" x14ac:dyDescent="0.2">
      <c r="A119" t="s">
        <v>356</v>
      </c>
      <c r="B119">
        <v>1.2</v>
      </c>
      <c r="C119" t="s">
        <v>14</v>
      </c>
      <c r="D119" t="s">
        <v>322</v>
      </c>
      <c r="E119" t="s">
        <v>346</v>
      </c>
      <c r="F119" t="s">
        <v>322</v>
      </c>
      <c r="G119" t="s">
        <v>159</v>
      </c>
      <c r="H119" t="s">
        <v>159</v>
      </c>
    </row>
    <row r="120" spans="1:8" x14ac:dyDescent="0.2">
      <c r="A120" t="s">
        <v>376</v>
      </c>
      <c r="B120">
        <v>1.2</v>
      </c>
      <c r="C120" t="s">
        <v>14</v>
      </c>
      <c r="D120" t="s">
        <v>328</v>
      </c>
      <c r="E120" t="s">
        <v>328</v>
      </c>
      <c r="F120" t="s">
        <v>328</v>
      </c>
      <c r="G120" t="s">
        <v>328</v>
      </c>
      <c r="H120" t="s">
        <v>328</v>
      </c>
    </row>
    <row r="121" spans="1:8" x14ac:dyDescent="0.2">
      <c r="A121">
        <v>91711</v>
      </c>
      <c r="B121">
        <v>1.1000000000000001</v>
      </c>
      <c r="C121" t="s">
        <v>14</v>
      </c>
      <c r="D121" t="s">
        <v>324</v>
      </c>
      <c r="E121" t="s">
        <v>324</v>
      </c>
      <c r="F121" t="s">
        <v>347</v>
      </c>
      <c r="G121" t="s">
        <v>324</v>
      </c>
      <c r="H121" t="s">
        <v>328</v>
      </c>
    </row>
    <row r="122" spans="1:8" x14ac:dyDescent="0.2">
      <c r="A122">
        <v>91711</v>
      </c>
      <c r="B122">
        <v>1</v>
      </c>
      <c r="C122" t="s">
        <v>14</v>
      </c>
      <c r="D122" t="s">
        <v>346</v>
      </c>
      <c r="E122" t="s">
        <v>346</v>
      </c>
      <c r="F122" t="s">
        <v>346</v>
      </c>
      <c r="G122" t="s">
        <v>346</v>
      </c>
      <c r="H122" t="s">
        <v>346</v>
      </c>
    </row>
    <row r="123" spans="1:8" x14ac:dyDescent="0.2">
      <c r="A123">
        <v>91711</v>
      </c>
      <c r="B123">
        <v>1</v>
      </c>
      <c r="C123" t="s">
        <v>14</v>
      </c>
      <c r="D123" t="s">
        <v>331</v>
      </c>
      <c r="E123" t="s">
        <v>331</v>
      </c>
      <c r="F123" t="s">
        <v>331</v>
      </c>
      <c r="G123" t="s">
        <v>331</v>
      </c>
      <c r="H123" t="s">
        <v>331</v>
      </c>
    </row>
    <row r="124" spans="1:8" x14ac:dyDescent="0.2">
      <c r="A124" t="s">
        <v>375</v>
      </c>
      <c r="B124">
        <v>1</v>
      </c>
      <c r="C124" t="s">
        <v>14</v>
      </c>
      <c r="D124" t="s">
        <v>346</v>
      </c>
      <c r="E124" t="s">
        <v>346</v>
      </c>
      <c r="F124" t="s">
        <v>346</v>
      </c>
      <c r="G124" t="s">
        <v>346</v>
      </c>
      <c r="H124" t="s">
        <v>346</v>
      </c>
    </row>
    <row r="125" spans="1:8" x14ac:dyDescent="0.2">
      <c r="A125">
        <v>91711</v>
      </c>
      <c r="B125">
        <v>1</v>
      </c>
      <c r="C125" t="s">
        <v>14</v>
      </c>
      <c r="D125" t="s">
        <v>346</v>
      </c>
      <c r="E125" t="s">
        <v>346</v>
      </c>
      <c r="F125" t="s">
        <v>346</v>
      </c>
      <c r="G125" t="s">
        <v>346</v>
      </c>
      <c r="H125" t="s">
        <v>346</v>
      </c>
    </row>
    <row r="126" spans="1:8" x14ac:dyDescent="0.2">
      <c r="A126">
        <v>91711</v>
      </c>
      <c r="B126">
        <v>1</v>
      </c>
      <c r="C126" t="s">
        <v>14</v>
      </c>
      <c r="D126" t="s">
        <v>159</v>
      </c>
      <c r="E126" t="s">
        <v>159</v>
      </c>
      <c r="F126" t="s">
        <v>159</v>
      </c>
      <c r="G126" t="s">
        <v>159</v>
      </c>
      <c r="H126" t="s">
        <v>159</v>
      </c>
    </row>
    <row r="127" spans="1:8" x14ac:dyDescent="0.2">
      <c r="A127">
        <v>91711</v>
      </c>
      <c r="B127">
        <v>1</v>
      </c>
      <c r="C127" t="s">
        <v>14</v>
      </c>
      <c r="D127" t="s">
        <v>346</v>
      </c>
      <c r="E127" t="s">
        <v>346</v>
      </c>
      <c r="F127" t="s">
        <v>346</v>
      </c>
      <c r="G127" t="s">
        <v>346</v>
      </c>
      <c r="H127" t="s">
        <v>346</v>
      </c>
    </row>
    <row r="128" spans="1:8" x14ac:dyDescent="0.2">
      <c r="A128">
        <v>91711</v>
      </c>
      <c r="B128">
        <v>1</v>
      </c>
      <c r="C128" t="s">
        <v>14</v>
      </c>
      <c r="D128" t="s">
        <v>346</v>
      </c>
      <c r="E128" t="s">
        <v>346</v>
      </c>
      <c r="F128" t="s">
        <v>346</v>
      </c>
      <c r="G128" t="s">
        <v>346</v>
      </c>
      <c r="H128" t="s">
        <v>346</v>
      </c>
    </row>
    <row r="129" spans="1:8" x14ac:dyDescent="0.2">
      <c r="A129">
        <v>91711</v>
      </c>
      <c r="B129">
        <v>1</v>
      </c>
      <c r="C129" t="s">
        <v>14</v>
      </c>
      <c r="D129" t="s">
        <v>322</v>
      </c>
      <c r="E129" t="s">
        <v>322</v>
      </c>
      <c r="F129" t="s">
        <v>322</v>
      </c>
      <c r="G129" t="s">
        <v>322</v>
      </c>
      <c r="H129" t="s">
        <v>322</v>
      </c>
    </row>
    <row r="130" spans="1:8" x14ac:dyDescent="0.2">
      <c r="A130">
        <v>91711</v>
      </c>
      <c r="B130">
        <v>1</v>
      </c>
      <c r="C130" t="s">
        <v>14</v>
      </c>
      <c r="D130" t="s">
        <v>322</v>
      </c>
      <c r="E130" t="s">
        <v>322</v>
      </c>
      <c r="F130" t="s">
        <v>322</v>
      </c>
      <c r="G130" t="s">
        <v>322</v>
      </c>
      <c r="H130" t="s">
        <v>322</v>
      </c>
    </row>
    <row r="131" spans="1:8" x14ac:dyDescent="0.2">
      <c r="A131">
        <v>91711</v>
      </c>
      <c r="B131">
        <v>1</v>
      </c>
      <c r="C131" t="s">
        <v>14</v>
      </c>
      <c r="D131" t="s">
        <v>346</v>
      </c>
      <c r="E131" t="s">
        <v>322</v>
      </c>
      <c r="F131" t="s">
        <v>322</v>
      </c>
      <c r="G131" t="s">
        <v>322</v>
      </c>
      <c r="H131" t="s">
        <v>347</v>
      </c>
    </row>
    <row r="132" spans="1:8" x14ac:dyDescent="0.2">
      <c r="A132" t="s">
        <v>375</v>
      </c>
      <c r="B132">
        <v>1</v>
      </c>
      <c r="C132" t="s">
        <v>14</v>
      </c>
      <c r="D132" t="s">
        <v>322</v>
      </c>
      <c r="E132" t="s">
        <v>346</v>
      </c>
      <c r="F132" t="s">
        <v>322</v>
      </c>
      <c r="G132" t="s">
        <v>347</v>
      </c>
      <c r="H132" t="s">
        <v>347</v>
      </c>
    </row>
    <row r="133" spans="1:8" x14ac:dyDescent="0.2">
      <c r="A133">
        <v>91711</v>
      </c>
      <c r="B133">
        <v>1</v>
      </c>
      <c r="C133" t="s">
        <v>14</v>
      </c>
      <c r="D133" t="s">
        <v>346</v>
      </c>
      <c r="E133" t="s">
        <v>346</v>
      </c>
      <c r="F133" t="s">
        <v>346</v>
      </c>
      <c r="G133" t="s">
        <v>346</v>
      </c>
      <c r="H133" t="s">
        <v>346</v>
      </c>
    </row>
    <row r="134" spans="1:8" x14ac:dyDescent="0.2">
      <c r="A134">
        <v>91711</v>
      </c>
      <c r="B134">
        <v>1</v>
      </c>
      <c r="C134" t="s">
        <v>14</v>
      </c>
      <c r="D134" t="s">
        <v>153</v>
      </c>
      <c r="E134" t="s">
        <v>153</v>
      </c>
      <c r="F134" t="s">
        <v>153</v>
      </c>
      <c r="G134" t="s">
        <v>326</v>
      </c>
      <c r="H134" t="s">
        <v>346</v>
      </c>
    </row>
    <row r="135" spans="1:8" x14ac:dyDescent="0.2">
      <c r="A135">
        <v>91711</v>
      </c>
      <c r="B135">
        <v>1</v>
      </c>
      <c r="C135" t="s">
        <v>14</v>
      </c>
      <c r="D135" t="s">
        <v>347</v>
      </c>
      <c r="E135" t="s">
        <v>347</v>
      </c>
      <c r="F135" t="s">
        <v>347</v>
      </c>
      <c r="G135" t="s">
        <v>347</v>
      </c>
      <c r="H135" t="s">
        <v>347</v>
      </c>
    </row>
    <row r="136" spans="1:8" x14ac:dyDescent="0.2">
      <c r="A136">
        <v>91711</v>
      </c>
      <c r="B136">
        <v>1</v>
      </c>
      <c r="C136" t="s">
        <v>14</v>
      </c>
      <c r="D136" t="s">
        <v>322</v>
      </c>
      <c r="E136" t="s">
        <v>346</v>
      </c>
      <c r="F136" t="s">
        <v>322</v>
      </c>
      <c r="G136" t="s">
        <v>322</v>
      </c>
      <c r="H136" t="s">
        <v>322</v>
      </c>
    </row>
    <row r="137" spans="1:8" x14ac:dyDescent="0.2">
      <c r="A137">
        <v>91711</v>
      </c>
      <c r="B137">
        <v>1</v>
      </c>
      <c r="C137" t="s">
        <v>14</v>
      </c>
      <c r="D137" t="s">
        <v>347</v>
      </c>
      <c r="E137" t="s">
        <v>347</v>
      </c>
      <c r="F137" t="s">
        <v>347</v>
      </c>
      <c r="G137" t="s">
        <v>347</v>
      </c>
      <c r="H137" t="s">
        <v>347</v>
      </c>
    </row>
    <row r="138" spans="1:8" x14ac:dyDescent="0.2">
      <c r="A138">
        <v>91711</v>
      </c>
      <c r="B138">
        <v>1</v>
      </c>
      <c r="C138" t="s">
        <v>14</v>
      </c>
      <c r="D138" t="s">
        <v>322</v>
      </c>
      <c r="E138" t="s">
        <v>322</v>
      </c>
      <c r="F138" t="s">
        <v>322</v>
      </c>
      <c r="G138" t="s">
        <v>322</v>
      </c>
      <c r="H138" t="s">
        <v>322</v>
      </c>
    </row>
    <row r="139" spans="1:8" x14ac:dyDescent="0.2">
      <c r="A139">
        <v>91711</v>
      </c>
      <c r="B139">
        <v>1</v>
      </c>
      <c r="C139" t="s">
        <v>14</v>
      </c>
      <c r="D139" t="s">
        <v>346</v>
      </c>
      <c r="E139" t="s">
        <v>346</v>
      </c>
      <c r="F139" t="s">
        <v>346</v>
      </c>
      <c r="G139" t="s">
        <v>346</v>
      </c>
      <c r="H139" t="s">
        <v>346</v>
      </c>
    </row>
    <row r="140" spans="1:8" x14ac:dyDescent="0.2">
      <c r="A140">
        <v>91711</v>
      </c>
      <c r="B140">
        <v>1</v>
      </c>
      <c r="C140" t="s">
        <v>14</v>
      </c>
      <c r="D140" t="s">
        <v>159</v>
      </c>
      <c r="E140" t="s">
        <v>322</v>
      </c>
      <c r="F140" t="s">
        <v>322</v>
      </c>
      <c r="G140" t="s">
        <v>322</v>
      </c>
      <c r="H140" t="s">
        <v>322</v>
      </c>
    </row>
    <row r="141" spans="1:8" x14ac:dyDescent="0.2">
      <c r="A141">
        <v>91711</v>
      </c>
      <c r="B141">
        <v>1</v>
      </c>
      <c r="C141" t="s">
        <v>14</v>
      </c>
      <c r="D141" t="s">
        <v>322</v>
      </c>
      <c r="E141" t="s">
        <v>322</v>
      </c>
      <c r="F141" t="s">
        <v>322</v>
      </c>
      <c r="G141" t="s">
        <v>322</v>
      </c>
      <c r="H141" t="s">
        <v>322</v>
      </c>
    </row>
    <row r="142" spans="1:8" x14ac:dyDescent="0.2">
      <c r="A142">
        <v>91711</v>
      </c>
      <c r="B142">
        <v>1</v>
      </c>
      <c r="C142" t="s">
        <v>14</v>
      </c>
      <c r="D142" t="s">
        <v>322</v>
      </c>
      <c r="E142" t="s">
        <v>346</v>
      </c>
      <c r="F142" t="s">
        <v>346</v>
      </c>
      <c r="G142" t="s">
        <v>346</v>
      </c>
      <c r="H142" t="s">
        <v>346</v>
      </c>
    </row>
    <row r="143" spans="1:8" x14ac:dyDescent="0.2">
      <c r="A143">
        <v>91711</v>
      </c>
      <c r="B143">
        <v>1</v>
      </c>
      <c r="C143" t="s">
        <v>14</v>
      </c>
      <c r="D143" t="s">
        <v>347</v>
      </c>
      <c r="E143" t="s">
        <v>322</v>
      </c>
      <c r="F143" t="s">
        <v>347</v>
      </c>
      <c r="G143" t="s">
        <v>322</v>
      </c>
      <c r="H143" t="s">
        <v>347</v>
      </c>
    </row>
    <row r="144" spans="1:8" x14ac:dyDescent="0.2">
      <c r="A144">
        <v>91711</v>
      </c>
      <c r="B144">
        <v>1</v>
      </c>
      <c r="C144" t="s">
        <v>14</v>
      </c>
      <c r="D144" t="s">
        <v>346</v>
      </c>
      <c r="E144" t="s">
        <v>346</v>
      </c>
      <c r="F144" t="s">
        <v>346</v>
      </c>
      <c r="G144" t="s">
        <v>346</v>
      </c>
      <c r="H144" t="s">
        <v>346</v>
      </c>
    </row>
    <row r="145" spans="1:8" x14ac:dyDescent="0.2">
      <c r="A145" t="s">
        <v>375</v>
      </c>
      <c r="B145">
        <v>1</v>
      </c>
      <c r="C145" t="s">
        <v>14</v>
      </c>
      <c r="D145" t="s">
        <v>347</v>
      </c>
      <c r="E145" t="s">
        <v>347</v>
      </c>
      <c r="F145" t="s">
        <v>347</v>
      </c>
      <c r="G145" t="s">
        <v>347</v>
      </c>
      <c r="H145" t="s">
        <v>347</v>
      </c>
    </row>
    <row r="146" spans="1:8" x14ac:dyDescent="0.2">
      <c r="A146">
        <v>91711</v>
      </c>
      <c r="B146">
        <v>1</v>
      </c>
      <c r="C146" t="s">
        <v>14</v>
      </c>
      <c r="D146" t="s">
        <v>346</v>
      </c>
      <c r="E146" t="s">
        <v>346</v>
      </c>
      <c r="F146" t="s">
        <v>346</v>
      </c>
      <c r="G146" t="s">
        <v>346</v>
      </c>
      <c r="H146" t="s">
        <v>346</v>
      </c>
    </row>
    <row r="147" spans="1:8" x14ac:dyDescent="0.2">
      <c r="A147">
        <v>91711</v>
      </c>
      <c r="B147">
        <v>1</v>
      </c>
      <c r="C147" t="s">
        <v>14</v>
      </c>
      <c r="D147" t="s">
        <v>346</v>
      </c>
      <c r="E147" t="s">
        <v>328</v>
      </c>
      <c r="F147" t="s">
        <v>346</v>
      </c>
      <c r="G147" t="s">
        <v>328</v>
      </c>
      <c r="H147" t="s">
        <v>346</v>
      </c>
    </row>
    <row r="148" spans="1:8" x14ac:dyDescent="0.2">
      <c r="A148">
        <v>91711</v>
      </c>
      <c r="B148">
        <v>1</v>
      </c>
      <c r="C148" t="s">
        <v>14</v>
      </c>
      <c r="D148" t="s">
        <v>328</v>
      </c>
      <c r="E148" t="s">
        <v>328</v>
      </c>
      <c r="F148" t="s">
        <v>347</v>
      </c>
      <c r="G148" t="s">
        <v>322</v>
      </c>
      <c r="H148" t="s">
        <v>322</v>
      </c>
    </row>
    <row r="149" spans="1:8" x14ac:dyDescent="0.2">
      <c r="A149">
        <v>91711</v>
      </c>
      <c r="B149">
        <v>1</v>
      </c>
      <c r="C149" t="s">
        <v>14</v>
      </c>
      <c r="D149" t="s">
        <v>346</v>
      </c>
      <c r="E149" t="s">
        <v>346</v>
      </c>
      <c r="F149" t="s">
        <v>346</v>
      </c>
      <c r="G149" t="s">
        <v>346</v>
      </c>
      <c r="H149" t="s">
        <v>346</v>
      </c>
    </row>
    <row r="150" spans="1:8" x14ac:dyDescent="0.2">
      <c r="A150">
        <v>91711</v>
      </c>
      <c r="B150">
        <v>1</v>
      </c>
      <c r="C150" t="s">
        <v>14</v>
      </c>
      <c r="D150" t="s">
        <v>331</v>
      </c>
      <c r="E150" t="s">
        <v>331</v>
      </c>
      <c r="F150" t="s">
        <v>331</v>
      </c>
      <c r="G150" t="s">
        <v>346</v>
      </c>
      <c r="H150" t="s">
        <v>331</v>
      </c>
    </row>
    <row r="151" spans="1:8" x14ac:dyDescent="0.2">
      <c r="A151">
        <v>91711</v>
      </c>
      <c r="B151">
        <v>1</v>
      </c>
      <c r="C151" t="s">
        <v>14</v>
      </c>
      <c r="D151" t="s">
        <v>322</v>
      </c>
      <c r="E151" t="s">
        <v>322</v>
      </c>
      <c r="F151" t="s">
        <v>322</v>
      </c>
      <c r="G151" t="s">
        <v>322</v>
      </c>
      <c r="H151" t="s">
        <v>322</v>
      </c>
    </row>
    <row r="152" spans="1:8" x14ac:dyDescent="0.2">
      <c r="A152">
        <v>91711</v>
      </c>
      <c r="B152">
        <v>1</v>
      </c>
      <c r="C152" t="s">
        <v>14</v>
      </c>
      <c r="D152" t="s">
        <v>159</v>
      </c>
      <c r="E152" t="s">
        <v>159</v>
      </c>
      <c r="F152" t="s">
        <v>322</v>
      </c>
      <c r="G152" t="s">
        <v>322</v>
      </c>
      <c r="H152" t="s">
        <v>159</v>
      </c>
    </row>
    <row r="153" spans="1:8" x14ac:dyDescent="0.2">
      <c r="A153">
        <v>91711</v>
      </c>
      <c r="B153">
        <v>1</v>
      </c>
      <c r="C153" t="s">
        <v>14</v>
      </c>
      <c r="D153" t="s">
        <v>347</v>
      </c>
      <c r="E153" t="s">
        <v>347</v>
      </c>
      <c r="F153" t="s">
        <v>347</v>
      </c>
      <c r="G153" t="s">
        <v>159</v>
      </c>
      <c r="H153" t="s">
        <v>159</v>
      </c>
    </row>
    <row r="154" spans="1:8" x14ac:dyDescent="0.2">
      <c r="A154" t="s">
        <v>358</v>
      </c>
      <c r="B154">
        <v>1</v>
      </c>
      <c r="C154" t="s">
        <v>14</v>
      </c>
      <c r="D154" t="s">
        <v>322</v>
      </c>
      <c r="E154" t="s">
        <v>322</v>
      </c>
      <c r="F154" t="s">
        <v>322</v>
      </c>
      <c r="G154" t="s">
        <v>322</v>
      </c>
      <c r="H154" t="s">
        <v>322</v>
      </c>
    </row>
    <row r="155" spans="1:8" x14ac:dyDescent="0.2">
      <c r="A155" t="s">
        <v>375</v>
      </c>
      <c r="B155">
        <v>1</v>
      </c>
      <c r="C155" t="s">
        <v>14</v>
      </c>
      <c r="D155" t="s">
        <v>346</v>
      </c>
      <c r="E155" t="s">
        <v>346</v>
      </c>
      <c r="F155" t="s">
        <v>346</v>
      </c>
      <c r="G155" t="s">
        <v>346</v>
      </c>
      <c r="H155" t="s">
        <v>346</v>
      </c>
    </row>
    <row r="156" spans="1:8" x14ac:dyDescent="0.2">
      <c r="A156">
        <v>91711</v>
      </c>
      <c r="B156">
        <v>1</v>
      </c>
      <c r="C156" t="s">
        <v>14</v>
      </c>
      <c r="D156" t="s">
        <v>328</v>
      </c>
      <c r="E156" t="s">
        <v>328</v>
      </c>
      <c r="F156" t="s">
        <v>328</v>
      </c>
      <c r="G156" t="s">
        <v>328</v>
      </c>
      <c r="H156" t="s">
        <v>328</v>
      </c>
    </row>
    <row r="157" spans="1:8" x14ac:dyDescent="0.2">
      <c r="A157">
        <v>91711</v>
      </c>
      <c r="B157">
        <v>1</v>
      </c>
      <c r="C157" t="s">
        <v>14</v>
      </c>
      <c r="D157" t="s">
        <v>328</v>
      </c>
      <c r="E157" t="s">
        <v>328</v>
      </c>
      <c r="F157" t="s">
        <v>346</v>
      </c>
      <c r="G157" t="s">
        <v>322</v>
      </c>
      <c r="H157" t="s">
        <v>322</v>
      </c>
    </row>
    <row r="158" spans="1:8" x14ac:dyDescent="0.2">
      <c r="A158">
        <v>91711</v>
      </c>
      <c r="B158">
        <v>1</v>
      </c>
      <c r="C158" t="s">
        <v>14</v>
      </c>
      <c r="D158" t="s">
        <v>322</v>
      </c>
      <c r="E158" t="s">
        <v>322</v>
      </c>
      <c r="F158" t="s">
        <v>322</v>
      </c>
      <c r="G158" t="s">
        <v>322</v>
      </c>
      <c r="H158" t="s">
        <v>322</v>
      </c>
    </row>
    <row r="159" spans="1:8" x14ac:dyDescent="0.2">
      <c r="A159" t="s">
        <v>377</v>
      </c>
      <c r="B159">
        <v>1</v>
      </c>
      <c r="C159" t="s">
        <v>14</v>
      </c>
      <c r="D159" t="s">
        <v>322</v>
      </c>
      <c r="E159" t="s">
        <v>322</v>
      </c>
      <c r="F159" t="s">
        <v>155</v>
      </c>
      <c r="G159" t="s">
        <v>155</v>
      </c>
      <c r="H159" t="s">
        <v>322</v>
      </c>
    </row>
    <row r="160" spans="1:8" x14ac:dyDescent="0.2">
      <c r="A160">
        <v>91711</v>
      </c>
      <c r="B160">
        <v>1</v>
      </c>
      <c r="C160" t="s">
        <v>14</v>
      </c>
      <c r="D160" t="s">
        <v>346</v>
      </c>
      <c r="E160" t="s">
        <v>346</v>
      </c>
      <c r="F160" t="s">
        <v>346</v>
      </c>
      <c r="G160" t="s">
        <v>346</v>
      </c>
      <c r="H160" t="s">
        <v>326</v>
      </c>
    </row>
    <row r="161" spans="1:8" x14ac:dyDescent="0.2">
      <c r="A161">
        <v>91711</v>
      </c>
      <c r="B161">
        <v>1</v>
      </c>
      <c r="C161" t="s">
        <v>14</v>
      </c>
      <c r="D161" t="s">
        <v>323</v>
      </c>
      <c r="E161" t="s">
        <v>323</v>
      </c>
      <c r="F161" t="s">
        <v>323</v>
      </c>
      <c r="G161" t="s">
        <v>347</v>
      </c>
      <c r="H161" t="s">
        <v>347</v>
      </c>
    </row>
    <row r="162" spans="1:8" x14ac:dyDescent="0.2">
      <c r="A162">
        <v>91711</v>
      </c>
      <c r="B162">
        <v>1</v>
      </c>
      <c r="C162" t="s">
        <v>14</v>
      </c>
      <c r="D162" t="s">
        <v>346</v>
      </c>
      <c r="E162" t="s">
        <v>346</v>
      </c>
      <c r="F162" t="s">
        <v>346</v>
      </c>
      <c r="G162" t="s">
        <v>346</v>
      </c>
      <c r="H162" t="s">
        <v>346</v>
      </c>
    </row>
    <row r="163" spans="1:8" x14ac:dyDescent="0.2">
      <c r="A163">
        <v>91711</v>
      </c>
      <c r="B163">
        <v>1</v>
      </c>
      <c r="C163" t="s">
        <v>14</v>
      </c>
      <c r="D163" t="s">
        <v>159</v>
      </c>
      <c r="E163" t="s">
        <v>159</v>
      </c>
      <c r="F163" t="s">
        <v>159</v>
      </c>
      <c r="G163" t="s">
        <v>347</v>
      </c>
      <c r="H163" t="s">
        <v>347</v>
      </c>
    </row>
    <row r="164" spans="1:8" x14ac:dyDescent="0.2">
      <c r="A164">
        <v>91711</v>
      </c>
      <c r="B164">
        <v>1</v>
      </c>
      <c r="C164" t="s">
        <v>14</v>
      </c>
      <c r="D164" t="s">
        <v>347</v>
      </c>
      <c r="E164" t="s">
        <v>347</v>
      </c>
      <c r="F164" t="s">
        <v>347</v>
      </c>
      <c r="G164" t="s">
        <v>347</v>
      </c>
      <c r="H164" t="s">
        <v>347</v>
      </c>
    </row>
    <row r="165" spans="1:8" x14ac:dyDescent="0.2">
      <c r="A165">
        <v>91711</v>
      </c>
      <c r="B165">
        <v>1</v>
      </c>
      <c r="C165" t="s">
        <v>14</v>
      </c>
      <c r="D165" t="s">
        <v>346</v>
      </c>
      <c r="E165" t="s">
        <v>346</v>
      </c>
      <c r="F165" t="s">
        <v>346</v>
      </c>
      <c r="G165" t="s">
        <v>346</v>
      </c>
      <c r="H165" t="s">
        <v>346</v>
      </c>
    </row>
    <row r="166" spans="1:8" x14ac:dyDescent="0.2">
      <c r="A166">
        <v>91711</v>
      </c>
      <c r="B166">
        <v>0.8</v>
      </c>
      <c r="C166" t="s">
        <v>14</v>
      </c>
      <c r="D166" t="s">
        <v>346</v>
      </c>
      <c r="E166" t="s">
        <v>346</v>
      </c>
      <c r="F166" t="s">
        <v>346</v>
      </c>
      <c r="G166" t="s">
        <v>346</v>
      </c>
      <c r="H166" t="s">
        <v>346</v>
      </c>
    </row>
    <row r="167" spans="1:8" x14ac:dyDescent="0.2">
      <c r="A167">
        <v>91711</v>
      </c>
      <c r="B167">
        <v>0.8</v>
      </c>
      <c r="C167" t="s">
        <v>14</v>
      </c>
      <c r="D167" t="s">
        <v>322</v>
      </c>
      <c r="E167" t="s">
        <v>322</v>
      </c>
      <c r="F167" t="s">
        <v>347</v>
      </c>
      <c r="G167" t="s">
        <v>347</v>
      </c>
      <c r="H167" t="s">
        <v>323</v>
      </c>
    </row>
    <row r="168" spans="1:8" x14ac:dyDescent="0.2">
      <c r="A168">
        <v>91711</v>
      </c>
      <c r="B168">
        <v>0.7</v>
      </c>
      <c r="C168" t="s">
        <v>14</v>
      </c>
      <c r="D168" t="s">
        <v>346</v>
      </c>
      <c r="E168" t="s">
        <v>346</v>
      </c>
      <c r="F168" t="s">
        <v>346</v>
      </c>
      <c r="G168" t="s">
        <v>346</v>
      </c>
      <c r="H168" t="s">
        <v>346</v>
      </c>
    </row>
    <row r="169" spans="1:8" x14ac:dyDescent="0.2">
      <c r="A169">
        <v>91711</v>
      </c>
      <c r="B169">
        <v>0.6</v>
      </c>
      <c r="C169" t="s">
        <v>14</v>
      </c>
      <c r="D169" t="s">
        <v>346</v>
      </c>
      <c r="E169" t="s">
        <v>346</v>
      </c>
      <c r="F169" t="s">
        <v>346</v>
      </c>
      <c r="G169" t="s">
        <v>346</v>
      </c>
      <c r="H169" t="s">
        <v>346</v>
      </c>
    </row>
    <row r="170" spans="1:8" x14ac:dyDescent="0.2">
      <c r="A170" t="s">
        <v>375</v>
      </c>
      <c r="B170">
        <v>0.6</v>
      </c>
      <c r="C170" t="s">
        <v>14</v>
      </c>
      <c r="D170" t="s">
        <v>346</v>
      </c>
      <c r="E170" t="s">
        <v>346</v>
      </c>
      <c r="F170" t="s">
        <v>346</v>
      </c>
      <c r="G170" t="s">
        <v>346</v>
      </c>
      <c r="H170" t="s">
        <v>346</v>
      </c>
    </row>
    <row r="171" spans="1:8" x14ac:dyDescent="0.2">
      <c r="A171" t="s">
        <v>378</v>
      </c>
      <c r="B171">
        <v>0.6</v>
      </c>
      <c r="C171" t="s">
        <v>14</v>
      </c>
      <c r="D171" t="s">
        <v>347</v>
      </c>
      <c r="E171" t="s">
        <v>347</v>
      </c>
      <c r="F171" t="s">
        <v>346</v>
      </c>
      <c r="G171" t="s">
        <v>346</v>
      </c>
      <c r="H171" t="s">
        <v>347</v>
      </c>
    </row>
    <row r="172" spans="1:8" x14ac:dyDescent="0.2">
      <c r="A172">
        <v>91711</v>
      </c>
      <c r="B172">
        <v>0.5</v>
      </c>
      <c r="C172" t="s">
        <v>14</v>
      </c>
      <c r="D172" t="s">
        <v>347</v>
      </c>
      <c r="E172" t="s">
        <v>347</v>
      </c>
      <c r="F172" t="s">
        <v>347</v>
      </c>
      <c r="G172" t="s">
        <v>347</v>
      </c>
      <c r="H172" t="s">
        <v>347</v>
      </c>
    </row>
    <row r="173" spans="1:8" x14ac:dyDescent="0.2">
      <c r="A173">
        <v>91711</v>
      </c>
      <c r="B173">
        <v>0.5</v>
      </c>
      <c r="C173" t="s">
        <v>14</v>
      </c>
      <c r="D173" t="s">
        <v>346</v>
      </c>
      <c r="E173" t="s">
        <v>346</v>
      </c>
      <c r="F173" t="s">
        <v>346</v>
      </c>
      <c r="G173" t="s">
        <v>346</v>
      </c>
      <c r="H173" t="s">
        <v>346</v>
      </c>
    </row>
    <row r="174" spans="1:8" x14ac:dyDescent="0.2">
      <c r="A174">
        <v>91711</v>
      </c>
      <c r="B174">
        <v>0.5</v>
      </c>
      <c r="C174" t="s">
        <v>14</v>
      </c>
      <c r="D174" t="s">
        <v>347</v>
      </c>
      <c r="E174" t="s">
        <v>347</v>
      </c>
      <c r="F174" t="s">
        <v>347</v>
      </c>
      <c r="G174" t="s">
        <v>347</v>
      </c>
      <c r="H174" t="s">
        <v>347</v>
      </c>
    </row>
    <row r="175" spans="1:8" x14ac:dyDescent="0.2">
      <c r="A175">
        <v>91711</v>
      </c>
      <c r="B175">
        <v>0.5</v>
      </c>
      <c r="C175" t="s">
        <v>14</v>
      </c>
      <c r="D175" t="s">
        <v>346</v>
      </c>
      <c r="E175" t="s">
        <v>346</v>
      </c>
      <c r="F175" t="s">
        <v>346</v>
      </c>
      <c r="G175" t="s">
        <v>346</v>
      </c>
      <c r="H175" t="s">
        <v>157</v>
      </c>
    </row>
    <row r="176" spans="1:8" x14ac:dyDescent="0.2">
      <c r="A176">
        <v>91711</v>
      </c>
      <c r="B176">
        <v>0.5</v>
      </c>
      <c r="C176" t="s">
        <v>14</v>
      </c>
      <c r="D176" t="s">
        <v>346</v>
      </c>
      <c r="E176" t="s">
        <v>346</v>
      </c>
      <c r="F176" t="s">
        <v>346</v>
      </c>
      <c r="G176" t="s">
        <v>346</v>
      </c>
      <c r="H176" t="s">
        <v>159</v>
      </c>
    </row>
    <row r="177" spans="1:8" x14ac:dyDescent="0.2">
      <c r="A177">
        <v>91711</v>
      </c>
      <c r="B177">
        <v>0.5</v>
      </c>
      <c r="C177" t="s">
        <v>14</v>
      </c>
      <c r="D177" t="s">
        <v>323</v>
      </c>
      <c r="E177" t="s">
        <v>346</v>
      </c>
      <c r="F177" t="s">
        <v>346</v>
      </c>
      <c r="G177" t="s">
        <v>346</v>
      </c>
      <c r="H177" t="s">
        <v>323</v>
      </c>
    </row>
    <row r="178" spans="1:8" x14ac:dyDescent="0.2">
      <c r="A178">
        <v>94704</v>
      </c>
      <c r="B178">
        <v>0.5</v>
      </c>
      <c r="C178" t="s">
        <v>14</v>
      </c>
      <c r="D178" t="s">
        <v>326</v>
      </c>
      <c r="E178" t="s">
        <v>326</v>
      </c>
      <c r="F178" t="s">
        <v>326</v>
      </c>
      <c r="G178" t="s">
        <v>326</v>
      </c>
      <c r="H178" t="s">
        <v>326</v>
      </c>
    </row>
    <row r="179" spans="1:8" x14ac:dyDescent="0.2">
      <c r="A179">
        <v>91711</v>
      </c>
      <c r="B179">
        <v>0.5</v>
      </c>
      <c r="C179" t="s">
        <v>14</v>
      </c>
      <c r="D179" t="s">
        <v>347</v>
      </c>
      <c r="E179" t="s">
        <v>347</v>
      </c>
      <c r="F179" t="s">
        <v>347</v>
      </c>
      <c r="G179" t="s">
        <v>347</v>
      </c>
      <c r="H179" t="s">
        <v>347</v>
      </c>
    </row>
    <row r="180" spans="1:8" x14ac:dyDescent="0.2">
      <c r="A180">
        <v>91711</v>
      </c>
      <c r="B180">
        <v>0.5</v>
      </c>
      <c r="C180" t="s">
        <v>14</v>
      </c>
      <c r="D180" t="s">
        <v>347</v>
      </c>
      <c r="E180" t="s">
        <v>347</v>
      </c>
      <c r="F180" t="s">
        <v>347</v>
      </c>
      <c r="G180" t="s">
        <v>347</v>
      </c>
      <c r="H180" t="s">
        <v>347</v>
      </c>
    </row>
    <row r="181" spans="1:8" x14ac:dyDescent="0.2">
      <c r="A181">
        <v>91711</v>
      </c>
      <c r="B181">
        <v>0.5</v>
      </c>
      <c r="C181" t="s">
        <v>14</v>
      </c>
      <c r="D181" t="s">
        <v>346</v>
      </c>
      <c r="E181" t="s">
        <v>346</v>
      </c>
      <c r="F181" t="s">
        <v>346</v>
      </c>
      <c r="G181" t="s">
        <v>346</v>
      </c>
      <c r="H181" t="s">
        <v>346</v>
      </c>
    </row>
    <row r="182" spans="1:8" x14ac:dyDescent="0.2">
      <c r="A182">
        <v>91711</v>
      </c>
      <c r="B182">
        <v>0.5</v>
      </c>
      <c r="C182" t="s">
        <v>14</v>
      </c>
      <c r="D182" t="s">
        <v>346</v>
      </c>
      <c r="E182" t="s">
        <v>346</v>
      </c>
      <c r="F182" t="s">
        <v>346</v>
      </c>
      <c r="G182" t="s">
        <v>346</v>
      </c>
      <c r="H182" t="s">
        <v>346</v>
      </c>
    </row>
    <row r="183" spans="1:8" x14ac:dyDescent="0.2">
      <c r="A183" t="s">
        <v>360</v>
      </c>
      <c r="B183">
        <v>0.3</v>
      </c>
      <c r="C183" t="s">
        <v>14</v>
      </c>
      <c r="D183" t="s">
        <v>346</v>
      </c>
      <c r="E183" t="s">
        <v>346</v>
      </c>
      <c r="F183" t="s">
        <v>346</v>
      </c>
      <c r="G183" t="s">
        <v>346</v>
      </c>
      <c r="H183" t="s">
        <v>346</v>
      </c>
    </row>
    <row r="184" spans="1:8" x14ac:dyDescent="0.2">
      <c r="A184" t="s">
        <v>360</v>
      </c>
      <c r="B184">
        <v>0.3</v>
      </c>
      <c r="C184" t="s">
        <v>14</v>
      </c>
      <c r="D184" t="s">
        <v>347</v>
      </c>
      <c r="E184" t="s">
        <v>347</v>
      </c>
      <c r="F184" t="s">
        <v>347</v>
      </c>
      <c r="G184" t="s">
        <v>347</v>
      </c>
      <c r="H184" t="s">
        <v>157</v>
      </c>
    </row>
    <row r="185" spans="1:8" x14ac:dyDescent="0.2">
      <c r="A185">
        <v>91711</v>
      </c>
      <c r="B185">
        <v>0.3</v>
      </c>
      <c r="C185" t="s">
        <v>14</v>
      </c>
      <c r="D185" t="s">
        <v>346</v>
      </c>
      <c r="E185" t="s">
        <v>346</v>
      </c>
      <c r="F185" t="s">
        <v>346</v>
      </c>
      <c r="G185" t="s">
        <v>346</v>
      </c>
      <c r="H185" t="s">
        <v>346</v>
      </c>
    </row>
    <row r="186" spans="1:8" x14ac:dyDescent="0.2">
      <c r="A186">
        <v>91786</v>
      </c>
      <c r="B186">
        <v>0.3</v>
      </c>
      <c r="C186" t="s">
        <v>14</v>
      </c>
      <c r="D186" t="s">
        <v>347</v>
      </c>
      <c r="E186" t="s">
        <v>159</v>
      </c>
      <c r="F186" t="s">
        <v>347</v>
      </c>
      <c r="G186" t="s">
        <v>159</v>
      </c>
      <c r="H186" t="s">
        <v>159</v>
      </c>
    </row>
    <row r="187" spans="1:8" x14ac:dyDescent="0.2">
      <c r="A187">
        <v>91711</v>
      </c>
      <c r="B187">
        <v>0.3</v>
      </c>
      <c r="C187" t="s">
        <v>14</v>
      </c>
      <c r="D187" t="s">
        <v>346</v>
      </c>
      <c r="E187" t="s">
        <v>346</v>
      </c>
      <c r="F187" t="s">
        <v>346</v>
      </c>
      <c r="G187" t="s">
        <v>346</v>
      </c>
      <c r="H187" t="s">
        <v>346</v>
      </c>
    </row>
    <row r="188" spans="1:8" x14ac:dyDescent="0.2">
      <c r="A188">
        <v>91711</v>
      </c>
      <c r="B188">
        <v>0.25</v>
      </c>
      <c r="C188" t="s">
        <v>14</v>
      </c>
      <c r="D188" t="s">
        <v>346</v>
      </c>
      <c r="E188" t="s">
        <v>346</v>
      </c>
      <c r="F188" t="s">
        <v>346</v>
      </c>
      <c r="G188" t="s">
        <v>346</v>
      </c>
      <c r="H188" t="s">
        <v>346</v>
      </c>
    </row>
    <row r="189" spans="1:8" x14ac:dyDescent="0.2">
      <c r="A189">
        <v>91711</v>
      </c>
      <c r="B189">
        <v>0.25</v>
      </c>
      <c r="C189" t="s">
        <v>14</v>
      </c>
      <c r="D189" t="s">
        <v>159</v>
      </c>
      <c r="E189" t="s">
        <v>322</v>
      </c>
      <c r="F189" t="s">
        <v>159</v>
      </c>
      <c r="G189" t="s">
        <v>322</v>
      </c>
      <c r="H189" t="s">
        <v>322</v>
      </c>
    </row>
    <row r="190" spans="1:8" x14ac:dyDescent="0.2">
      <c r="A190">
        <v>91711</v>
      </c>
      <c r="B190">
        <v>0.2</v>
      </c>
      <c r="C190" t="s">
        <v>14</v>
      </c>
      <c r="D190" t="s">
        <v>347</v>
      </c>
      <c r="E190" t="s">
        <v>347</v>
      </c>
      <c r="F190" t="s">
        <v>347</v>
      </c>
      <c r="G190" t="s">
        <v>347</v>
      </c>
      <c r="H190" t="s">
        <v>347</v>
      </c>
    </row>
    <row r="191" spans="1:8" x14ac:dyDescent="0.2">
      <c r="A191">
        <v>91711</v>
      </c>
      <c r="B191">
        <v>0.2</v>
      </c>
      <c r="C191" t="s">
        <v>14</v>
      </c>
      <c r="D191" t="s">
        <v>346</v>
      </c>
      <c r="E191" t="s">
        <v>346</v>
      </c>
      <c r="F191" t="s">
        <v>346</v>
      </c>
      <c r="G191" t="s">
        <v>346</v>
      </c>
      <c r="H191" t="s">
        <v>346</v>
      </c>
    </row>
    <row r="192" spans="1:8" x14ac:dyDescent="0.2">
      <c r="A192">
        <v>24069</v>
      </c>
      <c r="B192">
        <v>0</v>
      </c>
      <c r="C192" t="s">
        <v>14</v>
      </c>
      <c r="D192" t="s">
        <v>326</v>
      </c>
      <c r="E192" t="s">
        <v>326</v>
      </c>
      <c r="F192" t="s">
        <v>326</v>
      </c>
      <c r="G192" t="s">
        <v>326</v>
      </c>
      <c r="H192" t="s">
        <v>326</v>
      </c>
    </row>
  </sheetData>
  <mergeCells count="12">
    <mergeCell ref="L21:M21"/>
    <mergeCell ref="J1:T1"/>
    <mergeCell ref="J8:U8"/>
    <mergeCell ref="L12:N12"/>
    <mergeCell ref="L13:M13"/>
    <mergeCell ref="L14:M14"/>
    <mergeCell ref="L15:M15"/>
    <mergeCell ref="L16:M16"/>
    <mergeCell ref="L17:M17"/>
    <mergeCell ref="L18:M18"/>
    <mergeCell ref="L19:M19"/>
    <mergeCell ref="L20:M20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578E-38F0-4865-A2DD-4A785E235ACD}">
  <dimension ref="A1:U213"/>
  <sheetViews>
    <sheetView workbookViewId="0">
      <selection activeCell="N18" sqref="N18"/>
    </sheetView>
  </sheetViews>
  <sheetFormatPr baseColWidth="10" defaultColWidth="8.83203125" defaultRowHeight="15" x14ac:dyDescent="0.2"/>
  <cols>
    <col min="1" max="1" width="14.1640625" customWidth="1"/>
    <col min="2" max="2" width="26.1640625" bestFit="1" customWidth="1"/>
    <col min="3" max="3" width="14.33203125" bestFit="1" customWidth="1"/>
    <col min="4" max="8" width="37.5" bestFit="1" customWidth="1"/>
    <col min="10" max="10" width="32.83203125" customWidth="1"/>
    <col min="11" max="11" width="14.6640625" customWidth="1"/>
    <col min="12" max="12" width="9.1640625" bestFit="1" customWidth="1"/>
    <col min="13" max="13" width="12.6640625" customWidth="1"/>
    <col min="14" max="14" width="16.33203125" customWidth="1"/>
    <col min="15" max="15" width="17.33203125" customWidth="1"/>
    <col min="16" max="16" width="13.6640625" customWidth="1"/>
    <col min="17" max="17" width="13.83203125" customWidth="1"/>
    <col min="18" max="18" width="18.5" customWidth="1"/>
    <col min="19" max="19" width="15" customWidth="1"/>
    <col min="20" max="20" width="9.1640625" bestFit="1" customWidth="1"/>
    <col min="21" max="21" width="17.1640625" customWidth="1"/>
  </cols>
  <sheetData>
    <row r="1" spans="1:21" x14ac:dyDescent="0.2">
      <c r="A1" s="39" t="s">
        <v>2</v>
      </c>
      <c r="B1" s="40" t="s">
        <v>3</v>
      </c>
      <c r="C1" s="39" t="s">
        <v>316</v>
      </c>
      <c r="D1" s="40" t="s">
        <v>6</v>
      </c>
      <c r="E1" s="40" t="s">
        <v>7</v>
      </c>
      <c r="F1" s="40" t="s">
        <v>8</v>
      </c>
      <c r="G1" s="40" t="s">
        <v>9</v>
      </c>
      <c r="H1" s="41" t="s">
        <v>10</v>
      </c>
      <c r="J1" s="67" t="s">
        <v>11</v>
      </c>
      <c r="K1" s="68"/>
      <c r="L1" s="68"/>
      <c r="M1" s="68"/>
      <c r="N1" s="68"/>
      <c r="O1" s="68"/>
      <c r="P1" s="68"/>
      <c r="Q1" s="68"/>
      <c r="R1" s="68"/>
      <c r="S1" s="68"/>
      <c r="T1" s="69"/>
    </row>
    <row r="2" spans="1:21" x14ac:dyDescent="0.2">
      <c r="A2" s="42">
        <v>91711</v>
      </c>
      <c r="B2" s="42">
        <v>0</v>
      </c>
      <c r="C2" s="42" t="s">
        <v>14</v>
      </c>
      <c r="D2" s="42" t="s">
        <v>346</v>
      </c>
      <c r="E2" s="42" t="s">
        <v>346</v>
      </c>
      <c r="F2" s="42" t="s">
        <v>346</v>
      </c>
      <c r="G2" s="42" t="s">
        <v>346</v>
      </c>
      <c r="H2" s="42" t="s">
        <v>346</v>
      </c>
      <c r="J2" s="2"/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3" t="s">
        <v>24</v>
      </c>
      <c r="T2" s="4" t="s">
        <v>25</v>
      </c>
    </row>
    <row r="3" spans="1:21" x14ac:dyDescent="0.2">
      <c r="A3" s="42">
        <v>91711</v>
      </c>
      <c r="B3" s="42">
        <v>0</v>
      </c>
      <c r="C3" s="42" t="s">
        <v>14</v>
      </c>
      <c r="D3" s="42" t="s">
        <v>346</v>
      </c>
      <c r="E3" s="42" t="s">
        <v>346</v>
      </c>
      <c r="F3" s="42" t="s">
        <v>347</v>
      </c>
      <c r="G3" s="42" t="s">
        <v>346</v>
      </c>
      <c r="H3" s="42" t="s">
        <v>346</v>
      </c>
      <c r="J3" s="5" t="s">
        <v>29</v>
      </c>
      <c r="K3" s="6" cm="1">
        <f t="array" ref="K3">SUM(COUNTIF(D:H,{"A.*","B.*"}))/T10</f>
        <v>0.55971896955503508</v>
      </c>
      <c r="L3" s="7">
        <f>COUNTIF(D:H,"T.*")/T10</f>
        <v>0.10655737704918032</v>
      </c>
      <c r="M3" s="7" cm="1">
        <f t="array" ref="M3">SUM(COUNTIF(D:H,{"C.*","D.*","E.*","F.*","G.*","H.*","I.*","J.*","K.*","L.*","M.*","N.*","O.*","P.*"})/T10)</f>
        <v>7.962529274004683E-2</v>
      </c>
      <c r="N3" s="7">
        <f>COUNTIF(D:H,"R.*")/T10</f>
        <v>1.6393442622950821E-2</v>
      </c>
      <c r="O3" s="7">
        <f>COUNTIF(D:H,"U.*")/T10</f>
        <v>1.6393442622950821E-2</v>
      </c>
      <c r="P3" s="7">
        <v>0</v>
      </c>
      <c r="Q3" s="7">
        <f>COUNTIF(D:H,"Q.*")/T10</f>
        <v>4.6838407494145199E-3</v>
      </c>
      <c r="R3" s="7">
        <f>COUNTIF(D:H,"V.*")/T10</f>
        <v>3.0444964871194378E-2</v>
      </c>
      <c r="S3" s="7">
        <f>COUNTIF(D:H,"S.*")/T10</f>
        <v>0.18618266978922718</v>
      </c>
      <c r="T3" s="7">
        <f>SUM(K3:S3)</f>
        <v>1</v>
      </c>
    </row>
    <row r="4" spans="1:21" ht="16" x14ac:dyDescent="0.2">
      <c r="A4" s="42" t="s">
        <v>379</v>
      </c>
      <c r="B4" s="42">
        <v>0</v>
      </c>
      <c r="C4" s="42" t="s">
        <v>14</v>
      </c>
      <c r="D4" s="42" t="s">
        <v>346</v>
      </c>
      <c r="E4" s="42" t="s">
        <v>346</v>
      </c>
      <c r="F4" s="42" t="s">
        <v>346</v>
      </c>
      <c r="G4" s="42" t="s">
        <v>346</v>
      </c>
      <c r="H4" s="42" t="s">
        <v>346</v>
      </c>
      <c r="J4" s="9" t="s">
        <v>33</v>
      </c>
      <c r="K4" s="10" cm="1">
        <f t="array" ref="K4">SUM(_xlfn.BYCOL(D:H,_xlfn.LAMBDA(_xlpm.col,SUMIF(_xlpm.col,"A.*",B:B)+SUMIF(_xlpm.col,"B.*",B:B))))/K10</f>
        <v>14.438493723849371</v>
      </c>
      <c r="L4" s="11" cm="1">
        <f t="array" ref="L4">SUM(_xlfn.BYCOL(D:H,_xlfn.LAMBDA(_xlpm.col,SUMIF(_xlpm.col,"T.*",B:B))))/L10</f>
        <v>1.20989010989011</v>
      </c>
      <c r="M4" s="12">
        <v>13.89248120300752</v>
      </c>
      <c r="N4" s="12" cm="1">
        <f t="array" ref="N4">SUM(_xlfn.BYCOL(D:H,_xlfn.LAMBDA(_xlpm.col,SUMIF(_xlpm.col,"R.*",B:B))))/N10</f>
        <v>28.785714285714285</v>
      </c>
      <c r="O4" s="12" cm="1">
        <f t="array" ref="O4">SUM(_xlfn.BYCOL(D:H,_xlfn.LAMBDA(_xlpm.col,SUMIF(_xlpm.col,"U.*",B:B))))/O10</f>
        <v>17.071428571428573</v>
      </c>
      <c r="P4" s="12"/>
      <c r="Q4" s="12" cm="1">
        <f t="array" ref="Q4">SUM(_xlfn.BYCOL(D:H,_xlfn.LAMBDA(_xlpm.col,SUMIF(_xlpm.col,"Q.*",B:B))))/R10</f>
        <v>0.61538461538461542</v>
      </c>
      <c r="R4" s="12"/>
      <c r="S4" s="12" cm="1">
        <f t="array" ref="S4">SUM(_xlfn.BYCOL(D:H,_xlfn.LAMBDA(_xlpm.col,SUMIF(_xlpm.col,"S.*",B:B))))/T10</f>
        <v>0.44642857142857151</v>
      </c>
      <c r="T4" s="10">
        <f>AVERAGE(K4:S4)</f>
        <v>10.922831582957576</v>
      </c>
    </row>
    <row r="5" spans="1:21" x14ac:dyDescent="0.2">
      <c r="A5" s="42" t="s">
        <v>375</v>
      </c>
      <c r="B5" s="42">
        <v>0.1</v>
      </c>
      <c r="C5" s="42" t="s">
        <v>14</v>
      </c>
      <c r="D5" s="42" t="s">
        <v>346</v>
      </c>
      <c r="E5" s="42" t="s">
        <v>346</v>
      </c>
      <c r="F5" s="42" t="s">
        <v>346</v>
      </c>
      <c r="G5" s="42" t="s">
        <v>346</v>
      </c>
      <c r="H5" s="42" t="s">
        <v>346</v>
      </c>
      <c r="J5" s="33" t="s">
        <v>38</v>
      </c>
      <c r="K5" s="33"/>
      <c r="L5" s="33"/>
      <c r="M5" s="13">
        <v>30.344360902255641</v>
      </c>
      <c r="N5" s="33"/>
      <c r="O5" s="33"/>
      <c r="P5" s="33"/>
      <c r="Q5" s="33"/>
      <c r="R5" s="33"/>
      <c r="S5" s="33"/>
      <c r="T5" s="33"/>
    </row>
    <row r="6" spans="1:21" x14ac:dyDescent="0.2">
      <c r="A6" s="42">
        <v>91711</v>
      </c>
      <c r="B6" s="42">
        <v>0.2</v>
      </c>
      <c r="C6" s="42" t="s">
        <v>14</v>
      </c>
      <c r="D6" s="42" t="s">
        <v>346</v>
      </c>
      <c r="E6" s="42" t="s">
        <v>346</v>
      </c>
      <c r="F6" s="42" t="s">
        <v>346</v>
      </c>
      <c r="G6" s="42" t="s">
        <v>346</v>
      </c>
      <c r="H6" s="42" t="s">
        <v>346</v>
      </c>
      <c r="J6" s="14" t="s">
        <v>41</v>
      </c>
      <c r="K6" s="14"/>
      <c r="L6" s="14"/>
      <c r="M6" s="15">
        <v>2.1842290415110677</v>
      </c>
      <c r="N6" s="14"/>
      <c r="O6" s="14"/>
      <c r="P6" s="14"/>
      <c r="Q6" s="14"/>
      <c r="R6" s="14"/>
      <c r="S6" s="14"/>
      <c r="T6" s="14"/>
    </row>
    <row r="7" spans="1:21" x14ac:dyDescent="0.2">
      <c r="A7" s="42" t="s">
        <v>375</v>
      </c>
      <c r="B7" s="42">
        <v>0.25</v>
      </c>
      <c r="C7" s="42" t="s">
        <v>14</v>
      </c>
      <c r="D7" s="42" t="s">
        <v>159</v>
      </c>
      <c r="E7" s="42" t="s">
        <v>322</v>
      </c>
      <c r="F7" s="42" t="s">
        <v>159</v>
      </c>
      <c r="G7" s="42" t="s">
        <v>322</v>
      </c>
      <c r="H7" s="42" t="s">
        <v>322</v>
      </c>
      <c r="M7" s="16"/>
    </row>
    <row r="8" spans="1:21" x14ac:dyDescent="0.2">
      <c r="A8" s="42">
        <v>91711</v>
      </c>
      <c r="B8" s="42">
        <v>0.25</v>
      </c>
      <c r="C8" s="42" t="s">
        <v>14</v>
      </c>
      <c r="D8" s="42" t="s">
        <v>346</v>
      </c>
      <c r="E8" s="42" t="s">
        <v>346</v>
      </c>
      <c r="F8" s="42" t="s">
        <v>346</v>
      </c>
      <c r="G8" s="42" t="s">
        <v>346</v>
      </c>
      <c r="H8" s="42" t="s">
        <v>346</v>
      </c>
      <c r="J8" s="59" t="s">
        <v>47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0"/>
    </row>
    <row r="9" spans="1:21" x14ac:dyDescent="0.2">
      <c r="A9" s="42" t="s">
        <v>360</v>
      </c>
      <c r="B9" s="42">
        <v>0.25</v>
      </c>
      <c r="C9" s="42" t="s">
        <v>14</v>
      </c>
      <c r="D9" s="42" t="s">
        <v>347</v>
      </c>
      <c r="E9" s="42" t="s">
        <v>347</v>
      </c>
      <c r="F9" s="42" t="s">
        <v>347</v>
      </c>
      <c r="G9" s="42" t="s">
        <v>347</v>
      </c>
      <c r="H9" s="42" t="s">
        <v>347</v>
      </c>
      <c r="J9" s="19"/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  <c r="R9" s="19" t="s">
        <v>23</v>
      </c>
      <c r="S9" s="19" t="s">
        <v>24</v>
      </c>
      <c r="T9" s="21" t="s">
        <v>25</v>
      </c>
      <c r="U9" s="19" t="s">
        <v>50</v>
      </c>
    </row>
    <row r="10" spans="1:21" x14ac:dyDescent="0.2">
      <c r="A10" s="42">
        <v>91711</v>
      </c>
      <c r="B10" s="42">
        <v>0.3</v>
      </c>
      <c r="C10" s="42" t="s">
        <v>14</v>
      </c>
      <c r="D10" s="42" t="s">
        <v>346</v>
      </c>
      <c r="E10" s="42" t="s">
        <v>346</v>
      </c>
      <c r="F10" s="42" t="s">
        <v>346</v>
      </c>
      <c r="G10" s="42" t="s">
        <v>346</v>
      </c>
      <c r="H10" s="42" t="s">
        <v>346</v>
      </c>
      <c r="J10" s="17" t="s">
        <v>317</v>
      </c>
      <c r="K10" s="17" cm="1">
        <f t="array" ref="K10">SUM(COUNTIF(D:H,{"A.*","B.*"}))</f>
        <v>478</v>
      </c>
      <c r="L10" s="17">
        <f>COUNTIF(D:H,"T.*")</f>
        <v>91</v>
      </c>
      <c r="M10" s="17" cm="1">
        <f t="array" ref="M10">SUM(COUNTIF(D:H,{"C.*","D.*","E.*","F.*","G.*","H.*","I.*","J.*","K.*","L.*","M.*","N.*","O.*","P.*"}))</f>
        <v>68</v>
      </c>
      <c r="N10" s="34">
        <f>COUNTIF(D:H,"R.*")</f>
        <v>14</v>
      </c>
      <c r="O10" s="17">
        <f>COUNTIF(D:H,"U.*")</f>
        <v>14</v>
      </c>
      <c r="P10" s="17">
        <v>0</v>
      </c>
      <c r="Q10" s="17">
        <f>COUNTIF(D:H,"Q.*")</f>
        <v>4</v>
      </c>
      <c r="R10" s="17">
        <f>COUNTIF(D:H,"V.*")</f>
        <v>26</v>
      </c>
      <c r="S10" s="17">
        <f>COUNTIF(D:H,"S.*")</f>
        <v>159</v>
      </c>
      <c r="T10" s="35">
        <f>SUM(K10:S10)</f>
        <v>854</v>
      </c>
      <c r="U10" s="17">
        <f>COUNTIFS($D$2:$H$787,"&lt;&gt;",$D$2:$H$787,"&lt;&gt;OFF.*",$D$2:$H$787,"&lt;&gt;AA.*",$D$2:$H$787,"&lt;&gt;BB.*",$D$2:$H$787,"&lt;&gt;W.*",$D$2:$H$787,"&lt;&gt;X.*",$D$2:$H$787,"&lt;&gt;CC.*")</f>
        <v>855</v>
      </c>
    </row>
    <row r="11" spans="1:21" x14ac:dyDescent="0.2">
      <c r="A11" s="42">
        <v>91711</v>
      </c>
      <c r="B11" s="42">
        <v>0.3</v>
      </c>
      <c r="C11" s="42" t="s">
        <v>14</v>
      </c>
      <c r="D11" s="42" t="s">
        <v>346</v>
      </c>
      <c r="E11" s="42" t="s">
        <v>346</v>
      </c>
      <c r="F11" s="42" t="s">
        <v>346</v>
      </c>
      <c r="G11" s="42" t="s">
        <v>346</v>
      </c>
      <c r="H11" s="42" t="s">
        <v>346</v>
      </c>
    </row>
    <row r="12" spans="1:21" ht="16" x14ac:dyDescent="0.2">
      <c r="A12" s="42">
        <v>91711</v>
      </c>
      <c r="B12" s="42">
        <v>0.4</v>
      </c>
      <c r="C12" s="42" t="s">
        <v>14</v>
      </c>
      <c r="D12" s="42" t="s">
        <v>346</v>
      </c>
      <c r="E12" s="42" t="s">
        <v>346</v>
      </c>
      <c r="F12" s="42" t="s">
        <v>346</v>
      </c>
      <c r="G12" s="42" t="s">
        <v>346</v>
      </c>
      <c r="H12" s="42" t="s">
        <v>346</v>
      </c>
      <c r="J12" s="22" t="s">
        <v>349</v>
      </c>
      <c r="L12" s="59" t="s">
        <v>58</v>
      </c>
      <c r="M12" s="63"/>
      <c r="N12" s="60"/>
    </row>
    <row r="13" spans="1:21" ht="16" x14ac:dyDescent="0.2">
      <c r="A13" s="42" t="s">
        <v>375</v>
      </c>
      <c r="B13" s="42">
        <v>0.5</v>
      </c>
      <c r="C13" s="42" t="s">
        <v>14</v>
      </c>
      <c r="D13" s="42" t="s">
        <v>346</v>
      </c>
      <c r="E13" s="42" t="s">
        <v>346</v>
      </c>
      <c r="F13" s="42" t="s">
        <v>322</v>
      </c>
      <c r="G13" s="42" t="s">
        <v>346</v>
      </c>
      <c r="H13" s="42" t="s">
        <v>328</v>
      </c>
      <c r="J13" s="36" t="s">
        <v>322</v>
      </c>
      <c r="L13" s="64" t="s">
        <v>63</v>
      </c>
      <c r="M13" s="64"/>
      <c r="N13" s="19">
        <f>2*T10/COUNTIF(A2:A787,"&lt;&gt;")</f>
        <v>8.0566037735849054</v>
      </c>
    </row>
    <row r="14" spans="1:21" ht="16" x14ac:dyDescent="0.2">
      <c r="A14" s="42">
        <v>91711</v>
      </c>
      <c r="B14" s="42">
        <v>0.5</v>
      </c>
      <c r="C14" s="42" t="s">
        <v>14</v>
      </c>
      <c r="D14" s="42" t="s">
        <v>347</v>
      </c>
      <c r="E14" s="42" t="s">
        <v>347</v>
      </c>
      <c r="F14" s="42" t="s">
        <v>347</v>
      </c>
      <c r="G14" s="42" t="s">
        <v>347</v>
      </c>
      <c r="H14" s="42" t="s">
        <v>347</v>
      </c>
      <c r="J14" s="36" t="s">
        <v>329</v>
      </c>
      <c r="L14" s="62" t="s">
        <v>67</v>
      </c>
      <c r="M14" s="62"/>
      <c r="N14" s="17">
        <v>310</v>
      </c>
    </row>
    <row r="15" spans="1:21" ht="16" x14ac:dyDescent="0.2">
      <c r="A15" s="42" t="s">
        <v>380</v>
      </c>
      <c r="B15" s="42">
        <v>0.5</v>
      </c>
      <c r="C15" s="42" t="s">
        <v>14</v>
      </c>
      <c r="D15" s="42" t="s">
        <v>322</v>
      </c>
      <c r="E15" s="42" t="s">
        <v>322</v>
      </c>
      <c r="F15" s="42" t="s">
        <v>322</v>
      </c>
      <c r="G15" s="42" t="s">
        <v>322</v>
      </c>
      <c r="H15" s="42" t="s">
        <v>322</v>
      </c>
      <c r="J15" s="36" t="s">
        <v>328</v>
      </c>
      <c r="L15" s="65" t="s">
        <v>72</v>
      </c>
      <c r="M15" s="65"/>
      <c r="N15" s="18">
        <f>COUNTIF(A2:A787,"&lt;&gt;")</f>
        <v>212</v>
      </c>
    </row>
    <row r="16" spans="1:21" ht="16" x14ac:dyDescent="0.2">
      <c r="A16" s="42">
        <v>91711</v>
      </c>
      <c r="B16" s="42">
        <v>0.5</v>
      </c>
      <c r="C16" s="42" t="s">
        <v>14</v>
      </c>
      <c r="D16" s="42" t="s">
        <v>346</v>
      </c>
      <c r="E16" s="42" t="s">
        <v>346</v>
      </c>
      <c r="F16" s="42" t="s">
        <v>346</v>
      </c>
      <c r="G16" s="42" t="s">
        <v>346</v>
      </c>
      <c r="H16" s="42" t="s">
        <v>346</v>
      </c>
      <c r="J16" s="36" t="s">
        <v>331</v>
      </c>
      <c r="L16" s="62" t="s">
        <v>76</v>
      </c>
      <c r="M16" s="59"/>
      <c r="N16" s="27">
        <f>N15/N14</f>
        <v>0.68387096774193545</v>
      </c>
    </row>
    <row r="17" spans="1:14" ht="16" x14ac:dyDescent="0.2">
      <c r="A17" s="42">
        <v>91711</v>
      </c>
      <c r="B17" s="42">
        <v>0.5</v>
      </c>
      <c r="C17" s="42" t="s">
        <v>14</v>
      </c>
      <c r="D17" s="42" t="s">
        <v>347</v>
      </c>
      <c r="E17" s="42" t="s">
        <v>347</v>
      </c>
      <c r="F17" s="42" t="s">
        <v>347</v>
      </c>
      <c r="G17" s="42" t="s">
        <v>347</v>
      </c>
      <c r="H17" s="42" t="s">
        <v>347</v>
      </c>
      <c r="J17" s="36" t="s">
        <v>325</v>
      </c>
      <c r="L17" s="66" t="s">
        <v>80</v>
      </c>
      <c r="M17" s="66"/>
      <c r="N17" s="28">
        <v>32</v>
      </c>
    </row>
    <row r="18" spans="1:14" ht="16" x14ac:dyDescent="0.2">
      <c r="A18" s="42">
        <v>91711</v>
      </c>
      <c r="B18" s="42">
        <v>0.5</v>
      </c>
      <c r="C18" s="42" t="s">
        <v>14</v>
      </c>
      <c r="D18" s="42" t="s">
        <v>346</v>
      </c>
      <c r="E18" s="42" t="s">
        <v>346</v>
      </c>
      <c r="F18" s="42" t="s">
        <v>346</v>
      </c>
      <c r="G18" s="42" t="s">
        <v>346</v>
      </c>
      <c r="H18" s="42" t="s">
        <v>346</v>
      </c>
      <c r="J18" s="36" t="s">
        <v>332</v>
      </c>
      <c r="L18" s="59" t="s">
        <v>85</v>
      </c>
      <c r="M18" s="60"/>
      <c r="N18" s="17">
        <f>AVERAGE(B2:B787)</f>
        <v>13.29693396226415</v>
      </c>
    </row>
    <row r="19" spans="1:14" ht="16" x14ac:dyDescent="0.2">
      <c r="A19" s="42">
        <v>91711</v>
      </c>
      <c r="B19" s="42">
        <v>0.5</v>
      </c>
      <c r="C19" s="42" t="s">
        <v>14</v>
      </c>
      <c r="D19" s="42" t="s">
        <v>346</v>
      </c>
      <c r="E19" s="42" t="s">
        <v>346</v>
      </c>
      <c r="F19" s="42" t="s">
        <v>346</v>
      </c>
      <c r="G19" s="42" t="s">
        <v>346</v>
      </c>
      <c r="H19" s="42" t="s">
        <v>346</v>
      </c>
      <c r="J19" s="36" t="s">
        <v>334</v>
      </c>
      <c r="L19" s="59" t="s">
        <v>90</v>
      </c>
      <c r="M19" s="60"/>
      <c r="N19" s="17">
        <f>MEDIAN(B2:B787)</f>
        <v>2.375</v>
      </c>
    </row>
    <row r="20" spans="1:14" ht="16" x14ac:dyDescent="0.2">
      <c r="A20" s="42">
        <v>91711</v>
      </c>
      <c r="B20" s="42">
        <v>0.5</v>
      </c>
      <c r="C20" s="42" t="s">
        <v>14</v>
      </c>
      <c r="D20" s="42" t="s">
        <v>347</v>
      </c>
      <c r="E20" s="42" t="s">
        <v>347</v>
      </c>
      <c r="F20" s="42" t="s">
        <v>347</v>
      </c>
      <c r="G20" s="42" t="s">
        <v>347</v>
      </c>
      <c r="H20" s="42" t="s">
        <v>347</v>
      </c>
      <c r="J20" s="36" t="s">
        <v>335</v>
      </c>
      <c r="L20" s="59" t="s">
        <v>94</v>
      </c>
      <c r="M20" s="60"/>
      <c r="N20" s="17">
        <f>(SUM(B2:B787)/N15)*N14</f>
        <v>4122.0495283018863</v>
      </c>
    </row>
    <row r="21" spans="1:14" ht="16" x14ac:dyDescent="0.2">
      <c r="A21" s="42">
        <v>91711</v>
      </c>
      <c r="B21" s="42">
        <v>0.5</v>
      </c>
      <c r="C21" s="42" t="s">
        <v>14</v>
      </c>
      <c r="D21" s="42" t="s">
        <v>346</v>
      </c>
      <c r="E21" s="42" t="s">
        <v>346</v>
      </c>
      <c r="F21" s="42" t="s">
        <v>346</v>
      </c>
      <c r="G21" s="42" t="s">
        <v>346</v>
      </c>
      <c r="H21" s="42" t="s">
        <v>346</v>
      </c>
      <c r="J21" s="36" t="s">
        <v>337</v>
      </c>
      <c r="L21" s="59" t="s">
        <v>98</v>
      </c>
      <c r="M21" s="60"/>
      <c r="N21" s="27">
        <f>COUNTIF(B:B,"&lt;=5")/N15</f>
        <v>0.63207547169811318</v>
      </c>
    </row>
    <row r="22" spans="1:14" ht="16" x14ac:dyDescent="0.2">
      <c r="A22" s="42">
        <v>91711</v>
      </c>
      <c r="B22" s="42">
        <v>0.5</v>
      </c>
      <c r="C22" s="42" t="s">
        <v>14</v>
      </c>
      <c r="D22" s="42" t="s">
        <v>346</v>
      </c>
      <c r="E22" s="42" t="s">
        <v>346</v>
      </c>
      <c r="F22" s="42" t="s">
        <v>346</v>
      </c>
      <c r="G22" s="42" t="s">
        <v>346</v>
      </c>
      <c r="H22" s="42" t="s">
        <v>346</v>
      </c>
      <c r="J22" s="36" t="s">
        <v>338</v>
      </c>
    </row>
    <row r="23" spans="1:14" ht="16" x14ac:dyDescent="0.2">
      <c r="A23" s="42">
        <v>91711</v>
      </c>
      <c r="B23" s="42">
        <v>0.8</v>
      </c>
      <c r="C23" s="42" t="s">
        <v>14</v>
      </c>
      <c r="D23" s="42" t="s">
        <v>346</v>
      </c>
      <c r="E23" s="42" t="s">
        <v>157</v>
      </c>
      <c r="F23" s="42" t="s">
        <v>346</v>
      </c>
      <c r="G23" s="42" t="s">
        <v>157</v>
      </c>
      <c r="H23" s="42" t="s">
        <v>346</v>
      </c>
      <c r="J23" s="36" t="s">
        <v>339</v>
      </c>
    </row>
    <row r="24" spans="1:14" ht="16" x14ac:dyDescent="0.2">
      <c r="A24" s="42">
        <v>91711</v>
      </c>
      <c r="B24" s="42">
        <v>1</v>
      </c>
      <c r="C24" s="42" t="s">
        <v>14</v>
      </c>
      <c r="D24" s="42" t="s">
        <v>322</v>
      </c>
      <c r="E24" s="42" t="s">
        <v>322</v>
      </c>
      <c r="F24" s="42" t="s">
        <v>322</v>
      </c>
      <c r="G24" s="42" t="s">
        <v>322</v>
      </c>
      <c r="H24" s="42" t="s">
        <v>322</v>
      </c>
      <c r="J24" s="36" t="s">
        <v>340</v>
      </c>
    </row>
    <row r="25" spans="1:14" ht="16" x14ac:dyDescent="0.2">
      <c r="A25" s="42">
        <v>91711</v>
      </c>
      <c r="B25" s="42">
        <v>1</v>
      </c>
      <c r="C25" s="42" t="s">
        <v>14</v>
      </c>
      <c r="D25" s="42" t="s">
        <v>324</v>
      </c>
      <c r="E25" s="42" t="s">
        <v>324</v>
      </c>
      <c r="F25" s="42" t="s">
        <v>324</v>
      </c>
      <c r="G25" s="42" t="s">
        <v>324</v>
      </c>
      <c r="H25" s="42" t="s">
        <v>324</v>
      </c>
      <c r="J25" s="36" t="s">
        <v>341</v>
      </c>
    </row>
    <row r="26" spans="1:14" ht="16" x14ac:dyDescent="0.2">
      <c r="A26" s="42">
        <v>91711</v>
      </c>
      <c r="B26" s="42">
        <v>1</v>
      </c>
      <c r="C26" s="42" t="s">
        <v>14</v>
      </c>
      <c r="D26" s="42" t="s">
        <v>346</v>
      </c>
      <c r="E26" s="42" t="s">
        <v>346</v>
      </c>
      <c r="F26" s="42" t="s">
        <v>346</v>
      </c>
      <c r="G26" s="42" t="s">
        <v>346</v>
      </c>
      <c r="H26" s="42" t="s">
        <v>346</v>
      </c>
      <c r="J26" s="36" t="s">
        <v>342</v>
      </c>
    </row>
    <row r="27" spans="1:14" ht="16" x14ac:dyDescent="0.2">
      <c r="A27" s="42">
        <v>91711</v>
      </c>
      <c r="B27" s="42">
        <v>1</v>
      </c>
      <c r="C27" s="42" t="s">
        <v>14</v>
      </c>
      <c r="D27" s="42" t="s">
        <v>347</v>
      </c>
      <c r="E27" s="42" t="s">
        <v>347</v>
      </c>
      <c r="F27" s="42" t="s">
        <v>347</v>
      </c>
      <c r="G27" s="42" t="s">
        <v>347</v>
      </c>
      <c r="H27" s="42" t="s">
        <v>347</v>
      </c>
      <c r="J27" s="36" t="s">
        <v>343</v>
      </c>
    </row>
    <row r="28" spans="1:14" ht="16" x14ac:dyDescent="0.2">
      <c r="A28" s="42">
        <v>91711</v>
      </c>
      <c r="B28" s="42">
        <v>1</v>
      </c>
      <c r="C28" s="42" t="s">
        <v>14</v>
      </c>
      <c r="D28" s="42" t="s">
        <v>159</v>
      </c>
      <c r="E28" s="42" t="s">
        <v>159</v>
      </c>
      <c r="F28" s="42" t="s">
        <v>159</v>
      </c>
      <c r="G28" s="42" t="s">
        <v>159</v>
      </c>
      <c r="H28" s="42" t="s">
        <v>159</v>
      </c>
      <c r="J28" s="36" t="s">
        <v>344</v>
      </c>
    </row>
    <row r="29" spans="1:14" ht="16" x14ac:dyDescent="0.2">
      <c r="A29" s="42">
        <v>91711</v>
      </c>
      <c r="B29" s="42">
        <v>1</v>
      </c>
      <c r="C29" s="42" t="s">
        <v>14</v>
      </c>
      <c r="D29" s="42" t="s">
        <v>159</v>
      </c>
      <c r="E29" s="42" t="s">
        <v>322</v>
      </c>
      <c r="F29" s="42" t="s">
        <v>322</v>
      </c>
      <c r="G29" s="42" t="s">
        <v>322</v>
      </c>
      <c r="H29" s="42" t="s">
        <v>322</v>
      </c>
      <c r="J29" s="36" t="s">
        <v>345</v>
      </c>
    </row>
    <row r="30" spans="1:14" ht="16" x14ac:dyDescent="0.2">
      <c r="A30" s="42" t="s">
        <v>375</v>
      </c>
      <c r="B30" s="42">
        <v>1</v>
      </c>
      <c r="C30" s="42" t="s">
        <v>14</v>
      </c>
      <c r="D30" s="42" t="s">
        <v>323</v>
      </c>
      <c r="E30" s="42" t="s">
        <v>323</v>
      </c>
      <c r="F30" s="42" t="s">
        <v>322</v>
      </c>
      <c r="G30" s="42" t="s">
        <v>347</v>
      </c>
      <c r="H30" s="42" t="s">
        <v>347</v>
      </c>
      <c r="J30" s="36" t="s">
        <v>336</v>
      </c>
    </row>
    <row r="31" spans="1:14" ht="16" x14ac:dyDescent="0.2">
      <c r="A31" s="42">
        <v>91711</v>
      </c>
      <c r="B31" s="42">
        <v>1</v>
      </c>
      <c r="C31" s="42" t="s">
        <v>14</v>
      </c>
      <c r="D31" s="42" t="s">
        <v>346</v>
      </c>
      <c r="E31" s="42" t="s">
        <v>346</v>
      </c>
      <c r="F31" s="42" t="s">
        <v>346</v>
      </c>
      <c r="G31" s="42" t="s">
        <v>346</v>
      </c>
      <c r="H31" s="42" t="s">
        <v>346</v>
      </c>
      <c r="J31" s="36" t="s">
        <v>346</v>
      </c>
    </row>
    <row r="32" spans="1:14" ht="16" x14ac:dyDescent="0.2">
      <c r="A32" s="42">
        <v>91711</v>
      </c>
      <c r="B32" s="42">
        <v>1</v>
      </c>
      <c r="C32" s="42" t="s">
        <v>14</v>
      </c>
      <c r="D32" s="42" t="s">
        <v>322</v>
      </c>
      <c r="E32" s="42" t="s">
        <v>322</v>
      </c>
      <c r="F32" s="42" t="s">
        <v>322</v>
      </c>
      <c r="G32" s="42" t="s">
        <v>322</v>
      </c>
      <c r="H32" s="42" t="s">
        <v>322</v>
      </c>
      <c r="J32" s="36" t="s">
        <v>347</v>
      </c>
    </row>
    <row r="33" spans="1:10" ht="16" x14ac:dyDescent="0.2">
      <c r="A33" s="42" t="s">
        <v>375</v>
      </c>
      <c r="B33" s="42">
        <v>1</v>
      </c>
      <c r="C33" s="42" t="s">
        <v>14</v>
      </c>
      <c r="D33" s="42" t="s">
        <v>346</v>
      </c>
      <c r="E33" s="42" t="s">
        <v>346</v>
      </c>
      <c r="F33" s="42" t="s">
        <v>346</v>
      </c>
      <c r="G33" s="42" t="s">
        <v>346</v>
      </c>
      <c r="H33" s="42" t="s">
        <v>346</v>
      </c>
      <c r="J33" s="36" t="s">
        <v>324</v>
      </c>
    </row>
    <row r="34" spans="1:10" ht="16" x14ac:dyDescent="0.2">
      <c r="A34" s="42">
        <v>91711</v>
      </c>
      <c r="B34" s="42">
        <v>1</v>
      </c>
      <c r="C34" s="42" t="s">
        <v>14</v>
      </c>
      <c r="D34" s="42" t="s">
        <v>347</v>
      </c>
      <c r="E34" s="42" t="s">
        <v>347</v>
      </c>
      <c r="F34" s="42" t="s">
        <v>347</v>
      </c>
      <c r="G34" s="42" t="s">
        <v>347</v>
      </c>
      <c r="H34" s="42" t="s">
        <v>347</v>
      </c>
      <c r="J34" s="36" t="s">
        <v>323</v>
      </c>
    </row>
    <row r="35" spans="1:10" ht="16" x14ac:dyDescent="0.2">
      <c r="A35" s="42">
        <v>91711</v>
      </c>
      <c r="B35" s="42">
        <v>1</v>
      </c>
      <c r="C35" s="42" t="s">
        <v>14</v>
      </c>
      <c r="D35" s="42" t="s">
        <v>159</v>
      </c>
      <c r="E35" s="42" t="s">
        <v>346</v>
      </c>
      <c r="F35" s="42" t="s">
        <v>159</v>
      </c>
      <c r="G35" s="42" t="s">
        <v>346</v>
      </c>
      <c r="H35" s="42" t="s">
        <v>159</v>
      </c>
      <c r="J35" s="36" t="s">
        <v>326</v>
      </c>
    </row>
    <row r="36" spans="1:10" ht="16" x14ac:dyDescent="0.2">
      <c r="A36" s="42">
        <v>91711</v>
      </c>
      <c r="B36" s="42">
        <v>1</v>
      </c>
      <c r="C36" s="42" t="s">
        <v>14</v>
      </c>
      <c r="D36" s="42" t="s">
        <v>346</v>
      </c>
      <c r="E36" s="42" t="s">
        <v>346</v>
      </c>
      <c r="F36" s="42" t="s">
        <v>346</v>
      </c>
      <c r="G36" s="42" t="s">
        <v>346</v>
      </c>
      <c r="H36" s="42" t="s">
        <v>346</v>
      </c>
      <c r="J36" s="36" t="s">
        <v>146</v>
      </c>
    </row>
    <row r="37" spans="1:10" ht="16" x14ac:dyDescent="0.2">
      <c r="A37" s="42">
        <v>91711</v>
      </c>
      <c r="B37" s="42">
        <v>1</v>
      </c>
      <c r="C37" s="42" t="s">
        <v>14</v>
      </c>
      <c r="D37" s="42" t="s">
        <v>322</v>
      </c>
      <c r="E37" s="42" t="s">
        <v>322</v>
      </c>
      <c r="F37" s="42" t="s">
        <v>322</v>
      </c>
      <c r="G37" s="42" t="s">
        <v>322</v>
      </c>
      <c r="H37" s="42" t="s">
        <v>322</v>
      </c>
      <c r="J37" s="36" t="s">
        <v>153</v>
      </c>
    </row>
    <row r="38" spans="1:10" ht="16" x14ac:dyDescent="0.2">
      <c r="A38" s="42">
        <v>91711</v>
      </c>
      <c r="B38" s="42">
        <v>1</v>
      </c>
      <c r="C38" s="42" t="s">
        <v>14</v>
      </c>
      <c r="D38" s="42" t="s">
        <v>347</v>
      </c>
      <c r="E38" s="42" t="s">
        <v>347</v>
      </c>
      <c r="F38" s="42" t="s">
        <v>347</v>
      </c>
      <c r="G38" s="42" t="s">
        <v>322</v>
      </c>
      <c r="H38" s="42" t="s">
        <v>347</v>
      </c>
      <c r="J38" s="36" t="s">
        <v>155</v>
      </c>
    </row>
    <row r="39" spans="1:10" ht="16" x14ac:dyDescent="0.2">
      <c r="A39" s="42">
        <v>91711</v>
      </c>
      <c r="B39" s="42">
        <v>1</v>
      </c>
      <c r="C39" s="42" t="s">
        <v>14</v>
      </c>
      <c r="D39" s="42" t="s">
        <v>159</v>
      </c>
      <c r="E39" s="42" t="s">
        <v>159</v>
      </c>
      <c r="F39" s="42" t="s">
        <v>159</v>
      </c>
      <c r="G39" s="42" t="s">
        <v>346</v>
      </c>
      <c r="H39" s="42" t="s">
        <v>347</v>
      </c>
      <c r="J39" s="36" t="s">
        <v>157</v>
      </c>
    </row>
    <row r="40" spans="1:10" ht="16" x14ac:dyDescent="0.2">
      <c r="A40" s="42">
        <v>91711</v>
      </c>
      <c r="B40" s="42">
        <v>1</v>
      </c>
      <c r="C40" s="42" t="s">
        <v>14</v>
      </c>
      <c r="D40" s="42" t="s">
        <v>322</v>
      </c>
      <c r="E40" s="42" t="s">
        <v>346</v>
      </c>
      <c r="F40" s="42" t="s">
        <v>322</v>
      </c>
      <c r="G40" s="42" t="s">
        <v>346</v>
      </c>
      <c r="H40" s="42" t="s">
        <v>322</v>
      </c>
      <c r="J40" s="37" t="s">
        <v>159</v>
      </c>
    </row>
    <row r="41" spans="1:10" x14ac:dyDescent="0.2">
      <c r="A41" s="42">
        <v>91711</v>
      </c>
      <c r="B41" s="42">
        <v>1</v>
      </c>
      <c r="C41" s="42" t="s">
        <v>14</v>
      </c>
      <c r="D41" s="42" t="s">
        <v>328</v>
      </c>
      <c r="E41" s="42" t="s">
        <v>328</v>
      </c>
      <c r="F41" s="42" t="s">
        <v>328</v>
      </c>
      <c r="G41" s="42" t="s">
        <v>328</v>
      </c>
      <c r="H41" s="42" t="s">
        <v>328</v>
      </c>
    </row>
    <row r="42" spans="1:10" x14ac:dyDescent="0.2">
      <c r="A42" s="42">
        <v>91711</v>
      </c>
      <c r="B42" s="42">
        <v>1</v>
      </c>
      <c r="C42" s="42" t="s">
        <v>14</v>
      </c>
      <c r="D42" s="42" t="s">
        <v>346</v>
      </c>
      <c r="E42" s="42" t="s">
        <v>346</v>
      </c>
      <c r="F42" s="42" t="s">
        <v>346</v>
      </c>
      <c r="G42" s="42" t="s">
        <v>323</v>
      </c>
      <c r="H42" s="42" t="s">
        <v>323</v>
      </c>
    </row>
    <row r="43" spans="1:10" x14ac:dyDescent="0.2">
      <c r="A43" s="42">
        <v>91711</v>
      </c>
      <c r="B43" s="42">
        <v>1</v>
      </c>
      <c r="C43" s="42" t="s">
        <v>14</v>
      </c>
      <c r="D43" s="42" t="s">
        <v>322</v>
      </c>
      <c r="E43" s="42" t="s">
        <v>322</v>
      </c>
      <c r="F43" s="42" t="s">
        <v>322</v>
      </c>
      <c r="G43" s="42" t="s">
        <v>322</v>
      </c>
      <c r="H43" s="42" t="s">
        <v>322</v>
      </c>
    </row>
    <row r="44" spans="1:10" x14ac:dyDescent="0.2">
      <c r="A44" s="42">
        <v>91711</v>
      </c>
      <c r="B44" s="42">
        <v>1</v>
      </c>
      <c r="C44" s="42" t="s">
        <v>14</v>
      </c>
      <c r="D44" s="42" t="s">
        <v>346</v>
      </c>
      <c r="E44" s="42" t="s">
        <v>346</v>
      </c>
      <c r="F44" s="42" t="s">
        <v>346</v>
      </c>
      <c r="G44" s="42" t="s">
        <v>346</v>
      </c>
      <c r="H44" s="42" t="s">
        <v>346</v>
      </c>
    </row>
    <row r="45" spans="1:10" x14ac:dyDescent="0.2">
      <c r="A45" s="42">
        <v>91711</v>
      </c>
      <c r="B45" s="42">
        <v>1</v>
      </c>
      <c r="C45" s="42" t="s">
        <v>14</v>
      </c>
      <c r="D45" s="42" t="s">
        <v>346</v>
      </c>
      <c r="E45" s="42" t="s">
        <v>346</v>
      </c>
      <c r="F45" s="42" t="s">
        <v>346</v>
      </c>
      <c r="G45" s="42" t="s">
        <v>346</v>
      </c>
      <c r="H45" s="42" t="s">
        <v>346</v>
      </c>
    </row>
    <row r="46" spans="1:10" x14ac:dyDescent="0.2">
      <c r="A46" s="42">
        <v>91711</v>
      </c>
      <c r="B46" s="42">
        <v>1</v>
      </c>
      <c r="C46" s="42" t="s">
        <v>14</v>
      </c>
      <c r="D46" s="42" t="s">
        <v>346</v>
      </c>
      <c r="E46" s="42" t="s">
        <v>328</v>
      </c>
      <c r="F46" s="42" t="s">
        <v>346</v>
      </c>
      <c r="G46" s="42" t="s">
        <v>346</v>
      </c>
      <c r="H46" s="42" t="s">
        <v>346</v>
      </c>
    </row>
    <row r="47" spans="1:10" x14ac:dyDescent="0.2">
      <c r="A47" s="42">
        <v>91711</v>
      </c>
      <c r="B47" s="42">
        <v>1</v>
      </c>
      <c r="C47" s="42" t="s">
        <v>14</v>
      </c>
      <c r="D47" s="42" t="s">
        <v>347</v>
      </c>
      <c r="E47" s="42" t="s">
        <v>347</v>
      </c>
      <c r="F47" s="42" t="s">
        <v>347</v>
      </c>
      <c r="G47" s="42" t="s">
        <v>347</v>
      </c>
      <c r="H47" s="42" t="s">
        <v>347</v>
      </c>
    </row>
    <row r="48" spans="1:10" x14ac:dyDescent="0.2">
      <c r="A48" s="42">
        <v>91711</v>
      </c>
      <c r="B48" s="42">
        <v>1</v>
      </c>
      <c r="C48" s="42" t="s">
        <v>14</v>
      </c>
      <c r="D48" s="42" t="s">
        <v>323</v>
      </c>
      <c r="E48" s="42" t="s">
        <v>322</v>
      </c>
      <c r="F48" s="42" t="s">
        <v>346</v>
      </c>
      <c r="G48" s="42" t="s">
        <v>322</v>
      </c>
      <c r="H48" s="42" t="s">
        <v>323</v>
      </c>
    </row>
    <row r="49" spans="1:8" x14ac:dyDescent="0.2">
      <c r="A49" s="42">
        <v>91711</v>
      </c>
      <c r="B49" s="42">
        <v>1</v>
      </c>
      <c r="C49" s="42" t="s">
        <v>14</v>
      </c>
      <c r="D49" s="42" t="s">
        <v>322</v>
      </c>
      <c r="E49" s="42" t="s">
        <v>322</v>
      </c>
      <c r="F49" s="42" t="s">
        <v>322</v>
      </c>
      <c r="G49" s="42" t="s">
        <v>322</v>
      </c>
      <c r="H49" s="42" t="s">
        <v>322</v>
      </c>
    </row>
    <row r="50" spans="1:8" x14ac:dyDescent="0.2">
      <c r="A50" s="42">
        <v>91711</v>
      </c>
      <c r="B50" s="42">
        <v>1</v>
      </c>
      <c r="C50" s="42" t="s">
        <v>14</v>
      </c>
      <c r="D50" s="42" t="s">
        <v>347</v>
      </c>
      <c r="E50" s="42" t="s">
        <v>347</v>
      </c>
      <c r="F50" s="42" t="s">
        <v>347</v>
      </c>
      <c r="G50" s="42" t="s">
        <v>347</v>
      </c>
      <c r="H50" s="42" t="s">
        <v>347</v>
      </c>
    </row>
    <row r="51" spans="1:8" x14ac:dyDescent="0.2">
      <c r="A51" s="42">
        <v>91711</v>
      </c>
      <c r="B51" s="42">
        <v>1</v>
      </c>
      <c r="C51" s="42" t="s">
        <v>14</v>
      </c>
      <c r="D51" s="42" t="s">
        <v>322</v>
      </c>
      <c r="E51" s="42" t="s">
        <v>322</v>
      </c>
      <c r="F51" s="42" t="s">
        <v>157</v>
      </c>
      <c r="G51" s="42" t="s">
        <v>157</v>
      </c>
      <c r="H51" s="42" t="s">
        <v>157</v>
      </c>
    </row>
    <row r="52" spans="1:8" x14ac:dyDescent="0.2">
      <c r="A52" s="42">
        <v>91711</v>
      </c>
      <c r="B52" s="42">
        <v>1</v>
      </c>
      <c r="C52" s="42" t="s">
        <v>14</v>
      </c>
      <c r="D52" s="42" t="s">
        <v>346</v>
      </c>
      <c r="E52" s="42" t="s">
        <v>346</v>
      </c>
      <c r="F52" s="42" t="s">
        <v>346</v>
      </c>
      <c r="G52" s="42" t="s">
        <v>346</v>
      </c>
      <c r="H52" s="42" t="s">
        <v>346</v>
      </c>
    </row>
    <row r="53" spans="1:8" x14ac:dyDescent="0.2">
      <c r="A53" s="42">
        <v>91711</v>
      </c>
      <c r="B53" s="42">
        <v>1</v>
      </c>
      <c r="C53" s="42" t="s">
        <v>14</v>
      </c>
      <c r="D53" s="42" t="s">
        <v>328</v>
      </c>
      <c r="E53" s="42" t="s">
        <v>328</v>
      </c>
      <c r="F53" s="42" t="s">
        <v>326</v>
      </c>
      <c r="G53" s="42" t="s">
        <v>326</v>
      </c>
      <c r="H53" s="42" t="s">
        <v>326</v>
      </c>
    </row>
    <row r="54" spans="1:8" x14ac:dyDescent="0.2">
      <c r="A54" s="42">
        <v>91711</v>
      </c>
      <c r="B54" s="42">
        <v>1</v>
      </c>
      <c r="C54" s="42" t="s">
        <v>14</v>
      </c>
      <c r="D54" s="42" t="s">
        <v>322</v>
      </c>
      <c r="E54" s="42" t="s">
        <v>322</v>
      </c>
      <c r="F54" s="42" t="s">
        <v>322</v>
      </c>
      <c r="G54" s="42" t="s">
        <v>322</v>
      </c>
      <c r="H54" s="42" t="s">
        <v>322</v>
      </c>
    </row>
    <row r="55" spans="1:8" x14ac:dyDescent="0.2">
      <c r="A55" s="42">
        <v>91711</v>
      </c>
      <c r="B55" s="42">
        <v>1</v>
      </c>
      <c r="C55" s="42" t="s">
        <v>14</v>
      </c>
      <c r="D55" s="42" t="s">
        <v>347</v>
      </c>
      <c r="E55" s="42" t="s">
        <v>347</v>
      </c>
      <c r="F55" s="42" t="s">
        <v>347</v>
      </c>
      <c r="G55" s="42" t="s">
        <v>347</v>
      </c>
      <c r="H55" s="42" t="s">
        <v>347</v>
      </c>
    </row>
    <row r="56" spans="1:8" x14ac:dyDescent="0.2">
      <c r="A56" s="42">
        <v>91711</v>
      </c>
      <c r="B56" s="42">
        <v>1</v>
      </c>
      <c r="C56" s="42" t="s">
        <v>14</v>
      </c>
      <c r="D56" s="42" t="s">
        <v>159</v>
      </c>
      <c r="E56" s="42" t="s">
        <v>159</v>
      </c>
      <c r="F56" s="42" t="s">
        <v>346</v>
      </c>
      <c r="G56" s="42" t="s">
        <v>322</v>
      </c>
      <c r="H56" s="42" t="s">
        <v>346</v>
      </c>
    </row>
    <row r="57" spans="1:8" x14ac:dyDescent="0.2">
      <c r="A57" s="42">
        <v>91711</v>
      </c>
      <c r="B57" s="42">
        <v>1</v>
      </c>
      <c r="C57" s="42" t="s">
        <v>14</v>
      </c>
      <c r="D57" s="42" t="s">
        <v>328</v>
      </c>
      <c r="E57" s="42" t="s">
        <v>328</v>
      </c>
      <c r="F57" s="42" t="s">
        <v>328</v>
      </c>
      <c r="G57" s="42" t="s">
        <v>328</v>
      </c>
      <c r="H57" s="42" t="s">
        <v>323</v>
      </c>
    </row>
    <row r="58" spans="1:8" x14ac:dyDescent="0.2">
      <c r="A58" s="42">
        <v>91711</v>
      </c>
      <c r="B58" s="42">
        <v>1</v>
      </c>
      <c r="C58" s="42" t="s">
        <v>14</v>
      </c>
      <c r="D58" s="42" t="s">
        <v>346</v>
      </c>
      <c r="E58" s="42" t="s">
        <v>346</v>
      </c>
      <c r="F58" s="42" t="s">
        <v>346</v>
      </c>
      <c r="G58" s="42" t="s">
        <v>346</v>
      </c>
      <c r="H58" s="42" t="s">
        <v>326</v>
      </c>
    </row>
    <row r="59" spans="1:8" x14ac:dyDescent="0.2">
      <c r="A59" s="42">
        <v>91711</v>
      </c>
      <c r="B59" s="42">
        <v>1</v>
      </c>
      <c r="C59" s="42" t="s">
        <v>14</v>
      </c>
      <c r="D59" s="42" t="s">
        <v>331</v>
      </c>
      <c r="E59" s="42" t="s">
        <v>331</v>
      </c>
      <c r="F59" s="42" t="s">
        <v>322</v>
      </c>
      <c r="G59" s="42" t="s">
        <v>331</v>
      </c>
      <c r="H59" s="42" t="s">
        <v>331</v>
      </c>
    </row>
    <row r="60" spans="1:8" x14ac:dyDescent="0.2">
      <c r="A60" s="42">
        <v>91711</v>
      </c>
      <c r="B60" s="42">
        <v>1</v>
      </c>
      <c r="C60" s="42" t="s">
        <v>14</v>
      </c>
      <c r="D60" s="42" t="s">
        <v>322</v>
      </c>
      <c r="E60" s="42" t="s">
        <v>322</v>
      </c>
      <c r="F60" s="42" t="s">
        <v>322</v>
      </c>
      <c r="G60" s="42" t="s">
        <v>322</v>
      </c>
      <c r="H60" s="42" t="s">
        <v>322</v>
      </c>
    </row>
    <row r="61" spans="1:8" x14ac:dyDescent="0.2">
      <c r="A61" s="42">
        <v>91711</v>
      </c>
      <c r="B61" s="42">
        <v>1</v>
      </c>
      <c r="C61" s="42" t="s">
        <v>14</v>
      </c>
      <c r="D61" s="42" t="s">
        <v>347</v>
      </c>
      <c r="E61" s="42" t="s">
        <v>347</v>
      </c>
      <c r="F61" s="42" t="s">
        <v>347</v>
      </c>
      <c r="G61" s="42" t="s">
        <v>322</v>
      </c>
      <c r="H61" s="42" t="s">
        <v>323</v>
      </c>
    </row>
    <row r="62" spans="1:8" x14ac:dyDescent="0.2">
      <c r="A62" s="42">
        <v>91711</v>
      </c>
      <c r="B62" s="42">
        <v>1</v>
      </c>
      <c r="C62" s="42" t="s">
        <v>14</v>
      </c>
      <c r="D62" s="42" t="s">
        <v>346</v>
      </c>
      <c r="E62" s="42" t="s">
        <v>346</v>
      </c>
      <c r="F62" s="42" t="s">
        <v>346</v>
      </c>
      <c r="G62" s="42" t="s">
        <v>346</v>
      </c>
      <c r="H62" s="42" t="s">
        <v>346</v>
      </c>
    </row>
    <row r="63" spans="1:8" x14ac:dyDescent="0.2">
      <c r="A63" s="42">
        <v>91711</v>
      </c>
      <c r="B63" s="42">
        <v>1</v>
      </c>
      <c r="C63" s="42" t="s">
        <v>14</v>
      </c>
      <c r="D63" s="42" t="s">
        <v>346</v>
      </c>
      <c r="E63" s="42" t="s">
        <v>346</v>
      </c>
      <c r="F63" s="42" t="s">
        <v>346</v>
      </c>
      <c r="G63" s="42" t="s">
        <v>346</v>
      </c>
      <c r="H63" s="42" t="s">
        <v>346</v>
      </c>
    </row>
    <row r="64" spans="1:8" x14ac:dyDescent="0.2">
      <c r="A64" s="42">
        <v>91711</v>
      </c>
      <c r="B64" s="42">
        <v>1</v>
      </c>
      <c r="C64" s="42" t="s">
        <v>14</v>
      </c>
      <c r="D64" s="42" t="s">
        <v>346</v>
      </c>
      <c r="E64" s="42" t="s">
        <v>346</v>
      </c>
      <c r="F64" s="42" t="s">
        <v>346</v>
      </c>
      <c r="G64" s="42" t="s">
        <v>346</v>
      </c>
      <c r="H64" s="42" t="s">
        <v>346</v>
      </c>
    </row>
    <row r="65" spans="1:8" x14ac:dyDescent="0.2">
      <c r="A65" s="42">
        <v>91711</v>
      </c>
      <c r="B65" s="42">
        <v>1</v>
      </c>
      <c r="C65" s="42" t="s">
        <v>14</v>
      </c>
      <c r="D65" s="42" t="s">
        <v>322</v>
      </c>
      <c r="E65" s="42" t="s">
        <v>322</v>
      </c>
      <c r="F65" s="42" t="s">
        <v>322</v>
      </c>
      <c r="G65" s="42" t="s">
        <v>322</v>
      </c>
      <c r="H65" s="42" t="s">
        <v>159</v>
      </c>
    </row>
    <row r="66" spans="1:8" x14ac:dyDescent="0.2">
      <c r="A66" s="42">
        <v>91711</v>
      </c>
      <c r="B66" s="42">
        <v>1</v>
      </c>
      <c r="C66" s="42" t="s">
        <v>14</v>
      </c>
      <c r="D66" s="42" t="s">
        <v>347</v>
      </c>
      <c r="E66" s="42" t="s">
        <v>347</v>
      </c>
      <c r="F66" s="42" t="s">
        <v>347</v>
      </c>
      <c r="G66" s="42" t="s">
        <v>347</v>
      </c>
      <c r="H66" s="42" t="s">
        <v>347</v>
      </c>
    </row>
    <row r="67" spans="1:8" x14ac:dyDescent="0.2">
      <c r="A67" s="42">
        <v>91711</v>
      </c>
      <c r="B67" s="42">
        <v>1.1000000000000001</v>
      </c>
      <c r="C67" s="42" t="s">
        <v>14</v>
      </c>
      <c r="D67" s="42" t="s">
        <v>322</v>
      </c>
      <c r="E67" s="42" t="s">
        <v>322</v>
      </c>
      <c r="F67" s="42" t="s">
        <v>322</v>
      </c>
      <c r="G67" s="42" t="s">
        <v>322</v>
      </c>
      <c r="H67" s="42" t="s">
        <v>159</v>
      </c>
    </row>
    <row r="68" spans="1:8" x14ac:dyDescent="0.2">
      <c r="A68" s="42">
        <v>91711</v>
      </c>
      <c r="B68" s="42">
        <v>1.2</v>
      </c>
      <c r="C68" s="42" t="s">
        <v>14</v>
      </c>
      <c r="D68" s="42" t="s">
        <v>322</v>
      </c>
      <c r="E68" s="42" t="s">
        <v>322</v>
      </c>
      <c r="F68" s="42" t="s">
        <v>322</v>
      </c>
      <c r="G68" s="42" t="s">
        <v>322</v>
      </c>
      <c r="H68" s="42" t="s">
        <v>322</v>
      </c>
    </row>
    <row r="69" spans="1:8" x14ac:dyDescent="0.2">
      <c r="A69" s="42">
        <v>91711</v>
      </c>
      <c r="B69" s="42">
        <v>1.2</v>
      </c>
      <c r="C69" s="42" t="s">
        <v>14</v>
      </c>
      <c r="D69" s="42" t="s">
        <v>346</v>
      </c>
      <c r="E69" s="42" t="s">
        <v>322</v>
      </c>
      <c r="F69" s="42" t="s">
        <v>328</v>
      </c>
      <c r="G69" s="42" t="s">
        <v>322</v>
      </c>
      <c r="H69" s="42" t="s">
        <v>322</v>
      </c>
    </row>
    <row r="70" spans="1:8" x14ac:dyDescent="0.2">
      <c r="A70" s="42" t="s">
        <v>381</v>
      </c>
      <c r="B70" s="42">
        <v>1.25</v>
      </c>
      <c r="C70" s="42" t="s">
        <v>14</v>
      </c>
      <c r="D70" s="42" t="s">
        <v>322</v>
      </c>
      <c r="E70" s="42" t="s">
        <v>322</v>
      </c>
      <c r="F70" s="42" t="s">
        <v>322</v>
      </c>
      <c r="G70" s="42" t="s">
        <v>322</v>
      </c>
      <c r="H70" s="42" t="s">
        <v>322</v>
      </c>
    </row>
    <row r="71" spans="1:8" x14ac:dyDescent="0.2">
      <c r="A71" s="42">
        <v>91767</v>
      </c>
      <c r="B71" s="42">
        <v>1.4</v>
      </c>
      <c r="C71" s="42" t="s">
        <v>14</v>
      </c>
      <c r="D71" s="42" t="s">
        <v>322</v>
      </c>
      <c r="E71" s="42" t="s">
        <v>322</v>
      </c>
      <c r="F71" s="42" t="s">
        <v>322</v>
      </c>
      <c r="G71" s="42" t="s">
        <v>322</v>
      </c>
      <c r="H71" s="42" t="s">
        <v>322</v>
      </c>
    </row>
    <row r="72" spans="1:8" x14ac:dyDescent="0.2">
      <c r="A72" s="42" t="s">
        <v>356</v>
      </c>
      <c r="B72" s="42">
        <v>1.4</v>
      </c>
      <c r="C72" s="42" t="s">
        <v>14</v>
      </c>
      <c r="D72" s="42" t="s">
        <v>322</v>
      </c>
      <c r="E72" s="42" t="s">
        <v>159</v>
      </c>
      <c r="F72" s="42" t="s">
        <v>159</v>
      </c>
      <c r="G72" s="42" t="s">
        <v>346</v>
      </c>
      <c r="H72" s="42" t="s">
        <v>322</v>
      </c>
    </row>
    <row r="73" spans="1:8" x14ac:dyDescent="0.2">
      <c r="A73" s="42">
        <v>91711</v>
      </c>
      <c r="B73" s="42">
        <v>1.5</v>
      </c>
      <c r="C73" s="42" t="s">
        <v>14</v>
      </c>
      <c r="D73" s="42" t="s">
        <v>322</v>
      </c>
      <c r="E73" s="42" t="s">
        <v>322</v>
      </c>
      <c r="F73" s="42" t="s">
        <v>322</v>
      </c>
      <c r="G73" s="42" t="s">
        <v>322</v>
      </c>
      <c r="H73" s="42" t="s">
        <v>322</v>
      </c>
    </row>
    <row r="74" spans="1:8" x14ac:dyDescent="0.2">
      <c r="A74" s="42" t="s">
        <v>358</v>
      </c>
      <c r="B74" s="42">
        <v>1.5</v>
      </c>
      <c r="C74" s="42" t="s">
        <v>14</v>
      </c>
      <c r="D74" s="42" t="s">
        <v>322</v>
      </c>
      <c r="E74" s="42" t="s">
        <v>322</v>
      </c>
      <c r="F74" s="42" t="s">
        <v>322</v>
      </c>
      <c r="G74" s="42" t="s">
        <v>322</v>
      </c>
      <c r="H74" s="42" t="s">
        <v>322</v>
      </c>
    </row>
    <row r="75" spans="1:8" x14ac:dyDescent="0.2">
      <c r="A75" s="42">
        <v>91711</v>
      </c>
      <c r="B75" s="42">
        <v>1.5</v>
      </c>
      <c r="C75" s="42" t="s">
        <v>14</v>
      </c>
      <c r="D75" s="42" t="s">
        <v>346</v>
      </c>
      <c r="E75" s="42" t="s">
        <v>346</v>
      </c>
      <c r="F75" s="42" t="s">
        <v>346</v>
      </c>
      <c r="G75" s="42" t="s">
        <v>322</v>
      </c>
      <c r="H75" s="42" t="s">
        <v>346</v>
      </c>
    </row>
    <row r="76" spans="1:8" x14ac:dyDescent="0.2">
      <c r="A76" s="42" t="s">
        <v>382</v>
      </c>
      <c r="B76" s="42">
        <v>1.5</v>
      </c>
      <c r="C76" s="42" t="s">
        <v>14</v>
      </c>
      <c r="D76" s="42" t="s">
        <v>326</v>
      </c>
      <c r="E76" s="42" t="s">
        <v>326</v>
      </c>
      <c r="F76" s="42" t="s">
        <v>326</v>
      </c>
      <c r="G76" s="42" t="s">
        <v>326</v>
      </c>
      <c r="H76" s="42" t="s">
        <v>326</v>
      </c>
    </row>
    <row r="77" spans="1:8" x14ac:dyDescent="0.2">
      <c r="A77" s="42">
        <v>91711</v>
      </c>
      <c r="B77" s="42">
        <v>1.5</v>
      </c>
      <c r="C77" s="42" t="s">
        <v>14</v>
      </c>
      <c r="D77" s="42" t="s">
        <v>322</v>
      </c>
      <c r="E77" s="42" t="s">
        <v>347</v>
      </c>
      <c r="F77" s="42" t="s">
        <v>347</v>
      </c>
      <c r="G77" s="42" t="s">
        <v>322</v>
      </c>
      <c r="H77" s="42" t="s">
        <v>322</v>
      </c>
    </row>
    <row r="78" spans="1:8" x14ac:dyDescent="0.2">
      <c r="A78" s="42" t="s">
        <v>383</v>
      </c>
      <c r="B78" s="42">
        <v>1.5</v>
      </c>
      <c r="C78" s="42" t="s">
        <v>14</v>
      </c>
      <c r="D78" s="42" t="s">
        <v>322</v>
      </c>
      <c r="E78" s="42" t="s">
        <v>322</v>
      </c>
      <c r="F78" s="42" t="s">
        <v>322</v>
      </c>
      <c r="G78" s="42" t="s">
        <v>323</v>
      </c>
      <c r="H78" s="42" t="s">
        <v>322</v>
      </c>
    </row>
    <row r="79" spans="1:8" x14ac:dyDescent="0.2">
      <c r="A79" s="42">
        <v>91711</v>
      </c>
      <c r="B79" s="42">
        <v>1.5</v>
      </c>
      <c r="C79" s="42" t="s">
        <v>14</v>
      </c>
      <c r="D79" s="42" t="s">
        <v>328</v>
      </c>
      <c r="E79" s="42" t="s">
        <v>328</v>
      </c>
      <c r="F79" s="42" t="s">
        <v>328</v>
      </c>
      <c r="G79" s="42" t="s">
        <v>328</v>
      </c>
      <c r="H79" s="42" t="s">
        <v>328</v>
      </c>
    </row>
    <row r="80" spans="1:8" x14ac:dyDescent="0.2">
      <c r="A80" s="42">
        <v>91767</v>
      </c>
      <c r="B80" s="42">
        <v>1.5</v>
      </c>
      <c r="C80" s="42" t="s">
        <v>14</v>
      </c>
      <c r="D80" s="42" t="s">
        <v>331</v>
      </c>
      <c r="E80" s="42" t="s">
        <v>331</v>
      </c>
      <c r="F80" s="42" t="s">
        <v>328</v>
      </c>
      <c r="G80" s="42" t="s">
        <v>331</v>
      </c>
      <c r="H80" s="42" t="s">
        <v>331</v>
      </c>
    </row>
    <row r="81" spans="1:8" x14ac:dyDescent="0.2">
      <c r="A81" s="42">
        <v>91711</v>
      </c>
      <c r="B81" s="42">
        <v>1.5</v>
      </c>
      <c r="C81" s="42" t="s">
        <v>14</v>
      </c>
      <c r="D81" s="42" t="s">
        <v>322</v>
      </c>
      <c r="E81" s="42" t="s">
        <v>322</v>
      </c>
      <c r="F81" s="42" t="s">
        <v>322</v>
      </c>
      <c r="G81" s="42" t="s">
        <v>322</v>
      </c>
      <c r="H81" s="42" t="s">
        <v>322</v>
      </c>
    </row>
    <row r="82" spans="1:8" x14ac:dyDescent="0.2">
      <c r="A82" s="42">
        <v>91711</v>
      </c>
      <c r="B82" s="42">
        <v>1.5</v>
      </c>
      <c r="C82" s="42" t="s">
        <v>14</v>
      </c>
      <c r="D82" s="42" t="s">
        <v>322</v>
      </c>
      <c r="E82" s="42" t="s">
        <v>322</v>
      </c>
      <c r="F82" s="42" t="s">
        <v>322</v>
      </c>
      <c r="G82" s="42" t="s">
        <v>322</v>
      </c>
      <c r="H82" s="42" t="s">
        <v>322</v>
      </c>
    </row>
    <row r="83" spans="1:8" x14ac:dyDescent="0.2">
      <c r="A83" s="42">
        <v>91711</v>
      </c>
      <c r="B83" s="42">
        <v>1.5</v>
      </c>
      <c r="C83" s="42" t="s">
        <v>14</v>
      </c>
      <c r="D83" s="42" t="s">
        <v>322</v>
      </c>
      <c r="E83" s="42" t="s">
        <v>322</v>
      </c>
      <c r="F83" s="42" t="s">
        <v>322</v>
      </c>
      <c r="G83" s="42" t="s">
        <v>322</v>
      </c>
      <c r="H83" s="42" t="s">
        <v>322</v>
      </c>
    </row>
    <row r="84" spans="1:8" x14ac:dyDescent="0.2">
      <c r="A84" s="42">
        <v>91711</v>
      </c>
      <c r="B84" s="42">
        <v>1.5</v>
      </c>
      <c r="C84" s="42" t="s">
        <v>14</v>
      </c>
      <c r="D84" s="42" t="s">
        <v>322</v>
      </c>
      <c r="E84" s="42" t="s">
        <v>322</v>
      </c>
      <c r="F84" s="42" t="s">
        <v>322</v>
      </c>
      <c r="G84" s="42" t="s">
        <v>346</v>
      </c>
      <c r="H84" s="42" t="s">
        <v>322</v>
      </c>
    </row>
    <row r="85" spans="1:8" x14ac:dyDescent="0.2">
      <c r="A85" s="42">
        <v>91711</v>
      </c>
      <c r="B85" s="42">
        <v>1.5</v>
      </c>
      <c r="C85" s="42" t="s">
        <v>14</v>
      </c>
      <c r="D85" s="42" t="s">
        <v>347</v>
      </c>
      <c r="E85" s="42" t="s">
        <v>347</v>
      </c>
      <c r="F85" s="42" t="s">
        <v>347</v>
      </c>
      <c r="G85" s="42" t="s">
        <v>347</v>
      </c>
      <c r="H85" s="42" t="s">
        <v>347</v>
      </c>
    </row>
    <row r="86" spans="1:8" x14ac:dyDescent="0.2">
      <c r="A86" s="42">
        <v>91711</v>
      </c>
      <c r="B86" s="42">
        <v>1.6</v>
      </c>
      <c r="C86" s="42" t="s">
        <v>14</v>
      </c>
      <c r="D86" s="42" t="s">
        <v>347</v>
      </c>
      <c r="E86" s="42" t="s">
        <v>347</v>
      </c>
      <c r="F86" s="42" t="s">
        <v>322</v>
      </c>
      <c r="G86" s="42" t="s">
        <v>347</v>
      </c>
      <c r="H86" s="42" t="s">
        <v>347</v>
      </c>
    </row>
    <row r="87" spans="1:8" x14ac:dyDescent="0.2">
      <c r="A87" s="42">
        <v>91711</v>
      </c>
      <c r="B87" s="42">
        <v>1.7</v>
      </c>
      <c r="C87" s="42" t="s">
        <v>14</v>
      </c>
      <c r="D87" s="42" t="s">
        <v>322</v>
      </c>
      <c r="E87" s="42" t="s">
        <v>322</v>
      </c>
      <c r="F87" s="42" t="s">
        <v>322</v>
      </c>
      <c r="G87" s="42" t="s">
        <v>322</v>
      </c>
      <c r="H87" s="42" t="s">
        <v>322</v>
      </c>
    </row>
    <row r="88" spans="1:8" x14ac:dyDescent="0.2">
      <c r="A88" s="42">
        <v>91767</v>
      </c>
      <c r="B88" s="42">
        <v>2</v>
      </c>
      <c r="C88" s="42" t="s">
        <v>14</v>
      </c>
      <c r="D88" s="42" t="s">
        <v>322</v>
      </c>
      <c r="E88" s="42" t="s">
        <v>322</v>
      </c>
      <c r="F88" s="42" t="s">
        <v>322</v>
      </c>
      <c r="G88" s="42" t="s">
        <v>322</v>
      </c>
      <c r="H88" s="42" t="s">
        <v>322</v>
      </c>
    </row>
    <row r="89" spans="1:8" x14ac:dyDescent="0.2">
      <c r="A89" s="42">
        <v>91711</v>
      </c>
      <c r="B89" s="42">
        <v>2</v>
      </c>
      <c r="C89" s="42" t="s">
        <v>14</v>
      </c>
      <c r="D89" s="42" t="s">
        <v>331</v>
      </c>
      <c r="E89" s="42" t="s">
        <v>331</v>
      </c>
      <c r="F89" s="42" t="s">
        <v>331</v>
      </c>
      <c r="G89" s="42" t="s">
        <v>331</v>
      </c>
      <c r="H89" s="42" t="s">
        <v>331</v>
      </c>
    </row>
    <row r="90" spans="1:8" x14ac:dyDescent="0.2">
      <c r="A90" s="42">
        <v>91786</v>
      </c>
      <c r="B90" s="42">
        <v>2</v>
      </c>
      <c r="C90" s="42" t="s">
        <v>14</v>
      </c>
      <c r="D90" s="42" t="s">
        <v>346</v>
      </c>
      <c r="E90" s="42" t="s">
        <v>331</v>
      </c>
      <c r="F90" s="42" t="s">
        <v>331</v>
      </c>
      <c r="G90" s="42" t="s">
        <v>331</v>
      </c>
      <c r="H90" s="42" t="s">
        <v>346</v>
      </c>
    </row>
    <row r="91" spans="1:8" x14ac:dyDescent="0.2">
      <c r="A91" s="42">
        <v>91711</v>
      </c>
      <c r="B91" s="42">
        <v>2</v>
      </c>
      <c r="C91" s="42" t="s">
        <v>14</v>
      </c>
      <c r="D91" s="42" t="s">
        <v>155</v>
      </c>
      <c r="E91" s="42" t="s">
        <v>322</v>
      </c>
      <c r="F91" s="42" t="s">
        <v>322</v>
      </c>
      <c r="G91" s="42" t="s">
        <v>322</v>
      </c>
      <c r="H91" s="42" t="s">
        <v>155</v>
      </c>
    </row>
    <row r="92" spans="1:8" x14ac:dyDescent="0.2">
      <c r="A92" s="42">
        <v>91711</v>
      </c>
      <c r="B92" s="42">
        <v>2</v>
      </c>
      <c r="C92" s="42" t="s">
        <v>14</v>
      </c>
      <c r="D92" s="42" t="s">
        <v>322</v>
      </c>
      <c r="E92" s="42" t="s">
        <v>322</v>
      </c>
      <c r="F92" s="42" t="s">
        <v>322</v>
      </c>
      <c r="G92" s="42" t="s">
        <v>322</v>
      </c>
      <c r="H92" s="42" t="s">
        <v>322</v>
      </c>
    </row>
    <row r="93" spans="1:8" x14ac:dyDescent="0.2">
      <c r="A93" s="42">
        <v>91711</v>
      </c>
      <c r="B93" s="42">
        <v>2</v>
      </c>
      <c r="C93" s="42" t="s">
        <v>14</v>
      </c>
      <c r="D93" s="42" t="s">
        <v>347</v>
      </c>
      <c r="E93" s="42" t="s">
        <v>347</v>
      </c>
      <c r="F93" s="42" t="s">
        <v>347</v>
      </c>
      <c r="G93" s="42" t="s">
        <v>347</v>
      </c>
      <c r="H93" s="42" t="s">
        <v>347</v>
      </c>
    </row>
    <row r="94" spans="1:8" x14ac:dyDescent="0.2">
      <c r="A94" s="42" t="s">
        <v>384</v>
      </c>
      <c r="B94" s="42">
        <v>2</v>
      </c>
      <c r="C94" s="42" t="s">
        <v>14</v>
      </c>
      <c r="D94" s="42" t="s">
        <v>323</v>
      </c>
      <c r="E94" s="42" t="s">
        <v>346</v>
      </c>
      <c r="F94" s="42" t="s">
        <v>346</v>
      </c>
      <c r="G94" s="42" t="s">
        <v>346</v>
      </c>
      <c r="H94" s="42" t="s">
        <v>346</v>
      </c>
    </row>
    <row r="95" spans="1:8" x14ac:dyDescent="0.2">
      <c r="A95" s="42">
        <v>91711</v>
      </c>
      <c r="B95" s="42">
        <v>2</v>
      </c>
      <c r="C95" s="42" t="s">
        <v>14</v>
      </c>
      <c r="D95" s="42" t="s">
        <v>329</v>
      </c>
      <c r="E95" s="42" t="s">
        <v>322</v>
      </c>
      <c r="F95" s="42" t="s">
        <v>329</v>
      </c>
      <c r="G95" s="42" t="s">
        <v>322</v>
      </c>
      <c r="H95" s="42" t="s">
        <v>329</v>
      </c>
    </row>
    <row r="96" spans="1:8" x14ac:dyDescent="0.2">
      <c r="A96" s="42" t="s">
        <v>385</v>
      </c>
      <c r="B96" s="42">
        <v>2</v>
      </c>
      <c r="C96" s="42" t="s">
        <v>14</v>
      </c>
      <c r="D96" s="42" t="s">
        <v>322</v>
      </c>
      <c r="E96" s="42" t="s">
        <v>322</v>
      </c>
      <c r="F96" s="42" t="s">
        <v>322</v>
      </c>
      <c r="G96" s="42" t="s">
        <v>322</v>
      </c>
      <c r="H96" s="42" t="s">
        <v>322</v>
      </c>
    </row>
    <row r="97" spans="1:8" x14ac:dyDescent="0.2">
      <c r="A97" s="42" t="s">
        <v>355</v>
      </c>
      <c r="B97" s="42">
        <v>2</v>
      </c>
      <c r="C97" s="42" t="s">
        <v>14</v>
      </c>
      <c r="D97" s="42" t="s">
        <v>157</v>
      </c>
      <c r="E97" s="42" t="s">
        <v>157</v>
      </c>
      <c r="F97" s="42" t="s">
        <v>157</v>
      </c>
      <c r="G97" s="42" t="s">
        <v>157</v>
      </c>
      <c r="H97" s="42" t="s">
        <v>157</v>
      </c>
    </row>
    <row r="98" spans="1:8" x14ac:dyDescent="0.2">
      <c r="A98" s="42">
        <v>91711</v>
      </c>
      <c r="B98" s="42">
        <v>2</v>
      </c>
      <c r="C98" s="42" t="s">
        <v>14</v>
      </c>
      <c r="D98" s="42" t="s">
        <v>324</v>
      </c>
      <c r="E98" s="42" t="s">
        <v>322</v>
      </c>
      <c r="F98" s="42" t="s">
        <v>324</v>
      </c>
      <c r="G98" s="42" t="s">
        <v>324</v>
      </c>
      <c r="H98" s="42" t="s">
        <v>159</v>
      </c>
    </row>
    <row r="99" spans="1:8" x14ac:dyDescent="0.2">
      <c r="A99" s="42">
        <v>91711</v>
      </c>
      <c r="B99" s="42">
        <v>2</v>
      </c>
      <c r="C99" s="42" t="s">
        <v>14</v>
      </c>
      <c r="D99" s="42" t="s">
        <v>322</v>
      </c>
      <c r="E99" s="42" t="s">
        <v>322</v>
      </c>
      <c r="F99" s="42" t="s">
        <v>322</v>
      </c>
      <c r="G99" s="42" t="s">
        <v>322</v>
      </c>
      <c r="H99" s="42" t="s">
        <v>322</v>
      </c>
    </row>
    <row r="100" spans="1:8" x14ac:dyDescent="0.2">
      <c r="A100" s="42">
        <v>91711</v>
      </c>
      <c r="B100" s="42">
        <v>2</v>
      </c>
      <c r="C100" s="42" t="s">
        <v>14</v>
      </c>
      <c r="D100" s="42" t="s">
        <v>347</v>
      </c>
      <c r="E100" s="42" t="s">
        <v>347</v>
      </c>
      <c r="F100" s="42" t="s">
        <v>322</v>
      </c>
      <c r="G100" s="42" t="s">
        <v>347</v>
      </c>
      <c r="H100" s="42" t="s">
        <v>322</v>
      </c>
    </row>
    <row r="101" spans="1:8" x14ac:dyDescent="0.2">
      <c r="A101" s="42">
        <v>91711</v>
      </c>
      <c r="B101" s="42">
        <v>2</v>
      </c>
      <c r="C101" s="42" t="s">
        <v>14</v>
      </c>
      <c r="D101" s="42" t="s">
        <v>322</v>
      </c>
      <c r="E101" s="42" t="s">
        <v>322</v>
      </c>
      <c r="F101" s="42" t="s">
        <v>322</v>
      </c>
      <c r="G101" s="42" t="s">
        <v>322</v>
      </c>
      <c r="H101" s="42" t="s">
        <v>159</v>
      </c>
    </row>
    <row r="102" spans="1:8" x14ac:dyDescent="0.2">
      <c r="A102" s="42">
        <v>91711</v>
      </c>
      <c r="B102" s="42">
        <v>2</v>
      </c>
      <c r="C102" s="42" t="s">
        <v>14</v>
      </c>
      <c r="D102" s="42" t="s">
        <v>322</v>
      </c>
      <c r="E102" s="42" t="s">
        <v>322</v>
      </c>
      <c r="F102" s="42" t="s">
        <v>322</v>
      </c>
      <c r="G102" s="42" t="s">
        <v>322</v>
      </c>
      <c r="H102" s="42" t="s">
        <v>322</v>
      </c>
    </row>
    <row r="103" spans="1:8" x14ac:dyDescent="0.2">
      <c r="A103" s="42">
        <v>91711</v>
      </c>
      <c r="B103" s="42">
        <v>2</v>
      </c>
      <c r="C103" s="42" t="s">
        <v>14</v>
      </c>
      <c r="D103" s="42" t="s">
        <v>347</v>
      </c>
      <c r="E103" s="42" t="s">
        <v>347</v>
      </c>
      <c r="F103" s="42" t="s">
        <v>322</v>
      </c>
      <c r="G103" s="42" t="s">
        <v>347</v>
      </c>
      <c r="H103" s="42" t="s">
        <v>347</v>
      </c>
    </row>
    <row r="104" spans="1:8" x14ac:dyDescent="0.2">
      <c r="A104" s="42">
        <v>91711</v>
      </c>
      <c r="B104" s="42">
        <v>2</v>
      </c>
      <c r="C104" s="42" t="s">
        <v>14</v>
      </c>
      <c r="D104" s="42" t="s">
        <v>322</v>
      </c>
      <c r="E104" s="42" t="s">
        <v>322</v>
      </c>
      <c r="F104" s="42" t="s">
        <v>322</v>
      </c>
      <c r="G104" s="42" t="s">
        <v>322</v>
      </c>
      <c r="H104" s="42" t="s">
        <v>322</v>
      </c>
    </row>
    <row r="105" spans="1:8" x14ac:dyDescent="0.2">
      <c r="A105" s="42" t="s">
        <v>354</v>
      </c>
      <c r="B105" s="42">
        <v>2.1</v>
      </c>
      <c r="C105" s="42" t="s">
        <v>14</v>
      </c>
      <c r="D105" s="42" t="s">
        <v>322</v>
      </c>
      <c r="E105" s="42" t="s">
        <v>322</v>
      </c>
      <c r="F105" s="42" t="s">
        <v>322</v>
      </c>
      <c r="G105" s="42" t="s">
        <v>322</v>
      </c>
      <c r="H105" s="42" t="s">
        <v>322</v>
      </c>
    </row>
    <row r="106" spans="1:8" x14ac:dyDescent="0.2">
      <c r="A106" s="42">
        <v>91711</v>
      </c>
      <c r="B106" s="42">
        <v>2.1</v>
      </c>
      <c r="C106" s="42" t="s">
        <v>14</v>
      </c>
      <c r="D106" s="42" t="s">
        <v>322</v>
      </c>
      <c r="E106" s="42" t="s">
        <v>328</v>
      </c>
      <c r="F106" s="42" t="s">
        <v>322</v>
      </c>
      <c r="G106" s="42" t="s">
        <v>328</v>
      </c>
      <c r="H106" s="42" t="s">
        <v>322</v>
      </c>
    </row>
    <row r="107" spans="1:8" x14ac:dyDescent="0.2">
      <c r="A107" s="42">
        <v>91711</v>
      </c>
      <c r="B107" s="42">
        <v>2.25</v>
      </c>
      <c r="C107" s="42" t="s">
        <v>14</v>
      </c>
      <c r="D107" s="42" t="s">
        <v>347</v>
      </c>
      <c r="E107" s="42" t="s">
        <v>347</v>
      </c>
      <c r="F107" s="42" t="s">
        <v>347</v>
      </c>
      <c r="G107" s="42" t="s">
        <v>347</v>
      </c>
      <c r="H107" s="42" t="s">
        <v>347</v>
      </c>
    </row>
    <row r="108" spans="1:8" x14ac:dyDescent="0.2">
      <c r="A108" s="42">
        <v>91711</v>
      </c>
      <c r="B108" s="42">
        <v>2.5</v>
      </c>
      <c r="C108" s="42" t="s">
        <v>14</v>
      </c>
      <c r="D108" s="42" t="s">
        <v>159</v>
      </c>
      <c r="E108" s="42" t="s">
        <v>159</v>
      </c>
      <c r="F108" s="42" t="s">
        <v>159</v>
      </c>
      <c r="G108" s="42" t="s">
        <v>322</v>
      </c>
      <c r="H108" s="42" t="s">
        <v>322</v>
      </c>
    </row>
    <row r="109" spans="1:8" x14ac:dyDescent="0.2">
      <c r="A109" s="42">
        <v>91763</v>
      </c>
      <c r="B109" s="42">
        <v>3</v>
      </c>
      <c r="C109" s="42" t="s">
        <v>14</v>
      </c>
      <c r="D109" s="42" t="s">
        <v>322</v>
      </c>
      <c r="E109" s="42" t="s">
        <v>159</v>
      </c>
      <c r="F109" s="42" t="s">
        <v>159</v>
      </c>
      <c r="G109" s="42" t="s">
        <v>322</v>
      </c>
      <c r="H109" s="42" t="s">
        <v>159</v>
      </c>
    </row>
    <row r="110" spans="1:8" x14ac:dyDescent="0.2">
      <c r="A110" s="42">
        <v>91711</v>
      </c>
      <c r="B110" s="42">
        <v>3</v>
      </c>
      <c r="C110" s="42" t="s">
        <v>14</v>
      </c>
      <c r="D110" s="42" t="s">
        <v>322</v>
      </c>
      <c r="E110" s="42" t="s">
        <v>322</v>
      </c>
      <c r="F110" s="42" t="s">
        <v>322</v>
      </c>
      <c r="G110" s="42" t="s">
        <v>322</v>
      </c>
      <c r="H110" s="42" t="s">
        <v>322</v>
      </c>
    </row>
    <row r="111" spans="1:8" x14ac:dyDescent="0.2">
      <c r="A111" s="42">
        <v>91767</v>
      </c>
      <c r="B111" s="42">
        <v>3</v>
      </c>
      <c r="C111" s="42" t="s">
        <v>14</v>
      </c>
      <c r="D111" s="42" t="s">
        <v>322</v>
      </c>
      <c r="E111" s="42" t="s">
        <v>322</v>
      </c>
      <c r="F111" s="42" t="s">
        <v>322</v>
      </c>
      <c r="G111" s="42" t="s">
        <v>322</v>
      </c>
      <c r="H111" s="42" t="s">
        <v>322</v>
      </c>
    </row>
    <row r="112" spans="1:8" x14ac:dyDescent="0.2">
      <c r="A112" s="42">
        <v>91711</v>
      </c>
      <c r="B112" s="42">
        <v>3</v>
      </c>
      <c r="C112" s="42" t="s">
        <v>14</v>
      </c>
      <c r="D112" s="42" t="s">
        <v>322</v>
      </c>
      <c r="E112" s="42" t="s">
        <v>322</v>
      </c>
      <c r="F112" s="42" t="s">
        <v>322</v>
      </c>
      <c r="G112" s="42" t="s">
        <v>322</v>
      </c>
      <c r="H112" s="42" t="s">
        <v>322</v>
      </c>
    </row>
    <row r="113" spans="1:8" x14ac:dyDescent="0.2">
      <c r="A113" s="42">
        <v>91767</v>
      </c>
      <c r="B113" s="42">
        <v>3</v>
      </c>
      <c r="C113" s="42" t="s">
        <v>14</v>
      </c>
      <c r="D113" s="42" t="s">
        <v>322</v>
      </c>
      <c r="E113" s="42" t="s">
        <v>322</v>
      </c>
      <c r="F113" s="42" t="s">
        <v>322</v>
      </c>
      <c r="G113" s="42" t="s">
        <v>322</v>
      </c>
      <c r="H113" s="42" t="s">
        <v>322</v>
      </c>
    </row>
    <row r="114" spans="1:8" x14ac:dyDescent="0.2">
      <c r="A114" s="42">
        <v>91711</v>
      </c>
      <c r="B114" s="42">
        <v>3</v>
      </c>
      <c r="C114" s="42" t="s">
        <v>14</v>
      </c>
      <c r="D114" s="42" t="s">
        <v>322</v>
      </c>
      <c r="E114" s="42" t="s">
        <v>322</v>
      </c>
      <c r="F114" s="42" t="s">
        <v>322</v>
      </c>
      <c r="G114" s="42" t="s">
        <v>322</v>
      </c>
      <c r="H114" s="42" t="s">
        <v>159</v>
      </c>
    </row>
    <row r="115" spans="1:8" x14ac:dyDescent="0.2">
      <c r="A115" s="42">
        <v>91711</v>
      </c>
      <c r="B115" s="42">
        <v>3</v>
      </c>
      <c r="C115" s="42" t="s">
        <v>14</v>
      </c>
      <c r="D115" s="42" t="s">
        <v>322</v>
      </c>
      <c r="E115" s="42" t="s">
        <v>322</v>
      </c>
      <c r="F115" s="42" t="s">
        <v>322</v>
      </c>
      <c r="G115" s="42" t="s">
        <v>322</v>
      </c>
      <c r="H115" s="42" t="s">
        <v>322</v>
      </c>
    </row>
    <row r="116" spans="1:8" x14ac:dyDescent="0.2">
      <c r="A116" s="42" t="s">
        <v>375</v>
      </c>
      <c r="B116" s="42">
        <v>3</v>
      </c>
      <c r="C116" s="42" t="s">
        <v>14</v>
      </c>
      <c r="D116" s="42" t="s">
        <v>159</v>
      </c>
      <c r="E116" s="42" t="s">
        <v>322</v>
      </c>
      <c r="F116" s="42" t="s">
        <v>159</v>
      </c>
      <c r="G116" s="42" t="s">
        <v>159</v>
      </c>
      <c r="H116" s="42" t="s">
        <v>159</v>
      </c>
    </row>
    <row r="117" spans="1:8" x14ac:dyDescent="0.2">
      <c r="A117" s="42">
        <v>91786</v>
      </c>
      <c r="B117" s="42">
        <v>3</v>
      </c>
      <c r="C117" s="42" t="s">
        <v>14</v>
      </c>
      <c r="D117" s="42" t="s">
        <v>322</v>
      </c>
      <c r="E117" s="42" t="s">
        <v>322</v>
      </c>
      <c r="F117" s="42" t="s">
        <v>322</v>
      </c>
      <c r="G117" s="42" t="s">
        <v>322</v>
      </c>
      <c r="H117" s="42" t="s">
        <v>322</v>
      </c>
    </row>
    <row r="118" spans="1:8" x14ac:dyDescent="0.2">
      <c r="A118" s="42">
        <v>91711</v>
      </c>
      <c r="B118" s="42">
        <v>3</v>
      </c>
      <c r="C118" s="42" t="s">
        <v>14</v>
      </c>
      <c r="D118" s="42" t="s">
        <v>322</v>
      </c>
      <c r="E118" s="42" t="s">
        <v>322</v>
      </c>
      <c r="F118" s="42" t="s">
        <v>322</v>
      </c>
      <c r="G118" s="42" t="s">
        <v>322</v>
      </c>
      <c r="H118" s="42" t="s">
        <v>322</v>
      </c>
    </row>
    <row r="119" spans="1:8" x14ac:dyDescent="0.2">
      <c r="A119" s="42" t="s">
        <v>361</v>
      </c>
      <c r="B119" s="42">
        <v>3</v>
      </c>
      <c r="C119" s="42" t="s">
        <v>14</v>
      </c>
      <c r="D119" s="42" t="s">
        <v>328</v>
      </c>
      <c r="E119" s="42" t="s">
        <v>322</v>
      </c>
      <c r="F119" s="42" t="s">
        <v>336</v>
      </c>
      <c r="G119" s="42" t="s">
        <v>326</v>
      </c>
      <c r="H119" s="42" t="s">
        <v>326</v>
      </c>
    </row>
    <row r="120" spans="1:8" x14ac:dyDescent="0.2">
      <c r="A120" s="42">
        <v>91711</v>
      </c>
      <c r="B120" s="42">
        <v>3</v>
      </c>
      <c r="C120" s="42" t="s">
        <v>14</v>
      </c>
      <c r="D120" s="42" t="s">
        <v>322</v>
      </c>
      <c r="E120" s="42" t="s">
        <v>322</v>
      </c>
      <c r="F120" s="42" t="s">
        <v>322</v>
      </c>
      <c r="G120" s="42" t="s">
        <v>322</v>
      </c>
      <c r="H120" s="42" t="s">
        <v>322</v>
      </c>
    </row>
    <row r="121" spans="1:8" x14ac:dyDescent="0.2">
      <c r="A121" s="42" t="s">
        <v>375</v>
      </c>
      <c r="B121" s="42">
        <v>3</v>
      </c>
      <c r="C121" s="42" t="s">
        <v>14</v>
      </c>
      <c r="D121" s="42" t="s">
        <v>322</v>
      </c>
      <c r="E121" s="42" t="s">
        <v>322</v>
      </c>
      <c r="F121" s="42" t="s">
        <v>322</v>
      </c>
      <c r="G121" s="42" t="s">
        <v>322</v>
      </c>
      <c r="H121" s="42" t="s">
        <v>322</v>
      </c>
    </row>
    <row r="122" spans="1:8" x14ac:dyDescent="0.2">
      <c r="A122" s="42">
        <v>91711</v>
      </c>
      <c r="B122" s="42">
        <v>3</v>
      </c>
      <c r="C122" s="42" t="s">
        <v>14</v>
      </c>
      <c r="D122" s="42" t="s">
        <v>159</v>
      </c>
      <c r="E122" s="42" t="s">
        <v>322</v>
      </c>
      <c r="F122" s="42" t="s">
        <v>322</v>
      </c>
      <c r="G122" s="42" t="s">
        <v>159</v>
      </c>
      <c r="H122" s="42" t="s">
        <v>322</v>
      </c>
    </row>
    <row r="123" spans="1:8" x14ac:dyDescent="0.2">
      <c r="A123" s="42">
        <v>91750</v>
      </c>
      <c r="B123" s="42">
        <v>3.5</v>
      </c>
      <c r="C123" s="42" t="s">
        <v>14</v>
      </c>
      <c r="D123" s="42" t="s">
        <v>322</v>
      </c>
      <c r="E123" s="42" t="s">
        <v>322</v>
      </c>
      <c r="F123" s="42" t="s">
        <v>322</v>
      </c>
      <c r="G123" s="42" t="s">
        <v>322</v>
      </c>
      <c r="H123" s="42" t="s">
        <v>322</v>
      </c>
    </row>
    <row r="124" spans="1:8" x14ac:dyDescent="0.2">
      <c r="A124" s="42">
        <v>91767</v>
      </c>
      <c r="B124" s="42">
        <v>3.5</v>
      </c>
      <c r="C124" s="42" t="s">
        <v>14</v>
      </c>
      <c r="D124" s="42" t="s">
        <v>322</v>
      </c>
      <c r="E124" s="42" t="s">
        <v>329</v>
      </c>
      <c r="F124" s="42" t="s">
        <v>322</v>
      </c>
      <c r="G124" s="42" t="s">
        <v>329</v>
      </c>
      <c r="H124" s="42" t="s">
        <v>323</v>
      </c>
    </row>
    <row r="125" spans="1:8" x14ac:dyDescent="0.2">
      <c r="A125" s="42">
        <v>91750</v>
      </c>
      <c r="B125" s="42">
        <v>3.8</v>
      </c>
      <c r="C125" s="42" t="s">
        <v>14</v>
      </c>
      <c r="D125" s="42" t="s">
        <v>328</v>
      </c>
      <c r="E125" s="42" t="s">
        <v>322</v>
      </c>
      <c r="F125" s="42" t="s">
        <v>328</v>
      </c>
      <c r="G125" s="42" t="s">
        <v>322</v>
      </c>
      <c r="H125" s="42" t="s">
        <v>322</v>
      </c>
    </row>
    <row r="126" spans="1:8" x14ac:dyDescent="0.2">
      <c r="A126" s="42">
        <v>91767</v>
      </c>
      <c r="B126" s="42">
        <v>4</v>
      </c>
      <c r="C126" s="42" t="s">
        <v>14</v>
      </c>
      <c r="D126" s="42" t="s">
        <v>322</v>
      </c>
      <c r="E126" s="42" t="s">
        <v>322</v>
      </c>
      <c r="F126" s="42" t="s">
        <v>322</v>
      </c>
      <c r="G126" s="42" t="s">
        <v>322</v>
      </c>
      <c r="H126" s="42" t="s">
        <v>322</v>
      </c>
    </row>
    <row r="127" spans="1:8" x14ac:dyDescent="0.2">
      <c r="A127" s="42" t="s">
        <v>386</v>
      </c>
      <c r="B127" s="42">
        <v>4</v>
      </c>
      <c r="C127" s="42" t="s">
        <v>14</v>
      </c>
      <c r="D127" s="42" t="s">
        <v>322</v>
      </c>
      <c r="E127" s="42" t="s">
        <v>322</v>
      </c>
      <c r="F127" s="42" t="s">
        <v>322</v>
      </c>
      <c r="G127" s="42" t="s">
        <v>322</v>
      </c>
      <c r="H127" s="42" t="s">
        <v>322</v>
      </c>
    </row>
    <row r="128" spans="1:8" x14ac:dyDescent="0.2">
      <c r="A128" s="42" t="s">
        <v>372</v>
      </c>
      <c r="B128" s="42">
        <v>4</v>
      </c>
      <c r="C128" s="42" t="s">
        <v>14</v>
      </c>
      <c r="D128" s="42" t="s">
        <v>345</v>
      </c>
      <c r="E128" s="42" t="s">
        <v>345</v>
      </c>
      <c r="F128" s="42" t="s">
        <v>345</v>
      </c>
      <c r="G128" s="42" t="s">
        <v>345</v>
      </c>
      <c r="H128" s="42" t="s">
        <v>159</v>
      </c>
    </row>
    <row r="129" spans="1:8" x14ac:dyDescent="0.2">
      <c r="A129" s="42">
        <v>91767</v>
      </c>
      <c r="B129" s="42">
        <v>4.5</v>
      </c>
      <c r="C129" s="42" t="s">
        <v>14</v>
      </c>
      <c r="D129" s="42" t="s">
        <v>323</v>
      </c>
      <c r="E129" s="42" t="s">
        <v>322</v>
      </c>
      <c r="F129" s="42" t="s">
        <v>323</v>
      </c>
      <c r="G129" s="42" t="s">
        <v>322</v>
      </c>
      <c r="H129" s="42" t="s">
        <v>323</v>
      </c>
    </row>
    <row r="130" spans="1:8" x14ac:dyDescent="0.2">
      <c r="A130" s="42">
        <v>91767</v>
      </c>
      <c r="B130" s="42">
        <v>4.5999999999999996</v>
      </c>
      <c r="C130" s="42" t="s">
        <v>14</v>
      </c>
      <c r="D130" s="42" t="s">
        <v>153</v>
      </c>
      <c r="E130" s="42" t="s">
        <v>153</v>
      </c>
      <c r="F130" s="42" t="s">
        <v>153</v>
      </c>
      <c r="G130" s="42" t="s">
        <v>347</v>
      </c>
      <c r="H130" s="42" t="s">
        <v>347</v>
      </c>
    </row>
    <row r="131" spans="1:8" x14ac:dyDescent="0.2">
      <c r="A131" s="42" t="s">
        <v>375</v>
      </c>
      <c r="B131" s="42">
        <v>5</v>
      </c>
      <c r="C131" s="42" t="s">
        <v>14</v>
      </c>
      <c r="D131" s="42" t="s">
        <v>322</v>
      </c>
      <c r="E131" s="42" t="s">
        <v>322</v>
      </c>
      <c r="F131" s="42" t="s">
        <v>322</v>
      </c>
      <c r="G131" s="42" t="s">
        <v>322</v>
      </c>
      <c r="H131" s="42" t="s">
        <v>322</v>
      </c>
    </row>
    <row r="132" spans="1:8" x14ac:dyDescent="0.2">
      <c r="A132" s="42" t="s">
        <v>387</v>
      </c>
      <c r="B132" s="42">
        <v>5</v>
      </c>
      <c r="C132" s="42" t="s">
        <v>14</v>
      </c>
      <c r="D132" s="42" t="s">
        <v>322</v>
      </c>
      <c r="E132" s="42" t="s">
        <v>322</v>
      </c>
      <c r="F132" s="42" t="s">
        <v>322</v>
      </c>
      <c r="G132" s="42" t="s">
        <v>322</v>
      </c>
      <c r="H132" s="42" t="s">
        <v>159</v>
      </c>
    </row>
    <row r="133" spans="1:8" x14ac:dyDescent="0.2">
      <c r="A133" s="42">
        <v>91711</v>
      </c>
      <c r="B133" s="42">
        <v>5</v>
      </c>
      <c r="C133" s="42" t="s">
        <v>14</v>
      </c>
      <c r="D133" s="42" t="s">
        <v>322</v>
      </c>
      <c r="E133" s="42" t="s">
        <v>322</v>
      </c>
      <c r="F133" s="42" t="s">
        <v>322</v>
      </c>
      <c r="G133" s="42" t="s">
        <v>322</v>
      </c>
      <c r="H133" s="42" t="s">
        <v>322</v>
      </c>
    </row>
    <row r="134" spans="1:8" x14ac:dyDescent="0.2">
      <c r="A134" s="42">
        <v>91784</v>
      </c>
      <c r="B134" s="42">
        <v>5</v>
      </c>
      <c r="C134" s="42" t="s">
        <v>14</v>
      </c>
      <c r="D134" s="42" t="s">
        <v>322</v>
      </c>
      <c r="E134" s="42" t="s">
        <v>322</v>
      </c>
      <c r="F134" s="42" t="s">
        <v>322</v>
      </c>
      <c r="G134" s="42" t="s">
        <v>322</v>
      </c>
      <c r="H134" s="42" t="s">
        <v>322</v>
      </c>
    </row>
    <row r="135" spans="1:8" x14ac:dyDescent="0.2">
      <c r="A135" s="42">
        <v>91784</v>
      </c>
      <c r="B135" s="42">
        <v>5</v>
      </c>
      <c r="C135" s="42" t="s">
        <v>14</v>
      </c>
      <c r="D135" s="42" t="s">
        <v>326</v>
      </c>
      <c r="E135" s="42" t="s">
        <v>326</v>
      </c>
      <c r="F135" s="42" t="s">
        <v>326</v>
      </c>
      <c r="G135" s="42" t="s">
        <v>326</v>
      </c>
      <c r="H135" s="42" t="s">
        <v>326</v>
      </c>
    </row>
    <row r="136" spans="1:8" x14ac:dyDescent="0.2">
      <c r="A136" s="42">
        <v>91750</v>
      </c>
      <c r="B136" s="42">
        <v>7.3</v>
      </c>
      <c r="C136" s="42" t="s">
        <v>14</v>
      </c>
      <c r="D136" s="42" t="s">
        <v>159</v>
      </c>
      <c r="E136" s="42" t="s">
        <v>159</v>
      </c>
      <c r="F136" s="42" t="s">
        <v>159</v>
      </c>
      <c r="G136" s="42" t="s">
        <v>159</v>
      </c>
      <c r="H136" s="42" t="s">
        <v>322</v>
      </c>
    </row>
    <row r="137" spans="1:8" x14ac:dyDescent="0.2">
      <c r="A137" s="42">
        <v>91784</v>
      </c>
      <c r="B137" s="42">
        <v>8</v>
      </c>
      <c r="C137" s="42" t="s">
        <v>14</v>
      </c>
      <c r="D137" s="42" t="s">
        <v>322</v>
      </c>
      <c r="E137" s="42" t="s">
        <v>322</v>
      </c>
      <c r="F137" s="42" t="s">
        <v>322</v>
      </c>
      <c r="G137" s="42" t="s">
        <v>159</v>
      </c>
      <c r="H137" s="42" t="s">
        <v>159</v>
      </c>
    </row>
    <row r="138" spans="1:8" x14ac:dyDescent="0.2">
      <c r="A138" s="42">
        <v>91759</v>
      </c>
      <c r="B138" s="42">
        <v>10</v>
      </c>
      <c r="C138" s="42" t="s">
        <v>14</v>
      </c>
      <c r="D138" s="42" t="s">
        <v>322</v>
      </c>
      <c r="E138" s="42" t="s">
        <v>322</v>
      </c>
      <c r="F138" s="42" t="s">
        <v>325</v>
      </c>
      <c r="G138" s="42" t="s">
        <v>322</v>
      </c>
      <c r="H138" s="42" t="s">
        <v>325</v>
      </c>
    </row>
    <row r="139" spans="1:8" x14ac:dyDescent="0.2">
      <c r="A139" s="42">
        <v>91739</v>
      </c>
      <c r="B139" s="42">
        <v>14.5</v>
      </c>
      <c r="C139" s="42" t="s">
        <v>14</v>
      </c>
      <c r="D139" s="42" t="s">
        <v>325</v>
      </c>
      <c r="E139" s="42" t="s">
        <v>325</v>
      </c>
      <c r="F139" s="42" t="s">
        <v>325</v>
      </c>
      <c r="G139" s="42" t="s">
        <v>325</v>
      </c>
      <c r="H139" s="42" t="s">
        <v>325</v>
      </c>
    </row>
    <row r="140" spans="1:8" x14ac:dyDescent="0.2">
      <c r="A140" s="42">
        <v>91739</v>
      </c>
      <c r="B140" s="42">
        <v>15</v>
      </c>
      <c r="C140" s="42" t="s">
        <v>14</v>
      </c>
      <c r="D140" s="42" t="s">
        <v>328</v>
      </c>
      <c r="E140" s="42" t="s">
        <v>328</v>
      </c>
      <c r="F140" s="42" t="s">
        <v>328</v>
      </c>
      <c r="G140" s="42" t="s">
        <v>328</v>
      </c>
      <c r="H140" s="42" t="s">
        <v>328</v>
      </c>
    </row>
    <row r="141" spans="1:8" x14ac:dyDescent="0.2">
      <c r="A141" s="42">
        <v>91016</v>
      </c>
      <c r="B141" s="42">
        <v>19</v>
      </c>
      <c r="C141" s="42" t="s">
        <v>14</v>
      </c>
      <c r="D141" s="42" t="s">
        <v>322</v>
      </c>
      <c r="E141" s="42" t="s">
        <v>322</v>
      </c>
      <c r="F141" s="42" t="s">
        <v>322</v>
      </c>
      <c r="G141" s="42" t="s">
        <v>322</v>
      </c>
      <c r="H141" s="42" t="s">
        <v>159</v>
      </c>
    </row>
    <row r="142" spans="1:8" x14ac:dyDescent="0.2">
      <c r="A142" s="42">
        <v>91744</v>
      </c>
      <c r="B142" s="42">
        <v>20</v>
      </c>
      <c r="C142" s="42" t="s">
        <v>14</v>
      </c>
      <c r="D142" s="42" t="s">
        <v>322</v>
      </c>
      <c r="E142" s="42" t="s">
        <v>322</v>
      </c>
      <c r="F142" s="42" t="s">
        <v>322</v>
      </c>
      <c r="G142" s="42" t="s">
        <v>322</v>
      </c>
      <c r="H142" s="42" t="s">
        <v>322</v>
      </c>
    </row>
    <row r="143" spans="1:8" x14ac:dyDescent="0.2">
      <c r="A143" s="42">
        <v>92831</v>
      </c>
      <c r="B143" s="42">
        <v>20</v>
      </c>
      <c r="C143" s="42" t="s">
        <v>14</v>
      </c>
      <c r="D143" s="42" t="s">
        <v>324</v>
      </c>
      <c r="E143" s="42" t="s">
        <v>159</v>
      </c>
      <c r="F143" s="42" t="s">
        <v>324</v>
      </c>
      <c r="G143" s="42" t="s">
        <v>159</v>
      </c>
      <c r="H143" s="42" t="s">
        <v>159</v>
      </c>
    </row>
    <row r="144" spans="1:8" x14ac:dyDescent="0.2">
      <c r="A144" s="42">
        <v>91006</v>
      </c>
      <c r="B144" s="42">
        <v>20</v>
      </c>
      <c r="C144" s="42" t="s">
        <v>14</v>
      </c>
      <c r="D144" s="42" t="s">
        <v>322</v>
      </c>
      <c r="E144" s="42" t="s">
        <v>322</v>
      </c>
      <c r="F144" s="42" t="s">
        <v>322</v>
      </c>
      <c r="G144" s="42" t="s">
        <v>322</v>
      </c>
      <c r="H144" s="42" t="s">
        <v>322</v>
      </c>
    </row>
    <row r="145" spans="1:8" x14ac:dyDescent="0.2">
      <c r="A145" s="42">
        <v>92835</v>
      </c>
      <c r="B145" s="42">
        <v>22</v>
      </c>
      <c r="C145" s="42" t="s">
        <v>14</v>
      </c>
      <c r="D145" s="42" t="s">
        <v>322</v>
      </c>
      <c r="E145" s="42" t="s">
        <v>322</v>
      </c>
      <c r="F145" s="42" t="s">
        <v>322</v>
      </c>
      <c r="G145" s="42" t="s">
        <v>322</v>
      </c>
      <c r="H145" s="42" t="s">
        <v>323</v>
      </c>
    </row>
    <row r="146" spans="1:8" x14ac:dyDescent="0.2">
      <c r="A146" s="42" t="s">
        <v>388</v>
      </c>
      <c r="B146" s="42">
        <v>23</v>
      </c>
      <c r="C146" s="42" t="s">
        <v>14</v>
      </c>
      <c r="D146" s="42" t="s">
        <v>322</v>
      </c>
      <c r="E146" s="42" t="s">
        <v>159</v>
      </c>
      <c r="F146" s="42" t="s">
        <v>159</v>
      </c>
      <c r="G146" s="42" t="s">
        <v>159</v>
      </c>
      <c r="H146" s="42" t="s">
        <v>159</v>
      </c>
    </row>
    <row r="147" spans="1:8" x14ac:dyDescent="0.2">
      <c r="A147" s="42">
        <v>91775</v>
      </c>
      <c r="B147" s="42">
        <v>23</v>
      </c>
      <c r="C147" s="42" t="s">
        <v>14</v>
      </c>
      <c r="D147" s="42" t="s">
        <v>322</v>
      </c>
      <c r="E147" s="42" t="s">
        <v>322</v>
      </c>
      <c r="F147" s="42" t="s">
        <v>322</v>
      </c>
      <c r="G147" s="42" t="s">
        <v>322</v>
      </c>
      <c r="H147" s="42" t="s">
        <v>322</v>
      </c>
    </row>
    <row r="148" spans="1:8" x14ac:dyDescent="0.2">
      <c r="A148" s="42" t="s">
        <v>389</v>
      </c>
      <c r="B148" s="42">
        <v>23</v>
      </c>
      <c r="C148" s="42" t="s">
        <v>14</v>
      </c>
      <c r="D148" s="42" t="s">
        <v>322</v>
      </c>
      <c r="E148" s="42" t="s">
        <v>322</v>
      </c>
      <c r="F148" s="42" t="s">
        <v>322</v>
      </c>
      <c r="G148" s="42" t="s">
        <v>322</v>
      </c>
      <c r="H148" s="42" t="s">
        <v>322</v>
      </c>
    </row>
    <row r="149" spans="1:8" x14ac:dyDescent="0.2">
      <c r="A149" s="42">
        <v>91780</v>
      </c>
      <c r="B149" s="42">
        <v>25</v>
      </c>
      <c r="C149" s="42" t="s">
        <v>14</v>
      </c>
      <c r="D149" s="42" t="s">
        <v>159</v>
      </c>
      <c r="E149" s="42" t="s">
        <v>159</v>
      </c>
      <c r="F149" s="42" t="s">
        <v>159</v>
      </c>
      <c r="G149" s="42" t="s">
        <v>322</v>
      </c>
      <c r="H149" s="42" t="s">
        <v>159</v>
      </c>
    </row>
    <row r="150" spans="1:8" x14ac:dyDescent="0.2">
      <c r="A150" s="42" t="s">
        <v>390</v>
      </c>
      <c r="B150" s="42">
        <v>25</v>
      </c>
      <c r="C150" s="42" t="s">
        <v>14</v>
      </c>
      <c r="D150" s="42" t="s">
        <v>322</v>
      </c>
      <c r="E150" s="42" t="s">
        <v>159</v>
      </c>
      <c r="F150" s="42" t="s">
        <v>322</v>
      </c>
      <c r="G150" s="42" t="s">
        <v>159</v>
      </c>
      <c r="H150" s="42" t="s">
        <v>322</v>
      </c>
    </row>
    <row r="151" spans="1:8" x14ac:dyDescent="0.2">
      <c r="A151" s="42">
        <v>91107</v>
      </c>
      <c r="B151" s="42">
        <v>25</v>
      </c>
      <c r="C151" s="42" t="s">
        <v>14</v>
      </c>
      <c r="D151" s="42" t="s">
        <v>322</v>
      </c>
      <c r="E151" s="42" t="s">
        <v>322</v>
      </c>
      <c r="F151" s="42" t="s">
        <v>322</v>
      </c>
      <c r="G151" s="42" t="s">
        <v>322</v>
      </c>
      <c r="H151" s="42" t="s">
        <v>328</v>
      </c>
    </row>
    <row r="152" spans="1:8" x14ac:dyDescent="0.2">
      <c r="A152" s="42">
        <v>91104</v>
      </c>
      <c r="B152" s="42">
        <v>25</v>
      </c>
      <c r="C152" s="42" t="s">
        <v>14</v>
      </c>
      <c r="D152" s="42" t="s">
        <v>322</v>
      </c>
      <c r="E152" s="42" t="s">
        <v>322</v>
      </c>
      <c r="F152" s="42" t="s">
        <v>322</v>
      </c>
      <c r="G152" s="42" t="s">
        <v>322</v>
      </c>
      <c r="H152" s="42" t="s">
        <v>322</v>
      </c>
    </row>
    <row r="153" spans="1:8" x14ac:dyDescent="0.2">
      <c r="A153" s="42">
        <v>91101</v>
      </c>
      <c r="B153" s="42">
        <v>25</v>
      </c>
      <c r="C153" s="42" t="s">
        <v>14</v>
      </c>
      <c r="D153" s="42" t="s">
        <v>331</v>
      </c>
      <c r="E153" s="42" t="s">
        <v>331</v>
      </c>
      <c r="F153" s="42" t="s">
        <v>331</v>
      </c>
      <c r="G153" s="42" t="s">
        <v>331</v>
      </c>
      <c r="H153" s="42" t="s">
        <v>323</v>
      </c>
    </row>
    <row r="154" spans="1:8" x14ac:dyDescent="0.2">
      <c r="A154" s="42">
        <v>91104</v>
      </c>
      <c r="B154" s="42">
        <v>25</v>
      </c>
      <c r="C154" s="42" t="s">
        <v>14</v>
      </c>
      <c r="D154" s="42" t="s">
        <v>322</v>
      </c>
      <c r="E154" s="42" t="s">
        <v>322</v>
      </c>
      <c r="F154" s="42" t="s">
        <v>322</v>
      </c>
      <c r="G154" s="42" t="s">
        <v>322</v>
      </c>
      <c r="H154" s="42" t="s">
        <v>322</v>
      </c>
    </row>
    <row r="155" spans="1:8" x14ac:dyDescent="0.2">
      <c r="A155" s="42">
        <v>91104</v>
      </c>
      <c r="B155" s="42">
        <v>25</v>
      </c>
      <c r="C155" s="42" t="s">
        <v>14</v>
      </c>
      <c r="D155" s="42" t="s">
        <v>322</v>
      </c>
      <c r="E155" s="42" t="s">
        <v>322</v>
      </c>
      <c r="F155" s="42" t="s">
        <v>322</v>
      </c>
      <c r="G155" s="42" t="s">
        <v>322</v>
      </c>
      <c r="H155" s="42" t="s">
        <v>322</v>
      </c>
    </row>
    <row r="156" spans="1:8" x14ac:dyDescent="0.2">
      <c r="A156" s="42" t="s">
        <v>391</v>
      </c>
      <c r="B156" s="42">
        <v>25</v>
      </c>
      <c r="C156" s="42" t="s">
        <v>14</v>
      </c>
      <c r="D156" s="42" t="s">
        <v>159</v>
      </c>
      <c r="E156" s="42" t="s">
        <v>159</v>
      </c>
      <c r="F156" s="42" t="s">
        <v>159</v>
      </c>
      <c r="G156" s="42" t="s">
        <v>159</v>
      </c>
      <c r="H156" s="42" t="s">
        <v>322</v>
      </c>
    </row>
    <row r="157" spans="1:8" x14ac:dyDescent="0.2">
      <c r="A157" s="42">
        <v>90063</v>
      </c>
      <c r="B157" s="42">
        <v>26</v>
      </c>
      <c r="C157" s="42" t="s">
        <v>14</v>
      </c>
      <c r="D157" s="42" t="s">
        <v>155</v>
      </c>
      <c r="E157" s="42" t="s">
        <v>155</v>
      </c>
      <c r="F157" s="42" t="s">
        <v>155</v>
      </c>
      <c r="G157" s="42" t="s">
        <v>155</v>
      </c>
      <c r="H157" s="42" t="s">
        <v>155</v>
      </c>
    </row>
    <row r="158" spans="1:8" x14ac:dyDescent="0.2">
      <c r="A158" s="42">
        <v>91104</v>
      </c>
      <c r="B158" s="42">
        <v>26</v>
      </c>
      <c r="C158" s="42" t="s">
        <v>14</v>
      </c>
      <c r="D158" s="42" t="s">
        <v>322</v>
      </c>
      <c r="E158" s="42" t="s">
        <v>322</v>
      </c>
      <c r="F158" s="42" t="s">
        <v>322</v>
      </c>
      <c r="G158" s="42" t="s">
        <v>322</v>
      </c>
      <c r="H158" s="42" t="s">
        <v>159</v>
      </c>
    </row>
    <row r="159" spans="1:8" x14ac:dyDescent="0.2">
      <c r="A159" s="42">
        <v>91106</v>
      </c>
      <c r="B159" s="42">
        <v>27</v>
      </c>
      <c r="C159" s="42" t="s">
        <v>14</v>
      </c>
      <c r="D159" s="42" t="s">
        <v>336</v>
      </c>
      <c r="E159" s="42" t="s">
        <v>336</v>
      </c>
      <c r="F159" s="42" t="s">
        <v>336</v>
      </c>
      <c r="G159" s="42" t="s">
        <v>392</v>
      </c>
      <c r="H159" s="42" t="s">
        <v>159</v>
      </c>
    </row>
    <row r="160" spans="1:8" x14ac:dyDescent="0.2">
      <c r="A160" s="42">
        <v>91030</v>
      </c>
      <c r="B160" s="42">
        <v>27</v>
      </c>
      <c r="C160" s="42" t="s">
        <v>14</v>
      </c>
      <c r="D160" s="42" t="s">
        <v>322</v>
      </c>
      <c r="E160" s="42" t="s">
        <v>159</v>
      </c>
      <c r="F160" s="42" t="s">
        <v>159</v>
      </c>
      <c r="G160" s="42" t="s">
        <v>159</v>
      </c>
      <c r="H160" s="42" t="s">
        <v>322</v>
      </c>
    </row>
    <row r="161" spans="1:8" x14ac:dyDescent="0.2">
      <c r="A161" s="42">
        <v>91104</v>
      </c>
      <c r="B161" s="42">
        <v>27</v>
      </c>
      <c r="C161" s="42" t="s">
        <v>14</v>
      </c>
      <c r="D161" s="42" t="s">
        <v>331</v>
      </c>
      <c r="E161" s="42" t="s">
        <v>323</v>
      </c>
      <c r="F161" s="42" t="s">
        <v>331</v>
      </c>
      <c r="G161" s="42" t="s">
        <v>331</v>
      </c>
      <c r="H161" s="42" t="s">
        <v>328</v>
      </c>
    </row>
    <row r="162" spans="1:8" x14ac:dyDescent="0.2">
      <c r="A162" s="42">
        <v>91104</v>
      </c>
      <c r="B162" s="42">
        <v>28</v>
      </c>
      <c r="C162" s="42" t="s">
        <v>14</v>
      </c>
      <c r="D162" s="42" t="s">
        <v>322</v>
      </c>
      <c r="E162" s="42" t="s">
        <v>322</v>
      </c>
      <c r="F162" s="42" t="s">
        <v>322</v>
      </c>
      <c r="G162" s="42" t="s">
        <v>322</v>
      </c>
      <c r="H162" s="42" t="s">
        <v>322</v>
      </c>
    </row>
    <row r="163" spans="1:8" x14ac:dyDescent="0.2">
      <c r="A163" s="42">
        <v>91101</v>
      </c>
      <c r="B163" s="42">
        <v>28</v>
      </c>
      <c r="C163" s="42" t="s">
        <v>14</v>
      </c>
      <c r="D163" s="42" t="s">
        <v>157</v>
      </c>
      <c r="E163" s="42" t="s">
        <v>157</v>
      </c>
      <c r="F163" s="42" t="s">
        <v>157</v>
      </c>
      <c r="G163" s="42" t="s">
        <v>157</v>
      </c>
      <c r="H163" s="42" t="s">
        <v>157</v>
      </c>
    </row>
    <row r="164" spans="1:8" x14ac:dyDescent="0.2">
      <c r="A164" s="42">
        <v>91101</v>
      </c>
      <c r="B164" s="42">
        <v>28</v>
      </c>
      <c r="C164" s="42" t="s">
        <v>14</v>
      </c>
      <c r="D164" s="42" t="s">
        <v>322</v>
      </c>
      <c r="E164" s="42" t="s">
        <v>159</v>
      </c>
      <c r="F164" s="42" t="s">
        <v>322</v>
      </c>
      <c r="G164" s="42" t="s">
        <v>159</v>
      </c>
      <c r="H164" s="42" t="s">
        <v>159</v>
      </c>
    </row>
    <row r="165" spans="1:8" x14ac:dyDescent="0.2">
      <c r="A165" s="42">
        <v>91106</v>
      </c>
      <c r="B165" s="42">
        <v>28</v>
      </c>
      <c r="C165" s="42" t="s">
        <v>14</v>
      </c>
      <c r="D165" s="42" t="s">
        <v>322</v>
      </c>
      <c r="E165" s="42" t="s">
        <v>322</v>
      </c>
      <c r="F165" s="42" t="s">
        <v>322</v>
      </c>
      <c r="G165" s="42" t="s">
        <v>322</v>
      </c>
      <c r="H165" s="42" t="s">
        <v>322</v>
      </c>
    </row>
    <row r="166" spans="1:8" x14ac:dyDescent="0.2">
      <c r="A166" s="42" t="s">
        <v>369</v>
      </c>
      <c r="B166" s="42">
        <v>28</v>
      </c>
      <c r="C166" s="42" t="s">
        <v>14</v>
      </c>
      <c r="D166" s="42" t="s">
        <v>322</v>
      </c>
      <c r="E166" s="42" t="s">
        <v>322</v>
      </c>
      <c r="F166" s="42" t="s">
        <v>322</v>
      </c>
      <c r="G166" s="42" t="s">
        <v>159</v>
      </c>
      <c r="H166" s="42" t="s">
        <v>159</v>
      </c>
    </row>
    <row r="167" spans="1:8" x14ac:dyDescent="0.2">
      <c r="A167" s="42" t="s">
        <v>393</v>
      </c>
      <c r="B167" s="42">
        <v>28</v>
      </c>
      <c r="C167" s="42" t="s">
        <v>14</v>
      </c>
      <c r="D167" s="42" t="s">
        <v>159</v>
      </c>
      <c r="E167" s="42" t="s">
        <v>322</v>
      </c>
      <c r="F167" s="42" t="s">
        <v>159</v>
      </c>
      <c r="G167" s="42" t="s">
        <v>322</v>
      </c>
      <c r="H167" s="42" t="s">
        <v>159</v>
      </c>
    </row>
    <row r="168" spans="1:8" x14ac:dyDescent="0.2">
      <c r="A168" s="42">
        <v>91101</v>
      </c>
      <c r="B168" s="42">
        <v>28</v>
      </c>
      <c r="C168" s="42" t="s">
        <v>14</v>
      </c>
      <c r="D168" s="42" t="s">
        <v>159</v>
      </c>
      <c r="E168" s="42" t="s">
        <v>159</v>
      </c>
      <c r="F168" s="42" t="s">
        <v>159</v>
      </c>
      <c r="G168" s="42" t="s">
        <v>322</v>
      </c>
      <c r="H168" s="42" t="s">
        <v>159</v>
      </c>
    </row>
    <row r="169" spans="1:8" x14ac:dyDescent="0.2">
      <c r="A169" s="42">
        <v>91001</v>
      </c>
      <c r="B169" s="42">
        <v>28.1</v>
      </c>
      <c r="C169" s="42" t="s">
        <v>14</v>
      </c>
      <c r="D169" s="42" t="s">
        <v>159</v>
      </c>
      <c r="E169" s="42" t="s">
        <v>322</v>
      </c>
      <c r="F169" s="42" t="s">
        <v>159</v>
      </c>
      <c r="G169" s="42" t="s">
        <v>322</v>
      </c>
      <c r="H169" s="42" t="s">
        <v>159</v>
      </c>
    </row>
    <row r="170" spans="1:8" x14ac:dyDescent="0.2">
      <c r="A170" s="42">
        <v>91001</v>
      </c>
      <c r="B170" s="42">
        <v>29</v>
      </c>
      <c r="C170" s="42" t="s">
        <v>14</v>
      </c>
      <c r="D170" s="42" t="s">
        <v>159</v>
      </c>
      <c r="E170" s="42" t="s">
        <v>322</v>
      </c>
      <c r="F170" s="42" t="s">
        <v>159</v>
      </c>
      <c r="G170" s="42" t="s">
        <v>322</v>
      </c>
      <c r="H170" s="42" t="s">
        <v>159</v>
      </c>
    </row>
    <row r="171" spans="1:8" x14ac:dyDescent="0.2">
      <c r="A171" s="42" t="s">
        <v>394</v>
      </c>
      <c r="B171" s="42">
        <v>30</v>
      </c>
      <c r="C171" s="42" t="s">
        <v>14</v>
      </c>
      <c r="D171" s="42" t="s">
        <v>322</v>
      </c>
      <c r="E171" s="42" t="s">
        <v>322</v>
      </c>
      <c r="F171" s="42" t="s">
        <v>322</v>
      </c>
      <c r="G171" s="42" t="s">
        <v>322</v>
      </c>
      <c r="H171" s="42" t="s">
        <v>322</v>
      </c>
    </row>
    <row r="172" spans="1:8" x14ac:dyDescent="0.2">
      <c r="A172" s="42">
        <v>91107</v>
      </c>
      <c r="B172" s="42">
        <v>30</v>
      </c>
      <c r="C172" s="42" t="s">
        <v>14</v>
      </c>
      <c r="D172" s="42" t="s">
        <v>328</v>
      </c>
      <c r="E172" s="42" t="s">
        <v>328</v>
      </c>
      <c r="F172" s="42" t="s">
        <v>328</v>
      </c>
      <c r="G172" s="42" t="s">
        <v>328</v>
      </c>
      <c r="H172" s="42" t="s">
        <v>328</v>
      </c>
    </row>
    <row r="173" spans="1:8" x14ac:dyDescent="0.2">
      <c r="A173" s="42">
        <v>90021</v>
      </c>
      <c r="B173" s="42">
        <v>30</v>
      </c>
      <c r="C173" s="42" t="s">
        <v>14</v>
      </c>
      <c r="D173" s="42" t="s">
        <v>336</v>
      </c>
      <c r="E173" s="42" t="s">
        <v>336</v>
      </c>
      <c r="F173" s="42" t="s">
        <v>336</v>
      </c>
      <c r="G173" s="42" t="s">
        <v>336</v>
      </c>
      <c r="H173" s="42" t="s">
        <v>336</v>
      </c>
    </row>
    <row r="174" spans="1:8" x14ac:dyDescent="0.2">
      <c r="A174" s="42">
        <v>90026</v>
      </c>
      <c r="B174" s="42">
        <v>30</v>
      </c>
      <c r="C174" s="42" t="s">
        <v>14</v>
      </c>
      <c r="D174" s="42" t="s">
        <v>322</v>
      </c>
      <c r="E174" s="42" t="s">
        <v>322</v>
      </c>
      <c r="F174" s="42" t="s">
        <v>322</v>
      </c>
      <c r="G174" s="42" t="s">
        <v>322</v>
      </c>
      <c r="H174" s="42" t="s">
        <v>322</v>
      </c>
    </row>
    <row r="175" spans="1:8" x14ac:dyDescent="0.2">
      <c r="A175" s="42">
        <v>91105</v>
      </c>
      <c r="B175" s="42">
        <v>30</v>
      </c>
      <c r="C175" s="42" t="s">
        <v>14</v>
      </c>
      <c r="D175" s="42" t="s">
        <v>322</v>
      </c>
      <c r="E175" s="42" t="s">
        <v>322</v>
      </c>
      <c r="F175" s="42" t="s">
        <v>322</v>
      </c>
      <c r="G175" s="42" t="s">
        <v>322</v>
      </c>
      <c r="H175" s="42" t="s">
        <v>323</v>
      </c>
    </row>
    <row r="176" spans="1:8" x14ac:dyDescent="0.2">
      <c r="A176" s="42" t="s">
        <v>351</v>
      </c>
      <c r="B176" s="42">
        <v>30</v>
      </c>
      <c r="C176" s="42" t="s">
        <v>14</v>
      </c>
      <c r="D176" s="42" t="s">
        <v>326</v>
      </c>
      <c r="E176" s="42" t="s">
        <v>326</v>
      </c>
      <c r="F176" s="42" t="s">
        <v>326</v>
      </c>
      <c r="G176" s="42" t="s">
        <v>326</v>
      </c>
      <c r="H176" s="42" t="s">
        <v>326</v>
      </c>
    </row>
    <row r="177" spans="1:8" x14ac:dyDescent="0.2">
      <c r="A177" s="42">
        <v>90012</v>
      </c>
      <c r="B177" s="42">
        <v>30</v>
      </c>
      <c r="C177" s="42" t="s">
        <v>14</v>
      </c>
      <c r="D177" s="42" t="s">
        <v>326</v>
      </c>
      <c r="E177" s="42" t="s">
        <v>322</v>
      </c>
      <c r="F177" s="42" t="s">
        <v>326</v>
      </c>
      <c r="G177" s="42" t="s">
        <v>322</v>
      </c>
      <c r="H177" s="42" t="s">
        <v>326</v>
      </c>
    </row>
    <row r="178" spans="1:8" x14ac:dyDescent="0.2">
      <c r="A178" s="42">
        <v>90032</v>
      </c>
      <c r="B178" s="42">
        <v>31</v>
      </c>
      <c r="C178" s="42" t="s">
        <v>14</v>
      </c>
      <c r="D178" s="42" t="s">
        <v>159</v>
      </c>
      <c r="E178" s="42" t="s">
        <v>159</v>
      </c>
      <c r="F178" s="42" t="s">
        <v>159</v>
      </c>
      <c r="G178" s="42" t="s">
        <v>159</v>
      </c>
      <c r="H178" s="42" t="s">
        <v>322</v>
      </c>
    </row>
    <row r="179" spans="1:8" x14ac:dyDescent="0.2">
      <c r="A179" s="42">
        <v>90042</v>
      </c>
      <c r="B179" s="42">
        <v>32</v>
      </c>
      <c r="C179" s="42" t="s">
        <v>14</v>
      </c>
      <c r="D179" s="42" t="s">
        <v>322</v>
      </c>
      <c r="E179" s="42" t="s">
        <v>322</v>
      </c>
      <c r="F179" s="42" t="s">
        <v>159</v>
      </c>
      <c r="G179" s="42" t="s">
        <v>322</v>
      </c>
      <c r="H179" s="42" t="s">
        <v>159</v>
      </c>
    </row>
    <row r="180" spans="1:8" x14ac:dyDescent="0.2">
      <c r="A180" s="42" t="s">
        <v>367</v>
      </c>
      <c r="B180" s="42">
        <v>32</v>
      </c>
      <c r="C180" s="42" t="s">
        <v>14</v>
      </c>
      <c r="D180" s="42" t="s">
        <v>322</v>
      </c>
      <c r="E180" s="42" t="s">
        <v>336</v>
      </c>
      <c r="F180" s="42" t="s">
        <v>322</v>
      </c>
      <c r="G180" s="42" t="s">
        <v>336</v>
      </c>
      <c r="H180" s="42" t="s">
        <v>323</v>
      </c>
    </row>
    <row r="181" spans="1:8" x14ac:dyDescent="0.2">
      <c r="A181" s="42">
        <v>90065</v>
      </c>
      <c r="B181" s="42">
        <v>34</v>
      </c>
      <c r="C181" s="42" t="s">
        <v>14</v>
      </c>
      <c r="D181" s="42" t="s">
        <v>159</v>
      </c>
      <c r="E181" s="42" t="s">
        <v>159</v>
      </c>
      <c r="F181" s="42" t="s">
        <v>322</v>
      </c>
      <c r="G181" s="42" t="s">
        <v>159</v>
      </c>
      <c r="H181" s="42" t="s">
        <v>159</v>
      </c>
    </row>
    <row r="182" spans="1:8" x14ac:dyDescent="0.2">
      <c r="A182" s="42">
        <v>90013</v>
      </c>
      <c r="B182" s="42">
        <v>35</v>
      </c>
      <c r="C182" s="42" t="s">
        <v>14</v>
      </c>
      <c r="D182" s="42" t="s">
        <v>322</v>
      </c>
      <c r="E182" s="42" t="s">
        <v>322</v>
      </c>
      <c r="F182" s="42" t="s">
        <v>322</v>
      </c>
      <c r="G182" s="42" t="s">
        <v>322</v>
      </c>
      <c r="H182" s="42" t="s">
        <v>322</v>
      </c>
    </row>
    <row r="183" spans="1:8" x14ac:dyDescent="0.2">
      <c r="A183" s="42">
        <v>91214</v>
      </c>
      <c r="B183" s="42">
        <v>35</v>
      </c>
      <c r="C183" s="42" t="s">
        <v>14</v>
      </c>
      <c r="D183" s="42" t="s">
        <v>159</v>
      </c>
      <c r="E183" s="42" t="s">
        <v>159</v>
      </c>
      <c r="F183" s="42" t="s">
        <v>159</v>
      </c>
      <c r="G183" s="42" t="s">
        <v>322</v>
      </c>
      <c r="H183" s="42" t="s">
        <v>322</v>
      </c>
    </row>
    <row r="184" spans="1:8" x14ac:dyDescent="0.2">
      <c r="A184" s="42">
        <v>90065</v>
      </c>
      <c r="B184" s="42">
        <v>35</v>
      </c>
      <c r="C184" s="42" t="s">
        <v>14</v>
      </c>
      <c r="D184" s="42" t="s">
        <v>322</v>
      </c>
      <c r="E184" s="42" t="s">
        <v>159</v>
      </c>
      <c r="F184" s="42" t="s">
        <v>322</v>
      </c>
      <c r="G184" s="42" t="s">
        <v>159</v>
      </c>
      <c r="H184" s="42" t="s">
        <v>322</v>
      </c>
    </row>
    <row r="185" spans="1:8" x14ac:dyDescent="0.2">
      <c r="A185" s="42">
        <v>91208</v>
      </c>
      <c r="B185" s="42">
        <v>35</v>
      </c>
      <c r="C185" s="42" t="s">
        <v>14</v>
      </c>
      <c r="D185" s="42" t="s">
        <v>159</v>
      </c>
      <c r="E185" s="42" t="s">
        <v>322</v>
      </c>
      <c r="F185" s="42" t="s">
        <v>322</v>
      </c>
      <c r="G185" s="42" t="s">
        <v>322</v>
      </c>
      <c r="H185" s="42" t="s">
        <v>322</v>
      </c>
    </row>
    <row r="186" spans="1:8" x14ac:dyDescent="0.2">
      <c r="A186" s="42">
        <v>92374</v>
      </c>
      <c r="B186" s="42">
        <v>35</v>
      </c>
      <c r="C186" s="42" t="s">
        <v>14</v>
      </c>
      <c r="D186" s="42" t="s">
        <v>326</v>
      </c>
      <c r="E186" s="42" t="s">
        <v>326</v>
      </c>
      <c r="F186" s="42" t="s">
        <v>326</v>
      </c>
      <c r="G186" s="42" t="s">
        <v>336</v>
      </c>
      <c r="H186" s="42" t="s">
        <v>322</v>
      </c>
    </row>
    <row r="187" spans="1:8" x14ac:dyDescent="0.2">
      <c r="A187" s="42">
        <v>90026</v>
      </c>
      <c r="B187" s="42">
        <v>35</v>
      </c>
      <c r="C187" s="42" t="s">
        <v>14</v>
      </c>
      <c r="D187" s="42" t="s">
        <v>159</v>
      </c>
      <c r="E187" s="42" t="s">
        <v>336</v>
      </c>
      <c r="F187" s="42" t="s">
        <v>159</v>
      </c>
      <c r="G187" s="42" t="s">
        <v>336</v>
      </c>
      <c r="H187" s="42" t="s">
        <v>159</v>
      </c>
    </row>
    <row r="188" spans="1:8" x14ac:dyDescent="0.2">
      <c r="A188" s="42" t="s">
        <v>395</v>
      </c>
      <c r="B188" s="42">
        <v>35</v>
      </c>
      <c r="C188" s="42" t="s">
        <v>14</v>
      </c>
      <c r="D188" s="42" t="s">
        <v>159</v>
      </c>
      <c r="E188" s="42" t="s">
        <v>322</v>
      </c>
      <c r="F188" s="42" t="s">
        <v>159</v>
      </c>
      <c r="G188" s="42" t="s">
        <v>322</v>
      </c>
      <c r="H188" s="42" t="s">
        <v>159</v>
      </c>
    </row>
    <row r="189" spans="1:8" x14ac:dyDescent="0.2">
      <c r="A189" s="42">
        <v>92373</v>
      </c>
      <c r="B189" s="42">
        <v>35</v>
      </c>
      <c r="C189" s="42" t="s">
        <v>14</v>
      </c>
      <c r="D189" s="42" t="s">
        <v>322</v>
      </c>
      <c r="E189" s="42" t="s">
        <v>159</v>
      </c>
      <c r="F189" s="42" t="s">
        <v>322</v>
      </c>
      <c r="G189" s="42" t="s">
        <v>159</v>
      </c>
      <c r="H189" s="42" t="s">
        <v>159</v>
      </c>
    </row>
    <row r="190" spans="1:8" x14ac:dyDescent="0.2">
      <c r="A190" s="42">
        <v>90026</v>
      </c>
      <c r="B190" s="42">
        <v>36</v>
      </c>
      <c r="C190" s="42" t="s">
        <v>14</v>
      </c>
      <c r="D190" s="42" t="s">
        <v>326</v>
      </c>
      <c r="E190" s="42" t="s">
        <v>328</v>
      </c>
      <c r="F190" s="42" t="s">
        <v>326</v>
      </c>
      <c r="G190" s="42" t="s">
        <v>322</v>
      </c>
      <c r="H190" s="42" t="s">
        <v>326</v>
      </c>
    </row>
    <row r="191" spans="1:8" x14ac:dyDescent="0.2">
      <c r="A191" s="42">
        <v>92620</v>
      </c>
      <c r="B191" s="42">
        <v>36</v>
      </c>
      <c r="C191" s="42" t="s">
        <v>14</v>
      </c>
      <c r="D191" s="42" t="s">
        <v>322</v>
      </c>
      <c r="E191" s="42" t="s">
        <v>322</v>
      </c>
      <c r="F191" s="42" t="s">
        <v>322</v>
      </c>
      <c r="G191" s="42" t="s">
        <v>322</v>
      </c>
      <c r="H191" s="42" t="s">
        <v>322</v>
      </c>
    </row>
    <row r="192" spans="1:8" x14ac:dyDescent="0.2">
      <c r="A192" s="42">
        <v>92630</v>
      </c>
      <c r="B192" s="42">
        <v>38</v>
      </c>
      <c r="C192" s="42" t="s">
        <v>14</v>
      </c>
      <c r="D192" s="42" t="s">
        <v>322</v>
      </c>
      <c r="E192" s="42" t="s">
        <v>322</v>
      </c>
      <c r="F192" s="42" t="s">
        <v>322</v>
      </c>
      <c r="G192" s="42" t="s">
        <v>322</v>
      </c>
      <c r="H192" s="42" t="s">
        <v>322</v>
      </c>
    </row>
    <row r="193" spans="1:8" x14ac:dyDescent="0.2">
      <c r="A193" s="42">
        <v>90808</v>
      </c>
      <c r="B193" s="42">
        <v>39</v>
      </c>
      <c r="C193" s="42" t="s">
        <v>14</v>
      </c>
      <c r="D193" s="42" t="s">
        <v>159</v>
      </c>
      <c r="E193" s="42" t="s">
        <v>322</v>
      </c>
      <c r="F193" s="42" t="s">
        <v>159</v>
      </c>
      <c r="G193" s="42" t="s">
        <v>322</v>
      </c>
      <c r="H193" s="42" t="s">
        <v>157</v>
      </c>
    </row>
    <row r="194" spans="1:8" x14ac:dyDescent="0.2">
      <c r="A194" s="42">
        <v>90815</v>
      </c>
      <c r="B194" s="42">
        <v>40</v>
      </c>
      <c r="C194" s="42" t="s">
        <v>14</v>
      </c>
      <c r="D194" s="42" t="s">
        <v>322</v>
      </c>
      <c r="E194" s="42" t="s">
        <v>159</v>
      </c>
      <c r="F194" s="42" t="s">
        <v>322</v>
      </c>
      <c r="G194" s="42" t="s">
        <v>159</v>
      </c>
      <c r="H194" s="42" t="s">
        <v>159</v>
      </c>
    </row>
    <row r="195" spans="1:8" x14ac:dyDescent="0.2">
      <c r="A195" s="42">
        <v>92617</v>
      </c>
      <c r="B195" s="42">
        <v>40</v>
      </c>
      <c r="C195" s="42" t="s">
        <v>14</v>
      </c>
      <c r="D195" s="42" t="s">
        <v>322</v>
      </c>
      <c r="E195" s="42" t="s">
        <v>159</v>
      </c>
      <c r="F195" s="42" t="s">
        <v>322</v>
      </c>
      <c r="G195" s="42" t="s">
        <v>159</v>
      </c>
      <c r="H195" s="42" t="s">
        <v>159</v>
      </c>
    </row>
    <row r="196" spans="1:8" x14ac:dyDescent="0.2">
      <c r="A196" s="42">
        <v>91207</v>
      </c>
      <c r="B196" s="42">
        <v>40</v>
      </c>
      <c r="C196" s="42" t="s">
        <v>14</v>
      </c>
      <c r="D196" s="42" t="s">
        <v>322</v>
      </c>
      <c r="E196" s="42" t="s">
        <v>322</v>
      </c>
      <c r="F196" s="42" t="s">
        <v>322</v>
      </c>
      <c r="G196" s="42" t="s">
        <v>322</v>
      </c>
      <c r="H196" s="42" t="s">
        <v>159</v>
      </c>
    </row>
    <row r="197" spans="1:8" x14ac:dyDescent="0.2">
      <c r="A197" s="42">
        <v>92648</v>
      </c>
      <c r="B197" s="42">
        <v>40</v>
      </c>
      <c r="C197" s="42" t="s">
        <v>14</v>
      </c>
      <c r="D197" s="42" t="s">
        <v>159</v>
      </c>
      <c r="E197" s="42" t="s">
        <v>322</v>
      </c>
      <c r="F197" s="42" t="s">
        <v>159</v>
      </c>
      <c r="G197" s="42" t="s">
        <v>322</v>
      </c>
      <c r="H197" s="42" t="s">
        <v>159</v>
      </c>
    </row>
    <row r="198" spans="1:8" x14ac:dyDescent="0.2">
      <c r="A198" s="42">
        <v>90808</v>
      </c>
      <c r="B198" s="42">
        <v>40</v>
      </c>
      <c r="C198" s="42" t="s">
        <v>14</v>
      </c>
      <c r="D198" s="42" t="s">
        <v>322</v>
      </c>
      <c r="E198" s="42" t="s">
        <v>322</v>
      </c>
      <c r="F198" s="42" t="s">
        <v>322</v>
      </c>
      <c r="G198" s="42" t="s">
        <v>322</v>
      </c>
      <c r="H198" s="42" t="s">
        <v>322</v>
      </c>
    </row>
    <row r="199" spans="1:8" x14ac:dyDescent="0.2">
      <c r="A199" s="42">
        <v>92610</v>
      </c>
      <c r="B199" s="42">
        <v>42</v>
      </c>
      <c r="C199" s="42" t="s">
        <v>14</v>
      </c>
      <c r="D199" s="42" t="s">
        <v>159</v>
      </c>
      <c r="E199" s="42" t="s">
        <v>322</v>
      </c>
      <c r="F199" s="42" t="s">
        <v>322</v>
      </c>
      <c r="G199" s="42" t="s">
        <v>322</v>
      </c>
      <c r="H199" s="42" t="s">
        <v>159</v>
      </c>
    </row>
    <row r="200" spans="1:8" x14ac:dyDescent="0.2">
      <c r="A200" s="42">
        <v>90027</v>
      </c>
      <c r="B200" s="42">
        <v>42</v>
      </c>
      <c r="C200" s="42" t="s">
        <v>14</v>
      </c>
      <c r="D200" s="42" t="s">
        <v>159</v>
      </c>
      <c r="E200" s="42" t="s">
        <v>322</v>
      </c>
      <c r="F200" s="42" t="s">
        <v>159</v>
      </c>
      <c r="G200" s="42" t="s">
        <v>322</v>
      </c>
      <c r="H200" s="42" t="s">
        <v>159</v>
      </c>
    </row>
    <row r="201" spans="1:8" x14ac:dyDescent="0.2">
      <c r="A201" s="42">
        <v>92651</v>
      </c>
      <c r="B201" s="42">
        <v>45</v>
      </c>
      <c r="C201" s="42" t="s">
        <v>14</v>
      </c>
      <c r="D201" s="42" t="s">
        <v>322</v>
      </c>
      <c r="E201" s="42" t="s">
        <v>323</v>
      </c>
      <c r="F201" s="42" t="s">
        <v>322</v>
      </c>
      <c r="G201" s="42" t="s">
        <v>323</v>
      </c>
      <c r="H201" s="42" t="s">
        <v>323</v>
      </c>
    </row>
    <row r="202" spans="1:8" x14ac:dyDescent="0.2">
      <c r="A202" s="42">
        <v>92610</v>
      </c>
      <c r="B202" s="42">
        <v>45</v>
      </c>
      <c r="C202" s="42" t="s">
        <v>14</v>
      </c>
      <c r="D202" s="42" t="s">
        <v>322</v>
      </c>
      <c r="E202" s="42" t="s">
        <v>322</v>
      </c>
      <c r="F202" s="42" t="s">
        <v>322</v>
      </c>
      <c r="G202" s="42" t="s">
        <v>322</v>
      </c>
      <c r="H202" s="42" t="s">
        <v>322</v>
      </c>
    </row>
    <row r="203" spans="1:8" x14ac:dyDescent="0.2">
      <c r="A203" s="42" t="s">
        <v>363</v>
      </c>
      <c r="B203" s="42">
        <v>45</v>
      </c>
      <c r="C203" s="42" t="s">
        <v>14</v>
      </c>
      <c r="D203" s="42" t="s">
        <v>159</v>
      </c>
      <c r="E203" s="42" t="s">
        <v>159</v>
      </c>
      <c r="F203" s="42" t="s">
        <v>159</v>
      </c>
      <c r="G203" s="42" t="s">
        <v>159</v>
      </c>
      <c r="H203" s="42" t="s">
        <v>322</v>
      </c>
    </row>
    <row r="204" spans="1:8" x14ac:dyDescent="0.2">
      <c r="A204" s="42">
        <v>90405</v>
      </c>
      <c r="B204" s="42">
        <v>47</v>
      </c>
      <c r="C204" s="42" t="s">
        <v>14</v>
      </c>
      <c r="D204" s="42" t="s">
        <v>324</v>
      </c>
      <c r="E204" s="42" t="s">
        <v>323</v>
      </c>
      <c r="F204" s="42" t="s">
        <v>324</v>
      </c>
      <c r="G204" s="42" t="s">
        <v>324</v>
      </c>
      <c r="H204" s="42" t="s">
        <v>324</v>
      </c>
    </row>
    <row r="205" spans="1:8" x14ac:dyDescent="0.2">
      <c r="A205" s="42">
        <v>90404</v>
      </c>
      <c r="B205" s="42">
        <v>47</v>
      </c>
      <c r="C205" s="42" t="s">
        <v>14</v>
      </c>
      <c r="D205" s="42" t="s">
        <v>159</v>
      </c>
      <c r="E205" s="42" t="s">
        <v>322</v>
      </c>
      <c r="F205" s="42" t="s">
        <v>159</v>
      </c>
      <c r="G205" s="42" t="s">
        <v>322</v>
      </c>
      <c r="H205" s="42" t="s">
        <v>159</v>
      </c>
    </row>
    <row r="206" spans="1:8" x14ac:dyDescent="0.2">
      <c r="A206" s="42">
        <v>90501</v>
      </c>
      <c r="B206" s="42">
        <v>48</v>
      </c>
      <c r="C206" s="42" t="s">
        <v>14</v>
      </c>
      <c r="D206" s="42" t="s">
        <v>159</v>
      </c>
      <c r="E206" s="42" t="s">
        <v>159</v>
      </c>
      <c r="F206" s="42" t="s">
        <v>159</v>
      </c>
      <c r="G206" s="42" t="s">
        <v>322</v>
      </c>
      <c r="H206" s="42" t="s">
        <v>159</v>
      </c>
    </row>
    <row r="207" spans="1:8" x14ac:dyDescent="0.2">
      <c r="A207" s="42">
        <v>91406</v>
      </c>
      <c r="B207" s="42">
        <v>50</v>
      </c>
      <c r="C207" s="42" t="s">
        <v>14</v>
      </c>
      <c r="D207" s="42" t="s">
        <v>159</v>
      </c>
      <c r="E207" s="42" t="s">
        <v>322</v>
      </c>
      <c r="F207" s="42" t="s">
        <v>159</v>
      </c>
      <c r="G207" s="42" t="s">
        <v>322</v>
      </c>
      <c r="H207" s="42" t="s">
        <v>159</v>
      </c>
    </row>
    <row r="208" spans="1:8" x14ac:dyDescent="0.2">
      <c r="A208" s="42">
        <v>90401</v>
      </c>
      <c r="B208" s="42">
        <v>50</v>
      </c>
      <c r="C208" s="42" t="s">
        <v>14</v>
      </c>
      <c r="D208" s="42" t="s">
        <v>322</v>
      </c>
      <c r="E208" s="42" t="s">
        <v>159</v>
      </c>
      <c r="F208" s="42" t="s">
        <v>322</v>
      </c>
      <c r="G208" s="42" t="s">
        <v>159</v>
      </c>
      <c r="H208" s="42" t="s">
        <v>322</v>
      </c>
    </row>
    <row r="209" spans="1:8" x14ac:dyDescent="0.2">
      <c r="A209" s="42">
        <v>91335</v>
      </c>
      <c r="B209" s="42">
        <v>50</v>
      </c>
      <c r="C209" s="42" t="s">
        <v>14</v>
      </c>
      <c r="D209" s="42" t="s">
        <v>323</v>
      </c>
      <c r="E209" s="42" t="s">
        <v>322</v>
      </c>
      <c r="F209" s="42" t="s">
        <v>323</v>
      </c>
      <c r="G209" s="42" t="s">
        <v>322</v>
      </c>
      <c r="H209" s="42" t="s">
        <v>323</v>
      </c>
    </row>
    <row r="210" spans="1:8" x14ac:dyDescent="0.2">
      <c r="A210" s="42" t="s">
        <v>364</v>
      </c>
      <c r="B210" s="42">
        <v>50</v>
      </c>
      <c r="C210" s="42" t="s">
        <v>14</v>
      </c>
      <c r="D210" s="42" t="s">
        <v>159</v>
      </c>
      <c r="E210" s="42" t="s">
        <v>322</v>
      </c>
      <c r="F210" s="42" t="s">
        <v>322</v>
      </c>
      <c r="G210" s="42" t="s">
        <v>159</v>
      </c>
      <c r="H210" s="42" t="s">
        <v>159</v>
      </c>
    </row>
    <row r="211" spans="1:8" x14ac:dyDescent="0.2">
      <c r="A211" s="42">
        <v>91356</v>
      </c>
      <c r="B211" s="42">
        <v>53</v>
      </c>
      <c r="C211" s="42" t="s">
        <v>14</v>
      </c>
      <c r="D211" s="42" t="s">
        <v>322</v>
      </c>
      <c r="E211" s="42" t="s">
        <v>322</v>
      </c>
      <c r="F211" s="42" t="s">
        <v>322</v>
      </c>
      <c r="G211" s="42" t="s">
        <v>322</v>
      </c>
      <c r="H211" s="42" t="s">
        <v>322</v>
      </c>
    </row>
    <row r="212" spans="1:8" x14ac:dyDescent="0.2">
      <c r="A212" s="42">
        <v>91307</v>
      </c>
      <c r="B212" s="42">
        <v>70</v>
      </c>
      <c r="C212" s="42" t="s">
        <v>14</v>
      </c>
      <c r="D212" s="42" t="s">
        <v>322</v>
      </c>
      <c r="E212" s="42" t="s">
        <v>322</v>
      </c>
      <c r="F212" s="42" t="s">
        <v>322</v>
      </c>
      <c r="G212" s="42" t="s">
        <v>159</v>
      </c>
      <c r="H212" s="42" t="s">
        <v>159</v>
      </c>
    </row>
    <row r="213" spans="1:8" x14ac:dyDescent="0.2">
      <c r="A213" s="42">
        <v>93117</v>
      </c>
      <c r="B213" s="42">
        <v>133</v>
      </c>
      <c r="C213" s="42" t="s">
        <v>14</v>
      </c>
      <c r="D213" s="42" t="s">
        <v>322</v>
      </c>
      <c r="E213" s="42" t="s">
        <v>346</v>
      </c>
      <c r="F213" s="42" t="s">
        <v>346</v>
      </c>
      <c r="G213" s="42" t="s">
        <v>326</v>
      </c>
      <c r="H213" s="42" t="s">
        <v>326</v>
      </c>
    </row>
  </sheetData>
  <mergeCells count="12">
    <mergeCell ref="L21:M21"/>
    <mergeCell ref="J1:T1"/>
    <mergeCell ref="J8:U8"/>
    <mergeCell ref="L12:N12"/>
    <mergeCell ref="L13:M13"/>
    <mergeCell ref="L14:M14"/>
    <mergeCell ref="L15:M15"/>
    <mergeCell ref="L16:M16"/>
    <mergeCell ref="L17:M17"/>
    <mergeCell ref="L18:M18"/>
    <mergeCell ref="L19:M19"/>
    <mergeCell ref="L20:M20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B28B-9CF8-4F04-B803-6E3B8DD986DC}">
  <dimension ref="A1:S157"/>
  <sheetViews>
    <sheetView workbookViewId="0">
      <selection activeCell="M18" sqref="M18"/>
    </sheetView>
  </sheetViews>
  <sheetFormatPr baseColWidth="10" defaultColWidth="8.83203125" defaultRowHeight="15" x14ac:dyDescent="0.2"/>
  <cols>
    <col min="1" max="1" width="21.83203125" customWidth="1"/>
    <col min="2" max="6" width="30.33203125" bestFit="1" customWidth="1"/>
    <col min="8" max="8" width="34.83203125" customWidth="1"/>
    <col min="9" max="9" width="14.6640625" customWidth="1"/>
    <col min="10" max="10" width="9.1640625" bestFit="1" customWidth="1"/>
    <col min="11" max="11" width="12.6640625" customWidth="1"/>
    <col min="12" max="12" width="16.33203125" customWidth="1"/>
    <col min="13" max="13" width="17.33203125" customWidth="1"/>
    <col min="14" max="14" width="13.6640625" customWidth="1"/>
    <col min="15" max="15" width="13.83203125" customWidth="1"/>
    <col min="16" max="16" width="18.5" customWidth="1"/>
    <col min="17" max="17" width="15" customWidth="1"/>
    <col min="18" max="18" width="9.1640625" bestFit="1" customWidth="1"/>
    <col min="19" max="19" width="17.1640625" customWidth="1"/>
  </cols>
  <sheetData>
    <row r="1" spans="1:19" x14ac:dyDescent="0.2">
      <c r="A1" t="s">
        <v>396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H1" s="67" t="s">
        <v>11</v>
      </c>
      <c r="I1" s="68"/>
      <c r="J1" s="68"/>
      <c r="K1" s="68"/>
      <c r="L1" s="68"/>
      <c r="M1" s="68"/>
      <c r="N1" s="68"/>
      <c r="O1" s="68"/>
      <c r="P1" s="68"/>
      <c r="Q1" s="68"/>
      <c r="R1" s="69"/>
    </row>
    <row r="2" spans="1:19" x14ac:dyDescent="0.2">
      <c r="A2">
        <v>26</v>
      </c>
      <c r="B2" t="s">
        <v>397</v>
      </c>
      <c r="C2" t="s">
        <v>157</v>
      </c>
      <c r="D2" t="s">
        <v>397</v>
      </c>
      <c r="E2" t="s">
        <v>397</v>
      </c>
      <c r="F2" t="s">
        <v>157</v>
      </c>
      <c r="H2" s="2"/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3" t="s">
        <v>24</v>
      </c>
      <c r="R2" s="4" t="s">
        <v>25</v>
      </c>
    </row>
    <row r="3" spans="1:19" x14ac:dyDescent="0.2">
      <c r="A3">
        <v>25</v>
      </c>
      <c r="B3" t="s">
        <v>336</v>
      </c>
      <c r="C3" t="s">
        <v>322</v>
      </c>
      <c r="D3" t="s">
        <v>322</v>
      </c>
      <c r="E3" t="s">
        <v>322</v>
      </c>
      <c r="F3" t="s">
        <v>336</v>
      </c>
      <c r="H3" s="5" t="s">
        <v>29</v>
      </c>
      <c r="I3" s="6" cm="1">
        <f t="array" ref="I3">SUM(COUNTIF(B:F,{"A.*","B.*"}))/R10</f>
        <v>0.51093750000000004</v>
      </c>
      <c r="J3" s="7">
        <f>COUNTIF(B:F,"T.*")/R10</f>
        <v>0.1203125</v>
      </c>
      <c r="K3" s="7" cm="1">
        <f t="array" ref="K3">SUM(COUNTIF(B:F,{"C.*","D.*","E.*","F.*","G.*","H.*","I.*","J.*","K.*","L.*","M.*","N.*","O.*","P.*"})/R10)</f>
        <v>0.11406250000000001</v>
      </c>
      <c r="L3" s="7">
        <f>COUNTIF(B:F,"R.*")/R10</f>
        <v>2.8125000000000001E-2</v>
      </c>
      <c r="M3" s="7">
        <f>COUNTIF(B:F,"U.*")/R10</f>
        <v>2.5000000000000001E-2</v>
      </c>
      <c r="N3" s="7">
        <v>0</v>
      </c>
      <c r="O3" s="7">
        <f>COUNTIF(B:F,"Q.*")/R10</f>
        <v>7.8125E-3</v>
      </c>
      <c r="P3" s="7">
        <f>COUNTIF(B:F,"V.*")/R10</f>
        <v>2.6562499999999999E-2</v>
      </c>
      <c r="Q3" s="7">
        <f>COUNTIF(B:F,"S.*")/R10</f>
        <v>0.16718749999999999</v>
      </c>
      <c r="R3" s="7">
        <f>SUM(I3:Q3)</f>
        <v>1</v>
      </c>
    </row>
    <row r="4" spans="1:19" ht="16" x14ac:dyDescent="0.2">
      <c r="A4">
        <v>25</v>
      </c>
      <c r="B4" t="s">
        <v>322</v>
      </c>
      <c r="C4" t="s">
        <v>322</v>
      </c>
      <c r="D4" t="s">
        <v>322</v>
      </c>
      <c r="E4" t="s">
        <v>322</v>
      </c>
      <c r="F4" t="s">
        <v>322</v>
      </c>
      <c r="H4" s="9" t="s">
        <v>33</v>
      </c>
      <c r="I4" s="10" cm="1">
        <f t="array" ref="I4">SUM(_xlfn.BYCOL(B:F,_xlfn.LAMBDA(_xlpm.col,SUMIF(_xlpm.col,"A.*",A:A)+SUMIF(_xlpm.col,"B.*",A:A))))/I10</f>
        <v>12.482415902140673</v>
      </c>
      <c r="J4" s="11" cm="1">
        <f t="array" ref="J4">SUM(_xlfn.BYCOL(B:F,_xlfn.LAMBDA(_xlpm.col,SUMIF(_xlpm.col,"T.*",A:A))))/J10</f>
        <v>1.1532467532467534</v>
      </c>
      <c r="K4" s="12" cm="1">
        <f t="array" ref="K4">SUM(_xlfn.BYCOL(B:F,_xlfn.LAMBDA(_xlpm.col,SUMIF(_xlpm.col,"C.*",A:A)+SUMIF(_xlpm.col,"D.*",A:A)+SUMIF(_xlpm.col,"E.*",A:A)+SUMIF(_xlpm.col,"F.*",A:A)+SUMIF(_xlpm.col,"G.*",A:A)+SUMIF(_xlpm.col,"H.*",A:A)+SUMIF(_xlpm.col,"I.*",A:A)+SUMIF(_xlpm.col,"J.*",A:A)+SUMIF(_xlpm.col,"K.*",A:A)+SUMIF(_xlpm.col,"L.*",A:A)+SUMIF(_xlpm.col,"M.*",A:A)+SUMIF(_xlpm.col,"N.*",A:A)+SUMIF(_xlpm.col,"O.*",A:A)+SUMIF(_xlpm.col,"P.*",A:A))))/K10</f>
        <v>7.515068493150685</v>
      </c>
      <c r="L4" s="12" cm="1">
        <f t="array" ref="L4">SUM(_xlfn.BYCOL(B:F,_xlfn.LAMBDA(_xlpm.col,SUMIF(_xlpm.col,"R.*",A:A))))/L10</f>
        <v>35.388888888888886</v>
      </c>
      <c r="M4" s="12" cm="1">
        <f t="array" ref="M4">SUM(_xlfn.BYCOL(B:F,_xlfn.LAMBDA(_xlpm.col,SUMIF(_xlpm.col,"U.*",A:A))))/M10</f>
        <v>6.5625</v>
      </c>
      <c r="N4" s="12"/>
      <c r="O4" s="12" cm="1">
        <f t="array" ref="O4">SUM(_xlfn.BYCOL(B:F,_xlfn.LAMBDA(_xlpm.col,SUMIF(_xlpm.col,"Q.*",A:A))))/O10</f>
        <v>4</v>
      </c>
      <c r="P4" s="12"/>
      <c r="Q4" s="12" cm="1">
        <f t="array" ref="Q4">SUM(_xlfn.BYCOL(B:F,_xlfn.LAMBDA(_xlpm.col,SUMIF(_xlpm.col,"S.*",A:A))))/R10</f>
        <v>0.11523437499999997</v>
      </c>
      <c r="R4" s="10">
        <f>AVERAGE(I4:Q4)</f>
        <v>9.6024792017752851</v>
      </c>
    </row>
    <row r="5" spans="1:19" x14ac:dyDescent="0.2">
      <c r="A5">
        <v>24</v>
      </c>
      <c r="B5" t="s">
        <v>159</v>
      </c>
      <c r="C5" t="s">
        <v>322</v>
      </c>
      <c r="D5" t="s">
        <v>159</v>
      </c>
      <c r="E5" t="s">
        <v>159</v>
      </c>
      <c r="F5" t="s">
        <v>159</v>
      </c>
      <c r="H5" s="33" t="s">
        <v>38</v>
      </c>
      <c r="I5" s="33"/>
      <c r="J5" s="33"/>
      <c r="K5" s="13" cm="1">
        <f t="array" ref="K5">SUM(_xlfn.BYCOL(B:F,_xlfn.LAMBDA(_xlpm.col,SUMIF(_xlpm.col,"C.*",A:A)*2+SUMIF(_xlpm.col,"D.*",A:A)*3+SUMIF(_xlpm.col,"E.*",A:A)*4+SUMIF(_xlpm.col,"F.*",A:A)*5+SUMIF(_xlpm.col,"G.*",A:A)*6+SUMIF(_xlpm.col,"H.*",A:A)*7+SUMIF(_xlpm.col,"I.*",A:A)*8+SUMIF(_xlpm.col,"J.*",A:A)*9+SUMIF(_xlpm.col,"K.*",A:A)*10+SUMIF(_xlpm.col,"L.*",A:A)*11+SUMIF(_xlpm.col,"M.*",A:A)*12+SUMIF(_xlpm.col,"N.*",A:A)*13+SUMIF(_xlpm.col,"O.*",A:A)*14+SUMIF(_xlpm.col,"P.*",A:A)*15)))/K10</f>
        <v>19.756164383561643</v>
      </c>
      <c r="L5" s="33"/>
      <c r="M5" s="33"/>
      <c r="N5" s="33"/>
      <c r="O5" s="33"/>
      <c r="P5" s="33"/>
      <c r="Q5" s="33"/>
      <c r="R5" s="33"/>
    </row>
    <row r="6" spans="1:19" x14ac:dyDescent="0.2">
      <c r="A6">
        <v>24</v>
      </c>
      <c r="B6" t="s">
        <v>322</v>
      </c>
      <c r="C6" t="s">
        <v>159</v>
      </c>
      <c r="D6" t="s">
        <v>159</v>
      </c>
      <c r="E6" t="s">
        <v>159</v>
      </c>
      <c r="F6" t="s">
        <v>159</v>
      </c>
      <c r="H6" s="14" t="s">
        <v>41</v>
      </c>
      <c r="I6" s="14"/>
      <c r="J6" s="14"/>
      <c r="K6" s="15">
        <f>K5/K4</f>
        <v>2.6288734961720741</v>
      </c>
      <c r="L6" s="14"/>
      <c r="M6" s="14"/>
      <c r="N6" s="14"/>
      <c r="O6" s="14"/>
      <c r="P6" s="14"/>
      <c r="Q6" s="14"/>
      <c r="R6" s="14"/>
    </row>
    <row r="7" spans="1:19" x14ac:dyDescent="0.2">
      <c r="A7">
        <v>23</v>
      </c>
      <c r="B7" t="s">
        <v>159</v>
      </c>
      <c r="C7" t="s">
        <v>159</v>
      </c>
      <c r="D7" t="s">
        <v>322</v>
      </c>
      <c r="E7" t="s">
        <v>322</v>
      </c>
      <c r="F7" t="s">
        <v>159</v>
      </c>
      <c r="K7" s="16"/>
    </row>
    <row r="8" spans="1:19" x14ac:dyDescent="0.2">
      <c r="A8">
        <v>23</v>
      </c>
      <c r="B8" t="s">
        <v>322</v>
      </c>
      <c r="C8" t="s">
        <v>322</v>
      </c>
      <c r="D8" t="s">
        <v>322</v>
      </c>
      <c r="E8" t="s">
        <v>322</v>
      </c>
      <c r="F8" t="s">
        <v>322</v>
      </c>
      <c r="H8" s="59" t="s">
        <v>47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0"/>
    </row>
    <row r="9" spans="1:19" x14ac:dyDescent="0.2">
      <c r="A9">
        <v>20</v>
      </c>
      <c r="B9" t="s">
        <v>328</v>
      </c>
      <c r="C9" t="s">
        <v>328</v>
      </c>
      <c r="D9" t="s">
        <v>328</v>
      </c>
      <c r="E9" t="s">
        <v>328</v>
      </c>
      <c r="F9" t="s">
        <v>328</v>
      </c>
      <c r="H9" s="19"/>
      <c r="I9" s="19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21" t="s">
        <v>25</v>
      </c>
      <c r="S9" s="19" t="s">
        <v>50</v>
      </c>
    </row>
    <row r="10" spans="1:19" x14ac:dyDescent="0.2">
      <c r="A10">
        <v>20</v>
      </c>
      <c r="B10" t="s">
        <v>322</v>
      </c>
      <c r="C10" t="s">
        <v>322</v>
      </c>
      <c r="D10" t="s">
        <v>322</v>
      </c>
      <c r="E10" t="s">
        <v>326</v>
      </c>
      <c r="F10" t="s">
        <v>322</v>
      </c>
      <c r="H10" s="17" t="s">
        <v>317</v>
      </c>
      <c r="I10" s="17" cm="1">
        <f t="array" ref="I10">SUM(COUNTIF(B:F,{"A.*","B.*"}))</f>
        <v>327</v>
      </c>
      <c r="J10" s="17">
        <f>COUNTIF(B:F,"T.*")</f>
        <v>77</v>
      </c>
      <c r="K10" s="17" cm="1">
        <f t="array" ref="K10">SUM(COUNTIF(B:F,{"C.*","D.*","E.*","F.*","G.*","H.*","I.*","J.*","K.*","L.*","M.*","N.*","O.*","P.*"}))</f>
        <v>73</v>
      </c>
      <c r="L10" s="34">
        <f>COUNTIF(B:F,"R.*")</f>
        <v>18</v>
      </c>
      <c r="M10" s="17">
        <f>COUNTIF(B:F,"U.*")</f>
        <v>16</v>
      </c>
      <c r="N10" s="17">
        <v>0</v>
      </c>
      <c r="O10" s="17">
        <f>COUNTIF(B:F,"Q.*")</f>
        <v>5</v>
      </c>
      <c r="P10" s="17">
        <f>COUNTIF(B:F,"V.*")</f>
        <v>17</v>
      </c>
      <c r="Q10" s="17">
        <f>COUNTIF(B:F,"S.*")</f>
        <v>107</v>
      </c>
      <c r="R10" s="35">
        <f>SUM(I10:Q10)</f>
        <v>640</v>
      </c>
      <c r="S10" s="17">
        <f>COUNTIFS(B2:F1000,"&lt;&gt;",B2:F1000,"&lt;&gt;OFF.*",B2:F1000,"&lt;&gt;AA.*",B2:F1000,"&lt;&gt;BB.*",B2:F1000,"&lt;&gt;W.*",B2:F1000,"&lt;&gt;X.*",B2:F1000,"&lt;&gt;CC.*")</f>
        <v>640</v>
      </c>
    </row>
    <row r="11" spans="1:19" x14ac:dyDescent="0.2">
      <c r="A11">
        <v>20</v>
      </c>
      <c r="B11" t="s">
        <v>331</v>
      </c>
      <c r="C11" t="s">
        <v>331</v>
      </c>
      <c r="D11" t="s">
        <v>328</v>
      </c>
      <c r="E11" t="s">
        <v>328</v>
      </c>
      <c r="F11" t="s">
        <v>323</v>
      </c>
    </row>
    <row r="12" spans="1:19" ht="16" x14ac:dyDescent="0.2">
      <c r="A12">
        <v>20</v>
      </c>
      <c r="B12" t="s">
        <v>159</v>
      </c>
      <c r="C12" t="s">
        <v>157</v>
      </c>
      <c r="D12" t="s">
        <v>159</v>
      </c>
      <c r="E12" t="s">
        <v>322</v>
      </c>
      <c r="F12" t="s">
        <v>159</v>
      </c>
      <c r="H12" s="70" t="s">
        <v>398</v>
      </c>
      <c r="I12" s="70"/>
      <c r="K12" s="59" t="s">
        <v>58</v>
      </c>
      <c r="L12" s="63"/>
      <c r="M12" s="60"/>
    </row>
    <row r="13" spans="1:19" ht="16" x14ac:dyDescent="0.2">
      <c r="A13">
        <v>20</v>
      </c>
      <c r="B13" t="s">
        <v>159</v>
      </c>
      <c r="C13" t="s">
        <v>159</v>
      </c>
      <c r="D13" t="s">
        <v>159</v>
      </c>
      <c r="E13" t="s">
        <v>159</v>
      </c>
      <c r="F13" t="s">
        <v>322</v>
      </c>
      <c r="H13" s="26" t="s">
        <v>322</v>
      </c>
      <c r="K13" s="64" t="s">
        <v>63</v>
      </c>
      <c r="L13" s="64"/>
      <c r="M13" s="19">
        <f>2*R10/COUNTIF(A2:A1000,"&lt;&gt;")</f>
        <v>8.258064516129032</v>
      </c>
    </row>
    <row r="14" spans="1:19" ht="16" x14ac:dyDescent="0.2">
      <c r="A14">
        <v>20</v>
      </c>
      <c r="B14" t="s">
        <v>322</v>
      </c>
      <c r="C14" t="s">
        <v>159</v>
      </c>
      <c r="D14" t="s">
        <v>322</v>
      </c>
      <c r="E14" t="s">
        <v>159</v>
      </c>
      <c r="F14" t="s">
        <v>322</v>
      </c>
      <c r="H14" s="26" t="s">
        <v>329</v>
      </c>
      <c r="K14" s="62" t="s">
        <v>67</v>
      </c>
      <c r="L14" s="62"/>
      <c r="M14" s="17">
        <v>304</v>
      </c>
    </row>
    <row r="15" spans="1:19" ht="16" x14ac:dyDescent="0.2">
      <c r="A15">
        <v>18.7</v>
      </c>
      <c r="B15" t="s">
        <v>322</v>
      </c>
      <c r="C15" t="s">
        <v>322</v>
      </c>
      <c r="D15" t="s">
        <v>322</v>
      </c>
      <c r="E15" t="s">
        <v>322</v>
      </c>
      <c r="F15" t="s">
        <v>159</v>
      </c>
      <c r="H15" s="26" t="s">
        <v>328</v>
      </c>
      <c r="K15" s="65" t="s">
        <v>72</v>
      </c>
      <c r="L15" s="65"/>
      <c r="M15" s="18">
        <f>COUNTIF(A2:A1000,"&lt;&gt;")</f>
        <v>155</v>
      </c>
    </row>
    <row r="16" spans="1:19" ht="16" x14ac:dyDescent="0.2">
      <c r="A16">
        <v>17</v>
      </c>
      <c r="B16" t="s">
        <v>324</v>
      </c>
      <c r="C16" t="s">
        <v>324</v>
      </c>
      <c r="D16" t="s">
        <v>324</v>
      </c>
      <c r="E16" t="s">
        <v>324</v>
      </c>
      <c r="F16" t="s">
        <v>324</v>
      </c>
      <c r="H16" s="26" t="s">
        <v>331</v>
      </c>
      <c r="K16" s="62" t="s">
        <v>76</v>
      </c>
      <c r="L16" s="59"/>
      <c r="M16" s="27">
        <f>M15/M14</f>
        <v>0.50986842105263153</v>
      </c>
    </row>
    <row r="17" spans="1:13" ht="16" x14ac:dyDescent="0.2">
      <c r="A17">
        <v>15</v>
      </c>
      <c r="B17" t="s">
        <v>328</v>
      </c>
      <c r="C17" t="s">
        <v>322</v>
      </c>
      <c r="D17" t="s">
        <v>322</v>
      </c>
      <c r="E17" t="s">
        <v>159</v>
      </c>
      <c r="F17" t="s">
        <v>159</v>
      </c>
      <c r="H17" s="26" t="s">
        <v>325</v>
      </c>
      <c r="K17" s="66" t="s">
        <v>80</v>
      </c>
      <c r="L17" s="66"/>
      <c r="M17" s="28">
        <v>32</v>
      </c>
    </row>
    <row r="18" spans="1:13" ht="16" x14ac:dyDescent="0.2">
      <c r="A18">
        <v>12</v>
      </c>
      <c r="B18" t="s">
        <v>325</v>
      </c>
      <c r="C18" t="s">
        <v>325</v>
      </c>
      <c r="D18" t="s">
        <v>325</v>
      </c>
      <c r="E18" t="s">
        <v>325</v>
      </c>
      <c r="F18" t="s">
        <v>325</v>
      </c>
      <c r="H18" s="26" t="s">
        <v>332</v>
      </c>
      <c r="K18" s="59" t="s">
        <v>85</v>
      </c>
      <c r="L18" s="60"/>
      <c r="M18" s="17">
        <f>AVERAGE(A2:A1000)</f>
        <v>11.187741935483871</v>
      </c>
    </row>
    <row r="19" spans="1:13" ht="16" x14ac:dyDescent="0.2">
      <c r="A19">
        <v>10</v>
      </c>
      <c r="B19" t="s">
        <v>322</v>
      </c>
      <c r="C19" t="s">
        <v>322</v>
      </c>
      <c r="D19" t="s">
        <v>322</v>
      </c>
      <c r="E19" t="s">
        <v>322</v>
      </c>
      <c r="F19" t="s">
        <v>322</v>
      </c>
      <c r="H19" s="26" t="s">
        <v>334</v>
      </c>
      <c r="K19" s="59" t="s">
        <v>90</v>
      </c>
      <c r="L19" s="60"/>
      <c r="M19" s="17">
        <f>MEDIAN(A2:A1000)</f>
        <v>2</v>
      </c>
    </row>
    <row r="20" spans="1:13" ht="16" x14ac:dyDescent="0.2">
      <c r="A20">
        <v>5.8</v>
      </c>
      <c r="B20" t="s">
        <v>326</v>
      </c>
      <c r="C20" t="s">
        <v>322</v>
      </c>
      <c r="D20" t="s">
        <v>322</v>
      </c>
      <c r="E20" t="s">
        <v>322</v>
      </c>
      <c r="F20" t="s">
        <v>326</v>
      </c>
      <c r="H20" s="26" t="s">
        <v>335</v>
      </c>
      <c r="K20" s="59" t="s">
        <v>94</v>
      </c>
      <c r="L20" s="60"/>
      <c r="M20" s="17">
        <f>(SUM(A2:A1000)/M15)*M14</f>
        <v>3401.0735483870967</v>
      </c>
    </row>
    <row r="21" spans="1:13" ht="16" x14ac:dyDescent="0.2">
      <c r="A21">
        <v>5</v>
      </c>
      <c r="B21" t="s">
        <v>322</v>
      </c>
      <c r="C21" t="s">
        <v>322</v>
      </c>
      <c r="D21" t="s">
        <v>322</v>
      </c>
      <c r="E21" t="s">
        <v>322</v>
      </c>
      <c r="F21" t="s">
        <v>322</v>
      </c>
      <c r="H21" s="26" t="s">
        <v>337</v>
      </c>
      <c r="K21" s="59" t="s">
        <v>98</v>
      </c>
      <c r="L21" s="60"/>
      <c r="M21" s="27">
        <f>COUNTIF(A:A,"&lt;=5")/M15</f>
        <v>0.65806451612903227</v>
      </c>
    </row>
    <row r="22" spans="1:13" ht="16" x14ac:dyDescent="0.2">
      <c r="A22">
        <v>5</v>
      </c>
      <c r="B22" t="s">
        <v>322</v>
      </c>
      <c r="C22" t="s">
        <v>322</v>
      </c>
      <c r="D22" t="s">
        <v>322</v>
      </c>
      <c r="E22" t="s">
        <v>322</v>
      </c>
      <c r="F22" t="s">
        <v>322</v>
      </c>
      <c r="H22" s="26" t="s">
        <v>338</v>
      </c>
    </row>
    <row r="23" spans="1:13" ht="16" x14ac:dyDescent="0.2">
      <c r="A23">
        <v>4.5</v>
      </c>
      <c r="B23" t="s">
        <v>322</v>
      </c>
      <c r="C23" t="s">
        <v>322</v>
      </c>
      <c r="D23" t="s">
        <v>323</v>
      </c>
      <c r="E23" t="s">
        <v>322</v>
      </c>
      <c r="F23" t="s">
        <v>323</v>
      </c>
      <c r="H23" s="26" t="s">
        <v>339</v>
      </c>
    </row>
    <row r="24" spans="1:13" ht="16" x14ac:dyDescent="0.2">
      <c r="A24">
        <v>4.5</v>
      </c>
      <c r="B24" t="s">
        <v>328</v>
      </c>
      <c r="C24" t="s">
        <v>331</v>
      </c>
      <c r="D24" t="s">
        <v>328</v>
      </c>
      <c r="E24" t="s">
        <v>347</v>
      </c>
      <c r="F24" t="s">
        <v>347</v>
      </c>
      <c r="H24" s="26" t="s">
        <v>340</v>
      </c>
    </row>
    <row r="25" spans="1:13" ht="16" x14ac:dyDescent="0.2">
      <c r="A25">
        <v>4</v>
      </c>
      <c r="B25" t="s">
        <v>323</v>
      </c>
      <c r="C25" t="s">
        <v>323</v>
      </c>
      <c r="D25" t="s">
        <v>323</v>
      </c>
      <c r="E25" t="s">
        <v>323</v>
      </c>
      <c r="F25" t="s">
        <v>153</v>
      </c>
      <c r="H25" s="26" t="s">
        <v>341</v>
      </c>
    </row>
    <row r="26" spans="1:13" ht="16" x14ac:dyDescent="0.2">
      <c r="A26">
        <v>4</v>
      </c>
      <c r="B26" t="s">
        <v>345</v>
      </c>
      <c r="C26" t="s">
        <v>325</v>
      </c>
      <c r="D26" t="s">
        <v>345</v>
      </c>
      <c r="E26" t="s">
        <v>325</v>
      </c>
      <c r="F26" t="s">
        <v>159</v>
      </c>
      <c r="H26" s="26" t="s">
        <v>342</v>
      </c>
    </row>
    <row r="27" spans="1:13" ht="16" x14ac:dyDescent="0.2">
      <c r="A27">
        <v>4</v>
      </c>
      <c r="B27" t="s">
        <v>326</v>
      </c>
      <c r="C27" t="s">
        <v>322</v>
      </c>
      <c r="D27" t="s">
        <v>328</v>
      </c>
      <c r="E27" t="s">
        <v>322</v>
      </c>
      <c r="F27" t="s">
        <v>326</v>
      </c>
      <c r="H27" s="26" t="s">
        <v>343</v>
      </c>
    </row>
    <row r="28" spans="1:13" ht="16" x14ac:dyDescent="0.2">
      <c r="A28">
        <v>4</v>
      </c>
      <c r="B28" t="s">
        <v>159</v>
      </c>
      <c r="C28" t="s">
        <v>345</v>
      </c>
      <c r="D28" t="s">
        <v>345</v>
      </c>
      <c r="E28" t="s">
        <v>345</v>
      </c>
      <c r="F28" t="s">
        <v>159</v>
      </c>
      <c r="H28" s="26" t="s">
        <v>344</v>
      </c>
    </row>
    <row r="29" spans="1:13" ht="16" x14ac:dyDescent="0.2">
      <c r="A29">
        <v>3</v>
      </c>
      <c r="B29" t="s">
        <v>322</v>
      </c>
      <c r="C29" t="s">
        <v>322</v>
      </c>
      <c r="D29" t="s">
        <v>322</v>
      </c>
      <c r="E29" t="s">
        <v>322</v>
      </c>
      <c r="F29" t="s">
        <v>322</v>
      </c>
      <c r="H29" s="26" t="s">
        <v>345</v>
      </c>
    </row>
    <row r="30" spans="1:13" ht="16" x14ac:dyDescent="0.2">
      <c r="A30">
        <v>3</v>
      </c>
      <c r="B30" t="s">
        <v>322</v>
      </c>
      <c r="C30" t="s">
        <v>322</v>
      </c>
      <c r="D30" t="s">
        <v>322</v>
      </c>
      <c r="E30" t="s">
        <v>322</v>
      </c>
      <c r="F30" t="s">
        <v>322</v>
      </c>
      <c r="H30" s="26" t="s">
        <v>336</v>
      </c>
    </row>
    <row r="31" spans="1:13" ht="16" x14ac:dyDescent="0.2">
      <c r="A31">
        <v>3</v>
      </c>
      <c r="B31" t="s">
        <v>322</v>
      </c>
      <c r="C31" t="s">
        <v>322</v>
      </c>
      <c r="D31" t="s">
        <v>322</v>
      </c>
      <c r="E31" t="s">
        <v>322</v>
      </c>
      <c r="F31" t="s">
        <v>322</v>
      </c>
      <c r="H31" s="26" t="s">
        <v>346</v>
      </c>
    </row>
    <row r="32" spans="1:13" ht="16" x14ac:dyDescent="0.2">
      <c r="A32">
        <v>3</v>
      </c>
      <c r="B32" t="s">
        <v>322</v>
      </c>
      <c r="C32" t="s">
        <v>322</v>
      </c>
      <c r="D32" t="s">
        <v>322</v>
      </c>
      <c r="E32" t="s">
        <v>322</v>
      </c>
      <c r="F32" t="s">
        <v>322</v>
      </c>
      <c r="H32" s="26" t="s">
        <v>347</v>
      </c>
    </row>
    <row r="33" spans="1:8" ht="16" x14ac:dyDescent="0.2">
      <c r="A33">
        <v>3</v>
      </c>
      <c r="B33" t="s">
        <v>322</v>
      </c>
      <c r="C33" t="s">
        <v>322</v>
      </c>
      <c r="D33" t="s">
        <v>322</v>
      </c>
      <c r="E33" t="s">
        <v>322</v>
      </c>
      <c r="F33" t="s">
        <v>322</v>
      </c>
      <c r="H33" s="26" t="s">
        <v>324</v>
      </c>
    </row>
    <row r="34" spans="1:8" ht="16" x14ac:dyDescent="0.2">
      <c r="A34">
        <v>3</v>
      </c>
      <c r="B34" t="s">
        <v>328</v>
      </c>
      <c r="C34" t="s">
        <v>157</v>
      </c>
      <c r="D34" t="s">
        <v>157</v>
      </c>
      <c r="E34" t="s">
        <v>157</v>
      </c>
      <c r="F34" t="s">
        <v>157</v>
      </c>
      <c r="H34" s="26" t="s">
        <v>323</v>
      </c>
    </row>
    <row r="35" spans="1:8" ht="16" x14ac:dyDescent="0.2">
      <c r="A35">
        <v>3</v>
      </c>
      <c r="B35" t="s">
        <v>322</v>
      </c>
      <c r="C35" t="s">
        <v>322</v>
      </c>
      <c r="D35" t="s">
        <v>322</v>
      </c>
      <c r="E35" t="s">
        <v>322</v>
      </c>
      <c r="F35" t="s">
        <v>322</v>
      </c>
      <c r="H35" s="26" t="s">
        <v>326</v>
      </c>
    </row>
    <row r="36" spans="1:8" ht="16" x14ac:dyDescent="0.2">
      <c r="A36">
        <v>3</v>
      </c>
      <c r="B36" t="s">
        <v>322</v>
      </c>
      <c r="C36" t="s">
        <v>322</v>
      </c>
      <c r="D36" t="s">
        <v>322</v>
      </c>
      <c r="E36" t="s">
        <v>322</v>
      </c>
      <c r="F36" t="s">
        <v>322</v>
      </c>
      <c r="H36" s="26" t="s">
        <v>153</v>
      </c>
    </row>
    <row r="37" spans="1:8" ht="16" x14ac:dyDescent="0.2">
      <c r="A37">
        <v>3</v>
      </c>
      <c r="B37" t="s">
        <v>159</v>
      </c>
      <c r="C37" t="s">
        <v>322</v>
      </c>
      <c r="D37" t="s">
        <v>159</v>
      </c>
      <c r="E37" t="s">
        <v>159</v>
      </c>
      <c r="F37" t="s">
        <v>322</v>
      </c>
      <c r="H37" s="26" t="s">
        <v>155</v>
      </c>
    </row>
    <row r="38" spans="1:8" ht="16" x14ac:dyDescent="0.2">
      <c r="A38">
        <v>3</v>
      </c>
      <c r="B38" t="s">
        <v>322</v>
      </c>
      <c r="C38" t="s">
        <v>322</v>
      </c>
      <c r="D38" t="s">
        <v>323</v>
      </c>
      <c r="E38" t="s">
        <v>322</v>
      </c>
      <c r="F38" t="s">
        <v>322</v>
      </c>
      <c r="H38" s="26" t="s">
        <v>157</v>
      </c>
    </row>
    <row r="39" spans="1:8" x14ac:dyDescent="0.2">
      <c r="A39">
        <v>2.5</v>
      </c>
      <c r="B39" t="s">
        <v>322</v>
      </c>
      <c r="C39" t="s">
        <v>322</v>
      </c>
      <c r="D39" t="s">
        <v>322</v>
      </c>
      <c r="E39" t="s">
        <v>322</v>
      </c>
      <c r="F39" t="s">
        <v>322</v>
      </c>
    </row>
    <row r="40" spans="1:8" x14ac:dyDescent="0.2">
      <c r="A40">
        <v>2.4</v>
      </c>
      <c r="B40" t="s">
        <v>322</v>
      </c>
      <c r="C40" t="s">
        <v>347</v>
      </c>
      <c r="D40" t="s">
        <v>322</v>
      </c>
      <c r="E40" t="s">
        <v>322</v>
      </c>
      <c r="F40" t="s">
        <v>155</v>
      </c>
    </row>
    <row r="41" spans="1:8" x14ac:dyDescent="0.2">
      <c r="A41">
        <v>2.2000000000000002</v>
      </c>
      <c r="B41" t="s">
        <v>346</v>
      </c>
      <c r="C41" t="s">
        <v>328</v>
      </c>
      <c r="D41" t="s">
        <v>346</v>
      </c>
      <c r="E41" t="s">
        <v>328</v>
      </c>
      <c r="F41" t="s">
        <v>328</v>
      </c>
    </row>
    <row r="42" spans="1:8" x14ac:dyDescent="0.2">
      <c r="A42">
        <v>2.2000000000000002</v>
      </c>
      <c r="B42" t="s">
        <v>347</v>
      </c>
      <c r="C42" t="s">
        <v>347</v>
      </c>
      <c r="D42" t="s">
        <v>159</v>
      </c>
      <c r="E42" t="s">
        <v>159</v>
      </c>
      <c r="F42" t="s">
        <v>159</v>
      </c>
    </row>
    <row r="43" spans="1:8" x14ac:dyDescent="0.2">
      <c r="A43">
        <v>2</v>
      </c>
      <c r="B43" t="s">
        <v>322</v>
      </c>
      <c r="C43" t="s">
        <v>322</v>
      </c>
      <c r="D43" t="s">
        <v>322</v>
      </c>
      <c r="E43" t="s">
        <v>322</v>
      </c>
      <c r="F43" t="s">
        <v>322</v>
      </c>
    </row>
    <row r="44" spans="1:8" x14ac:dyDescent="0.2">
      <c r="A44">
        <v>2</v>
      </c>
      <c r="B44" t="s">
        <v>322</v>
      </c>
      <c r="C44" t="s">
        <v>322</v>
      </c>
      <c r="D44" t="s">
        <v>322</v>
      </c>
      <c r="E44" t="s">
        <v>322</v>
      </c>
      <c r="F44" t="s">
        <v>322</v>
      </c>
    </row>
    <row r="45" spans="1:8" x14ac:dyDescent="0.2">
      <c r="A45">
        <v>2</v>
      </c>
      <c r="B45" t="s">
        <v>328</v>
      </c>
      <c r="C45" t="s">
        <v>322</v>
      </c>
      <c r="D45" t="s">
        <v>328</v>
      </c>
      <c r="E45" t="s">
        <v>328</v>
      </c>
      <c r="F45" t="s">
        <v>322</v>
      </c>
    </row>
    <row r="46" spans="1:8" x14ac:dyDescent="0.2">
      <c r="A46">
        <v>2</v>
      </c>
      <c r="B46" t="s">
        <v>322</v>
      </c>
      <c r="C46" t="s">
        <v>322</v>
      </c>
      <c r="D46" t="s">
        <v>322</v>
      </c>
      <c r="E46" t="s">
        <v>322</v>
      </c>
      <c r="F46" t="s">
        <v>322</v>
      </c>
    </row>
    <row r="47" spans="1:8" x14ac:dyDescent="0.2">
      <c r="A47">
        <v>2</v>
      </c>
      <c r="B47" t="s">
        <v>322</v>
      </c>
      <c r="C47" t="s">
        <v>322</v>
      </c>
      <c r="D47" t="s">
        <v>322</v>
      </c>
      <c r="E47" t="s">
        <v>322</v>
      </c>
      <c r="F47" t="s">
        <v>322</v>
      </c>
    </row>
    <row r="48" spans="1:8" x14ac:dyDescent="0.2">
      <c r="A48">
        <v>2</v>
      </c>
      <c r="B48" t="s">
        <v>331</v>
      </c>
      <c r="C48" t="s">
        <v>331</v>
      </c>
      <c r="D48" t="s">
        <v>331</v>
      </c>
      <c r="E48" t="s">
        <v>331</v>
      </c>
      <c r="F48" t="s">
        <v>331</v>
      </c>
    </row>
    <row r="49" spans="1:6" x14ac:dyDescent="0.2">
      <c r="A49">
        <v>2</v>
      </c>
      <c r="B49" t="s">
        <v>322</v>
      </c>
      <c r="C49" t="s">
        <v>322</v>
      </c>
      <c r="D49" t="s">
        <v>322</v>
      </c>
      <c r="E49" t="s">
        <v>322</v>
      </c>
      <c r="F49" t="s">
        <v>322</v>
      </c>
    </row>
    <row r="50" spans="1:6" x14ac:dyDescent="0.2">
      <c r="A50">
        <v>2</v>
      </c>
      <c r="B50" t="s">
        <v>322</v>
      </c>
      <c r="C50" t="s">
        <v>322</v>
      </c>
      <c r="D50" t="s">
        <v>322</v>
      </c>
      <c r="E50" t="s">
        <v>322</v>
      </c>
      <c r="F50" t="s">
        <v>159</v>
      </c>
    </row>
    <row r="51" spans="1:6" x14ac:dyDescent="0.2">
      <c r="A51">
        <v>2</v>
      </c>
      <c r="B51" t="s">
        <v>322</v>
      </c>
      <c r="C51" t="s">
        <v>347</v>
      </c>
      <c r="D51" t="s">
        <v>322</v>
      </c>
      <c r="E51" t="s">
        <v>347</v>
      </c>
      <c r="F51" t="s">
        <v>322</v>
      </c>
    </row>
    <row r="52" spans="1:6" x14ac:dyDescent="0.2">
      <c r="A52">
        <v>2</v>
      </c>
      <c r="B52" t="s">
        <v>324</v>
      </c>
      <c r="C52" t="s">
        <v>324</v>
      </c>
      <c r="D52" t="s">
        <v>324</v>
      </c>
      <c r="E52" t="s">
        <v>324</v>
      </c>
      <c r="F52" t="s">
        <v>322</v>
      </c>
    </row>
    <row r="53" spans="1:6" x14ac:dyDescent="0.2">
      <c r="A53">
        <v>2</v>
      </c>
      <c r="B53" t="s">
        <v>323</v>
      </c>
      <c r="C53" t="s">
        <v>322</v>
      </c>
      <c r="D53" t="s">
        <v>322</v>
      </c>
      <c r="E53" t="s">
        <v>322</v>
      </c>
      <c r="F53" t="s">
        <v>323</v>
      </c>
    </row>
    <row r="54" spans="1:6" x14ac:dyDescent="0.2">
      <c r="A54">
        <v>2</v>
      </c>
      <c r="B54" t="s">
        <v>322</v>
      </c>
      <c r="C54" t="s">
        <v>322</v>
      </c>
      <c r="D54" t="s">
        <v>322</v>
      </c>
      <c r="E54" t="s">
        <v>322</v>
      </c>
      <c r="F54" t="s">
        <v>322</v>
      </c>
    </row>
    <row r="55" spans="1:6" x14ac:dyDescent="0.2">
      <c r="A55">
        <v>2</v>
      </c>
      <c r="B55" t="s">
        <v>324</v>
      </c>
      <c r="C55" t="s">
        <v>324</v>
      </c>
      <c r="D55" t="s">
        <v>324</v>
      </c>
      <c r="E55" t="s">
        <v>324</v>
      </c>
      <c r="F55" t="s">
        <v>324</v>
      </c>
    </row>
    <row r="56" spans="1:6" x14ac:dyDescent="0.2">
      <c r="A56">
        <v>1.5</v>
      </c>
      <c r="B56" t="s">
        <v>347</v>
      </c>
      <c r="C56" t="s">
        <v>347</v>
      </c>
      <c r="D56" t="s">
        <v>347</v>
      </c>
      <c r="E56" t="s">
        <v>347</v>
      </c>
      <c r="F56" t="s">
        <v>347</v>
      </c>
    </row>
    <row r="57" spans="1:6" x14ac:dyDescent="0.2">
      <c r="A57">
        <v>1.5</v>
      </c>
      <c r="B57" t="s">
        <v>331</v>
      </c>
      <c r="C57" t="s">
        <v>322</v>
      </c>
      <c r="D57" t="s">
        <v>331</v>
      </c>
      <c r="E57" t="s">
        <v>322</v>
      </c>
      <c r="F57" t="s">
        <v>331</v>
      </c>
    </row>
    <row r="58" spans="1:6" x14ac:dyDescent="0.2">
      <c r="A58">
        <v>1.5</v>
      </c>
      <c r="B58" t="s">
        <v>346</v>
      </c>
      <c r="C58" t="s">
        <v>346</v>
      </c>
      <c r="D58" t="s">
        <v>322</v>
      </c>
      <c r="E58" t="s">
        <v>346</v>
      </c>
      <c r="F58" t="s">
        <v>346</v>
      </c>
    </row>
    <row r="59" spans="1:6" x14ac:dyDescent="0.2">
      <c r="A59">
        <v>1.5</v>
      </c>
      <c r="B59" t="s">
        <v>347</v>
      </c>
      <c r="C59" t="s">
        <v>347</v>
      </c>
      <c r="D59" t="s">
        <v>347</v>
      </c>
      <c r="E59" t="s">
        <v>347</v>
      </c>
      <c r="F59" t="s">
        <v>347</v>
      </c>
    </row>
    <row r="60" spans="1:6" x14ac:dyDescent="0.2">
      <c r="A60">
        <v>1.5</v>
      </c>
      <c r="B60" t="s">
        <v>322</v>
      </c>
      <c r="C60" t="s">
        <v>322</v>
      </c>
      <c r="D60" t="s">
        <v>322</v>
      </c>
      <c r="E60" t="s">
        <v>322</v>
      </c>
      <c r="F60" t="s">
        <v>322</v>
      </c>
    </row>
    <row r="61" spans="1:6" x14ac:dyDescent="0.2">
      <c r="A61">
        <v>1.5</v>
      </c>
      <c r="B61" t="s">
        <v>322</v>
      </c>
      <c r="C61" t="s">
        <v>347</v>
      </c>
      <c r="D61" t="s">
        <v>322</v>
      </c>
      <c r="E61" t="s">
        <v>347</v>
      </c>
      <c r="F61" t="s">
        <v>347</v>
      </c>
    </row>
    <row r="62" spans="1:6" x14ac:dyDescent="0.2">
      <c r="A62">
        <v>1.5</v>
      </c>
      <c r="B62" t="s">
        <v>322</v>
      </c>
      <c r="C62" t="s">
        <v>322</v>
      </c>
      <c r="D62" t="s">
        <v>322</v>
      </c>
      <c r="E62" t="s">
        <v>322</v>
      </c>
      <c r="F62" t="s">
        <v>347</v>
      </c>
    </row>
    <row r="63" spans="1:6" x14ac:dyDescent="0.2">
      <c r="A63">
        <v>1.5</v>
      </c>
      <c r="B63" t="s">
        <v>322</v>
      </c>
      <c r="C63" t="s">
        <v>322</v>
      </c>
      <c r="D63" t="s">
        <v>322</v>
      </c>
      <c r="E63" t="s">
        <v>322</v>
      </c>
      <c r="F63" t="s">
        <v>322</v>
      </c>
    </row>
    <row r="64" spans="1:6" x14ac:dyDescent="0.2">
      <c r="A64">
        <v>1.25</v>
      </c>
      <c r="B64" t="s">
        <v>322</v>
      </c>
      <c r="C64" t="s">
        <v>322</v>
      </c>
      <c r="D64" t="s">
        <v>322</v>
      </c>
      <c r="E64" t="s">
        <v>322</v>
      </c>
      <c r="F64" t="s">
        <v>322</v>
      </c>
    </row>
    <row r="65" spans="1:6" x14ac:dyDescent="0.2">
      <c r="A65">
        <v>1.2</v>
      </c>
      <c r="B65" t="s">
        <v>322</v>
      </c>
      <c r="C65" t="s">
        <v>322</v>
      </c>
      <c r="D65" t="s">
        <v>322</v>
      </c>
      <c r="E65" t="s">
        <v>346</v>
      </c>
      <c r="F65" t="s">
        <v>346</v>
      </c>
    </row>
    <row r="66" spans="1:6" x14ac:dyDescent="0.2">
      <c r="A66">
        <v>1.2</v>
      </c>
      <c r="B66" t="s">
        <v>322</v>
      </c>
      <c r="C66" t="s">
        <v>322</v>
      </c>
      <c r="D66" t="s">
        <v>322</v>
      </c>
      <c r="E66" t="s">
        <v>322</v>
      </c>
      <c r="F66" t="s">
        <v>322</v>
      </c>
    </row>
    <row r="67" spans="1:6" x14ac:dyDescent="0.2">
      <c r="A67">
        <v>1.1000000000000001</v>
      </c>
      <c r="B67" t="s">
        <v>322</v>
      </c>
      <c r="C67" t="s">
        <v>346</v>
      </c>
      <c r="D67" t="s">
        <v>346</v>
      </c>
      <c r="E67" t="s">
        <v>346</v>
      </c>
      <c r="F67" t="s">
        <v>322</v>
      </c>
    </row>
    <row r="68" spans="1:6" x14ac:dyDescent="0.2">
      <c r="A68">
        <v>1</v>
      </c>
      <c r="B68" t="s">
        <v>346</v>
      </c>
      <c r="C68" t="s">
        <v>346</v>
      </c>
      <c r="D68" t="s">
        <v>346</v>
      </c>
      <c r="E68" t="s">
        <v>346</v>
      </c>
      <c r="F68" t="s">
        <v>346</v>
      </c>
    </row>
    <row r="69" spans="1:6" x14ac:dyDescent="0.2">
      <c r="A69">
        <v>1</v>
      </c>
      <c r="B69" t="s">
        <v>324</v>
      </c>
      <c r="C69" t="s">
        <v>346</v>
      </c>
      <c r="D69" t="s">
        <v>346</v>
      </c>
      <c r="E69" t="s">
        <v>324</v>
      </c>
      <c r="F69" t="s">
        <v>346</v>
      </c>
    </row>
    <row r="70" spans="1:6" x14ac:dyDescent="0.2">
      <c r="A70">
        <v>1</v>
      </c>
      <c r="B70" t="s">
        <v>347</v>
      </c>
      <c r="C70" t="s">
        <v>347</v>
      </c>
      <c r="D70" t="s">
        <v>347</v>
      </c>
      <c r="E70" t="s">
        <v>347</v>
      </c>
      <c r="F70" t="s">
        <v>347</v>
      </c>
    </row>
    <row r="71" spans="1:6" x14ac:dyDescent="0.2">
      <c r="A71">
        <v>1</v>
      </c>
      <c r="B71" t="s">
        <v>328</v>
      </c>
      <c r="C71" t="s">
        <v>328</v>
      </c>
      <c r="D71" t="s">
        <v>328</v>
      </c>
      <c r="E71" t="s">
        <v>346</v>
      </c>
      <c r="F71" t="s">
        <v>328</v>
      </c>
    </row>
    <row r="72" spans="1:6" x14ac:dyDescent="0.2">
      <c r="A72">
        <v>1</v>
      </c>
      <c r="B72" t="s">
        <v>328</v>
      </c>
      <c r="C72" t="s">
        <v>328</v>
      </c>
      <c r="D72" t="s">
        <v>322</v>
      </c>
      <c r="E72" t="s">
        <v>322</v>
      </c>
      <c r="F72" t="s">
        <v>322</v>
      </c>
    </row>
    <row r="73" spans="1:6" x14ac:dyDescent="0.2">
      <c r="A73">
        <v>1</v>
      </c>
      <c r="B73" t="s">
        <v>322</v>
      </c>
      <c r="C73" t="s">
        <v>322</v>
      </c>
      <c r="D73" t="s">
        <v>322</v>
      </c>
      <c r="E73" t="s">
        <v>328</v>
      </c>
      <c r="F73" t="s">
        <v>322</v>
      </c>
    </row>
    <row r="74" spans="1:6" x14ac:dyDescent="0.2">
      <c r="A74">
        <v>1</v>
      </c>
      <c r="B74" t="s">
        <v>346</v>
      </c>
      <c r="C74" t="s">
        <v>347</v>
      </c>
      <c r="D74" t="s">
        <v>347</v>
      </c>
      <c r="E74" t="s">
        <v>347</v>
      </c>
      <c r="F74" t="s">
        <v>347</v>
      </c>
    </row>
    <row r="75" spans="1:6" x14ac:dyDescent="0.2">
      <c r="A75">
        <v>1</v>
      </c>
      <c r="B75" t="s">
        <v>346</v>
      </c>
      <c r="C75" t="s">
        <v>346</v>
      </c>
      <c r="D75" t="s">
        <v>346</v>
      </c>
      <c r="E75" t="s">
        <v>346</v>
      </c>
      <c r="F75" t="s">
        <v>346</v>
      </c>
    </row>
    <row r="76" spans="1:6" x14ac:dyDescent="0.2">
      <c r="A76">
        <v>1</v>
      </c>
      <c r="B76" t="s">
        <v>347</v>
      </c>
      <c r="C76" t="s">
        <v>347</v>
      </c>
      <c r="D76" t="s">
        <v>347</v>
      </c>
      <c r="E76" t="s">
        <v>347</v>
      </c>
      <c r="F76" t="s">
        <v>346</v>
      </c>
    </row>
    <row r="77" spans="1:6" x14ac:dyDescent="0.2">
      <c r="A77">
        <v>1</v>
      </c>
      <c r="B77" t="s">
        <v>322</v>
      </c>
      <c r="C77" t="s">
        <v>322</v>
      </c>
      <c r="D77" t="s">
        <v>322</v>
      </c>
      <c r="E77" t="s">
        <v>329</v>
      </c>
      <c r="F77" t="s">
        <v>322</v>
      </c>
    </row>
    <row r="78" spans="1:6" x14ac:dyDescent="0.2">
      <c r="A78">
        <v>1</v>
      </c>
      <c r="B78" t="s">
        <v>322</v>
      </c>
      <c r="C78" t="s">
        <v>322</v>
      </c>
      <c r="D78" t="s">
        <v>346</v>
      </c>
      <c r="E78" t="s">
        <v>322</v>
      </c>
      <c r="F78" t="s">
        <v>346</v>
      </c>
    </row>
    <row r="79" spans="1:6" x14ac:dyDescent="0.2">
      <c r="A79">
        <v>1</v>
      </c>
      <c r="B79" t="s">
        <v>347</v>
      </c>
      <c r="C79" t="s">
        <v>347</v>
      </c>
      <c r="D79" t="s">
        <v>347</v>
      </c>
      <c r="E79" t="s">
        <v>347</v>
      </c>
      <c r="F79" t="s">
        <v>326</v>
      </c>
    </row>
    <row r="80" spans="1:6" x14ac:dyDescent="0.2">
      <c r="A80">
        <v>1</v>
      </c>
      <c r="B80" t="s">
        <v>326</v>
      </c>
      <c r="C80" t="s">
        <v>347</v>
      </c>
      <c r="D80" t="s">
        <v>346</v>
      </c>
      <c r="E80" t="s">
        <v>347</v>
      </c>
      <c r="F80" t="s">
        <v>346</v>
      </c>
    </row>
    <row r="81" spans="1:6" x14ac:dyDescent="0.2">
      <c r="A81">
        <v>1</v>
      </c>
      <c r="B81" t="s">
        <v>346</v>
      </c>
      <c r="C81" t="s">
        <v>346</v>
      </c>
      <c r="D81" t="s">
        <v>346</v>
      </c>
      <c r="E81" t="s">
        <v>346</v>
      </c>
      <c r="F81" t="s">
        <v>331</v>
      </c>
    </row>
    <row r="82" spans="1:6" x14ac:dyDescent="0.2">
      <c r="A82">
        <v>1</v>
      </c>
      <c r="B82" t="s">
        <v>157</v>
      </c>
      <c r="C82" t="s">
        <v>157</v>
      </c>
      <c r="D82" t="s">
        <v>157</v>
      </c>
      <c r="E82" t="s">
        <v>157</v>
      </c>
      <c r="F82" t="s">
        <v>157</v>
      </c>
    </row>
    <row r="83" spans="1:6" x14ac:dyDescent="0.2">
      <c r="A83">
        <v>1</v>
      </c>
      <c r="B83" t="s">
        <v>157</v>
      </c>
      <c r="C83" t="s">
        <v>157</v>
      </c>
      <c r="D83" t="s">
        <v>157</v>
      </c>
      <c r="E83" t="s">
        <v>157</v>
      </c>
      <c r="F83" t="s">
        <v>328</v>
      </c>
    </row>
    <row r="84" spans="1:6" x14ac:dyDescent="0.2">
      <c r="A84">
        <v>1</v>
      </c>
      <c r="B84" t="s">
        <v>322</v>
      </c>
      <c r="C84" t="s">
        <v>322</v>
      </c>
      <c r="D84" t="s">
        <v>322</v>
      </c>
      <c r="E84" t="s">
        <v>322</v>
      </c>
      <c r="F84" t="s">
        <v>322</v>
      </c>
    </row>
    <row r="85" spans="1:6" x14ac:dyDescent="0.2">
      <c r="A85">
        <v>1</v>
      </c>
      <c r="B85" t="s">
        <v>322</v>
      </c>
      <c r="C85" t="s">
        <v>322</v>
      </c>
      <c r="D85" t="s">
        <v>322</v>
      </c>
      <c r="E85" t="s">
        <v>322</v>
      </c>
      <c r="F85" t="s">
        <v>159</v>
      </c>
    </row>
    <row r="86" spans="1:6" x14ac:dyDescent="0.2">
      <c r="A86">
        <v>1</v>
      </c>
      <c r="B86" t="s">
        <v>322</v>
      </c>
      <c r="C86" t="s">
        <v>322</v>
      </c>
      <c r="D86" t="s">
        <v>322</v>
      </c>
      <c r="E86" t="s">
        <v>322</v>
      </c>
      <c r="F86" t="s">
        <v>322</v>
      </c>
    </row>
    <row r="87" spans="1:6" x14ac:dyDescent="0.2">
      <c r="A87">
        <v>1</v>
      </c>
      <c r="B87" t="s">
        <v>322</v>
      </c>
      <c r="C87" t="s">
        <v>322</v>
      </c>
      <c r="D87" t="s">
        <v>346</v>
      </c>
      <c r="E87" t="s">
        <v>346</v>
      </c>
      <c r="F87" t="s">
        <v>322</v>
      </c>
    </row>
    <row r="88" spans="1:6" x14ac:dyDescent="0.2">
      <c r="A88">
        <v>1</v>
      </c>
      <c r="B88" t="s">
        <v>159</v>
      </c>
      <c r="C88" t="s">
        <v>159</v>
      </c>
      <c r="D88" t="s">
        <v>159</v>
      </c>
      <c r="E88" t="s">
        <v>159</v>
      </c>
      <c r="F88" t="s">
        <v>159</v>
      </c>
    </row>
    <row r="89" spans="1:6" x14ac:dyDescent="0.2">
      <c r="A89">
        <v>1</v>
      </c>
      <c r="B89" t="s">
        <v>153</v>
      </c>
      <c r="C89" t="s">
        <v>153</v>
      </c>
      <c r="D89" t="s">
        <v>153</v>
      </c>
      <c r="E89" t="s">
        <v>153</v>
      </c>
      <c r="F89" t="s">
        <v>153</v>
      </c>
    </row>
    <row r="90" spans="1:6" x14ac:dyDescent="0.2">
      <c r="A90">
        <v>1</v>
      </c>
      <c r="B90" t="s">
        <v>347</v>
      </c>
      <c r="C90" t="s">
        <v>347</v>
      </c>
      <c r="D90" t="s">
        <v>347</v>
      </c>
      <c r="E90" t="s">
        <v>322</v>
      </c>
      <c r="F90" t="s">
        <v>323</v>
      </c>
    </row>
    <row r="91" spans="1:6" x14ac:dyDescent="0.2">
      <c r="A91">
        <v>1</v>
      </c>
      <c r="B91" t="s">
        <v>347</v>
      </c>
      <c r="C91" t="s">
        <v>347</v>
      </c>
      <c r="D91" t="s">
        <v>347</v>
      </c>
      <c r="E91" t="s">
        <v>347</v>
      </c>
      <c r="F91" t="s">
        <v>347</v>
      </c>
    </row>
    <row r="92" spans="1:6" x14ac:dyDescent="0.2">
      <c r="A92">
        <v>1</v>
      </c>
      <c r="B92" t="s">
        <v>322</v>
      </c>
      <c r="C92" t="s">
        <v>346</v>
      </c>
      <c r="D92" t="s">
        <v>322</v>
      </c>
      <c r="E92" t="s">
        <v>346</v>
      </c>
      <c r="F92" t="s">
        <v>322</v>
      </c>
    </row>
    <row r="93" spans="1:6" x14ac:dyDescent="0.2">
      <c r="A93">
        <v>1</v>
      </c>
      <c r="B93" t="s">
        <v>322</v>
      </c>
      <c r="C93" t="s">
        <v>322</v>
      </c>
      <c r="D93" t="s">
        <v>322</v>
      </c>
      <c r="E93" t="s">
        <v>159</v>
      </c>
      <c r="F93" t="s">
        <v>159</v>
      </c>
    </row>
    <row r="94" spans="1:6" x14ac:dyDescent="0.2">
      <c r="A94">
        <v>1</v>
      </c>
      <c r="B94" t="s">
        <v>331</v>
      </c>
      <c r="C94" t="s">
        <v>331</v>
      </c>
      <c r="D94" t="s">
        <v>331</v>
      </c>
      <c r="E94" t="s">
        <v>331</v>
      </c>
      <c r="F94" t="s">
        <v>331</v>
      </c>
    </row>
    <row r="95" spans="1:6" x14ac:dyDescent="0.2">
      <c r="A95">
        <v>1</v>
      </c>
      <c r="B95" t="s">
        <v>326</v>
      </c>
      <c r="C95" t="s">
        <v>322</v>
      </c>
      <c r="D95" t="s">
        <v>326</v>
      </c>
      <c r="E95" t="s">
        <v>322</v>
      </c>
      <c r="F95" t="s">
        <v>322</v>
      </c>
    </row>
    <row r="96" spans="1:6" x14ac:dyDescent="0.2">
      <c r="A96">
        <v>1</v>
      </c>
      <c r="B96" t="s">
        <v>322</v>
      </c>
      <c r="C96" t="s">
        <v>322</v>
      </c>
      <c r="D96" t="s">
        <v>322</v>
      </c>
      <c r="E96" t="s">
        <v>322</v>
      </c>
      <c r="F96" t="s">
        <v>322</v>
      </c>
    </row>
    <row r="97" spans="1:6" x14ac:dyDescent="0.2">
      <c r="A97">
        <v>1</v>
      </c>
      <c r="B97" t="s">
        <v>322</v>
      </c>
      <c r="C97" t="s">
        <v>346</v>
      </c>
      <c r="D97" t="s">
        <v>322</v>
      </c>
      <c r="E97" t="s">
        <v>346</v>
      </c>
      <c r="F97" t="s">
        <v>322</v>
      </c>
    </row>
    <row r="98" spans="1:6" x14ac:dyDescent="0.2">
      <c r="A98">
        <v>1</v>
      </c>
      <c r="B98" t="s">
        <v>322</v>
      </c>
      <c r="C98" t="s">
        <v>322</v>
      </c>
      <c r="D98" t="s">
        <v>322</v>
      </c>
      <c r="E98" t="s">
        <v>322</v>
      </c>
      <c r="F98" t="s">
        <v>322</v>
      </c>
    </row>
    <row r="99" spans="1:6" x14ac:dyDescent="0.2">
      <c r="A99">
        <v>1</v>
      </c>
      <c r="B99" t="s">
        <v>328</v>
      </c>
      <c r="C99" t="s">
        <v>328</v>
      </c>
      <c r="D99" t="s">
        <v>328</v>
      </c>
      <c r="E99" t="s">
        <v>328</v>
      </c>
      <c r="F99" t="s">
        <v>328</v>
      </c>
    </row>
    <row r="100" spans="1:6" x14ac:dyDescent="0.2">
      <c r="A100">
        <v>1</v>
      </c>
      <c r="B100" t="s">
        <v>347</v>
      </c>
      <c r="C100" t="s">
        <v>347</v>
      </c>
      <c r="D100" t="s">
        <v>347</v>
      </c>
      <c r="E100" t="s">
        <v>347</v>
      </c>
      <c r="F100" t="s">
        <v>347</v>
      </c>
    </row>
    <row r="101" spans="1:6" x14ac:dyDescent="0.2">
      <c r="A101">
        <v>1</v>
      </c>
      <c r="B101" t="s">
        <v>331</v>
      </c>
      <c r="C101" t="s">
        <v>331</v>
      </c>
      <c r="D101" t="s">
        <v>347</v>
      </c>
      <c r="E101" t="s">
        <v>331</v>
      </c>
      <c r="F101" t="s">
        <v>331</v>
      </c>
    </row>
    <row r="102" spans="1:6" x14ac:dyDescent="0.2">
      <c r="A102">
        <v>1</v>
      </c>
      <c r="B102" t="s">
        <v>346</v>
      </c>
      <c r="C102" t="s">
        <v>346</v>
      </c>
      <c r="D102" t="s">
        <v>346</v>
      </c>
      <c r="E102" t="s">
        <v>328</v>
      </c>
      <c r="F102" t="s">
        <v>159</v>
      </c>
    </row>
    <row r="103" spans="1:6" x14ac:dyDescent="0.2">
      <c r="A103">
        <v>1</v>
      </c>
      <c r="B103" t="s">
        <v>347</v>
      </c>
      <c r="C103" t="s">
        <v>347</v>
      </c>
      <c r="D103" t="s">
        <v>347</v>
      </c>
      <c r="E103" t="s">
        <v>347</v>
      </c>
      <c r="F103" t="s">
        <v>347</v>
      </c>
    </row>
    <row r="104" spans="1:6" x14ac:dyDescent="0.2">
      <c r="A104">
        <v>0.9</v>
      </c>
      <c r="B104" t="s">
        <v>328</v>
      </c>
      <c r="C104" t="s">
        <v>328</v>
      </c>
      <c r="D104" t="s">
        <v>328</v>
      </c>
      <c r="E104" t="s">
        <v>328</v>
      </c>
      <c r="F104" t="s">
        <v>328</v>
      </c>
    </row>
    <row r="105" spans="1:6" x14ac:dyDescent="0.2">
      <c r="A105">
        <v>0.7</v>
      </c>
      <c r="B105" t="s">
        <v>347</v>
      </c>
      <c r="C105" t="s">
        <v>347</v>
      </c>
      <c r="D105" t="s">
        <v>347</v>
      </c>
      <c r="E105" t="s">
        <v>347</v>
      </c>
      <c r="F105" t="s">
        <v>347</v>
      </c>
    </row>
    <row r="106" spans="1:6" x14ac:dyDescent="0.2">
      <c r="A106">
        <v>0.5</v>
      </c>
      <c r="B106" t="s">
        <v>346</v>
      </c>
      <c r="C106" t="s">
        <v>346</v>
      </c>
      <c r="D106" t="s">
        <v>346</v>
      </c>
      <c r="E106" t="s">
        <v>346</v>
      </c>
      <c r="F106" t="s">
        <v>346</v>
      </c>
    </row>
    <row r="107" spans="1:6" x14ac:dyDescent="0.2">
      <c r="A107">
        <v>0.5</v>
      </c>
      <c r="B107" t="s">
        <v>346</v>
      </c>
      <c r="C107" t="s">
        <v>346</v>
      </c>
      <c r="D107" t="s">
        <v>328</v>
      </c>
      <c r="E107" t="s">
        <v>346</v>
      </c>
      <c r="F107" t="s">
        <v>346</v>
      </c>
    </row>
    <row r="108" spans="1:6" x14ac:dyDescent="0.2">
      <c r="A108">
        <v>0.5</v>
      </c>
      <c r="B108" t="s">
        <v>346</v>
      </c>
      <c r="C108" t="s">
        <v>346</v>
      </c>
      <c r="D108" t="s">
        <v>347</v>
      </c>
      <c r="E108" t="s">
        <v>347</v>
      </c>
      <c r="F108" t="s">
        <v>347</v>
      </c>
    </row>
    <row r="109" spans="1:6" x14ac:dyDescent="0.2">
      <c r="A109">
        <v>0.5</v>
      </c>
      <c r="B109" t="s">
        <v>346</v>
      </c>
      <c r="C109" t="s">
        <v>322</v>
      </c>
      <c r="D109" t="s">
        <v>346</v>
      </c>
      <c r="E109" t="s">
        <v>322</v>
      </c>
      <c r="F109" t="s">
        <v>346</v>
      </c>
    </row>
    <row r="110" spans="1:6" x14ac:dyDescent="0.2">
      <c r="A110">
        <v>0.5</v>
      </c>
      <c r="B110" t="s">
        <v>346</v>
      </c>
      <c r="C110" t="s">
        <v>346</v>
      </c>
      <c r="D110" t="s">
        <v>346</v>
      </c>
      <c r="E110" t="s">
        <v>346</v>
      </c>
      <c r="F110" t="s">
        <v>346</v>
      </c>
    </row>
    <row r="111" spans="1:6" x14ac:dyDescent="0.2">
      <c r="A111">
        <v>0.5</v>
      </c>
      <c r="B111" t="s">
        <v>346</v>
      </c>
      <c r="C111" t="s">
        <v>346</v>
      </c>
      <c r="D111" t="s">
        <v>346</v>
      </c>
      <c r="E111" t="s">
        <v>346</v>
      </c>
      <c r="F111" t="s">
        <v>346</v>
      </c>
    </row>
    <row r="112" spans="1:6" x14ac:dyDescent="0.2">
      <c r="A112">
        <v>0.5</v>
      </c>
      <c r="B112" t="s">
        <v>346</v>
      </c>
      <c r="C112" t="s">
        <v>346</v>
      </c>
      <c r="D112" t="s">
        <v>346</v>
      </c>
      <c r="E112" t="s">
        <v>346</v>
      </c>
      <c r="F112" t="s">
        <v>346</v>
      </c>
    </row>
    <row r="113" spans="1:6" x14ac:dyDescent="0.2">
      <c r="A113">
        <v>0.5</v>
      </c>
      <c r="B113" t="s">
        <v>346</v>
      </c>
      <c r="C113" t="s">
        <v>346</v>
      </c>
      <c r="D113" t="s">
        <v>346</v>
      </c>
      <c r="E113" t="s">
        <v>346</v>
      </c>
      <c r="F113" t="s">
        <v>346</v>
      </c>
    </row>
    <row r="114" spans="1:6" x14ac:dyDescent="0.2">
      <c r="A114">
        <v>0.5</v>
      </c>
      <c r="B114" t="s">
        <v>347</v>
      </c>
      <c r="C114" t="s">
        <v>347</v>
      </c>
      <c r="D114" t="s">
        <v>347</v>
      </c>
      <c r="E114" t="s">
        <v>347</v>
      </c>
      <c r="F114" t="s">
        <v>347</v>
      </c>
    </row>
    <row r="115" spans="1:6" x14ac:dyDescent="0.2">
      <c r="A115">
        <v>0.5</v>
      </c>
      <c r="B115" t="s">
        <v>346</v>
      </c>
      <c r="C115" t="s">
        <v>346</v>
      </c>
      <c r="D115" t="s">
        <v>346</v>
      </c>
      <c r="E115" t="s">
        <v>346</v>
      </c>
      <c r="F115" t="s">
        <v>346</v>
      </c>
    </row>
    <row r="116" spans="1:6" x14ac:dyDescent="0.2">
      <c r="A116">
        <v>0.5</v>
      </c>
      <c r="B116" t="s">
        <v>347</v>
      </c>
      <c r="C116" t="s">
        <v>347</v>
      </c>
      <c r="D116" t="s">
        <v>347</v>
      </c>
      <c r="E116" t="s">
        <v>347</v>
      </c>
      <c r="F116" t="s">
        <v>347</v>
      </c>
    </row>
    <row r="117" spans="1:6" x14ac:dyDescent="0.2">
      <c r="A117">
        <v>0.4</v>
      </c>
      <c r="B117" t="s">
        <v>346</v>
      </c>
      <c r="C117" t="s">
        <v>322</v>
      </c>
      <c r="D117" t="s">
        <v>322</v>
      </c>
      <c r="E117" t="s">
        <v>322</v>
      </c>
      <c r="F117" t="s">
        <v>322</v>
      </c>
    </row>
    <row r="118" spans="1:6" x14ac:dyDescent="0.2">
      <c r="A118">
        <v>0.3</v>
      </c>
      <c r="B118" t="s">
        <v>159</v>
      </c>
      <c r="C118" t="s">
        <v>346</v>
      </c>
      <c r="D118" t="s">
        <v>346</v>
      </c>
      <c r="E118" t="s">
        <v>346</v>
      </c>
      <c r="F118" t="s">
        <v>346</v>
      </c>
    </row>
    <row r="119" spans="1:6" x14ac:dyDescent="0.2">
      <c r="A119">
        <v>0.25</v>
      </c>
      <c r="B119" t="s">
        <v>346</v>
      </c>
      <c r="C119" t="s">
        <v>346</v>
      </c>
      <c r="D119" t="s">
        <v>346</v>
      </c>
      <c r="E119" t="s">
        <v>346</v>
      </c>
      <c r="F119" t="s">
        <v>346</v>
      </c>
    </row>
    <row r="120" spans="1:6" x14ac:dyDescent="0.2">
      <c r="A120">
        <v>0.2</v>
      </c>
      <c r="B120" t="s">
        <v>346</v>
      </c>
      <c r="C120" t="s">
        <v>346</v>
      </c>
      <c r="D120" t="s">
        <v>346</v>
      </c>
      <c r="E120" t="s">
        <v>322</v>
      </c>
      <c r="F120" t="s">
        <v>346</v>
      </c>
    </row>
    <row r="121" spans="1:6" x14ac:dyDescent="0.2">
      <c r="A121">
        <v>0.2</v>
      </c>
      <c r="B121" t="s">
        <v>346</v>
      </c>
      <c r="C121" t="s">
        <v>346</v>
      </c>
      <c r="D121" t="s">
        <v>346</v>
      </c>
      <c r="E121" t="s">
        <v>346</v>
      </c>
      <c r="F121" t="s">
        <v>346</v>
      </c>
    </row>
    <row r="122" spans="1:6" x14ac:dyDescent="0.2">
      <c r="A122">
        <v>0.1</v>
      </c>
      <c r="B122" t="s">
        <v>346</v>
      </c>
      <c r="C122" t="s">
        <v>346</v>
      </c>
      <c r="D122" t="s">
        <v>346</v>
      </c>
      <c r="E122" t="s">
        <v>346</v>
      </c>
      <c r="F122" t="s">
        <v>346</v>
      </c>
    </row>
    <row r="124" spans="1:6" x14ac:dyDescent="0.2">
      <c r="A124">
        <v>27</v>
      </c>
      <c r="B124" t="s">
        <v>159</v>
      </c>
      <c r="C124" t="s">
        <v>322</v>
      </c>
      <c r="D124" t="s">
        <v>159</v>
      </c>
      <c r="E124" t="s">
        <v>322</v>
      </c>
      <c r="F124" t="s">
        <v>159</v>
      </c>
    </row>
    <row r="125" spans="1:6" x14ac:dyDescent="0.2">
      <c r="A125">
        <v>27</v>
      </c>
      <c r="B125" t="s">
        <v>322</v>
      </c>
      <c r="C125" t="s">
        <v>322</v>
      </c>
      <c r="D125" t="s">
        <v>322</v>
      </c>
      <c r="E125" t="s">
        <v>322</v>
      </c>
      <c r="F125" t="s">
        <v>322</v>
      </c>
    </row>
    <row r="126" spans="1:6" x14ac:dyDescent="0.2">
      <c r="A126">
        <v>27</v>
      </c>
      <c r="B126" t="s">
        <v>322</v>
      </c>
      <c r="C126" t="s">
        <v>322</v>
      </c>
      <c r="D126" t="s">
        <v>322</v>
      </c>
      <c r="E126" t="s">
        <v>322</v>
      </c>
      <c r="F126" t="s">
        <v>322</v>
      </c>
    </row>
    <row r="127" spans="1:6" x14ac:dyDescent="0.2">
      <c r="A127">
        <v>28</v>
      </c>
      <c r="B127" t="s">
        <v>159</v>
      </c>
      <c r="C127" t="s">
        <v>159</v>
      </c>
      <c r="D127" t="s">
        <v>322</v>
      </c>
      <c r="E127" t="s">
        <v>159</v>
      </c>
      <c r="F127" t="s">
        <v>159</v>
      </c>
    </row>
    <row r="128" spans="1:6" x14ac:dyDescent="0.2">
      <c r="A128">
        <v>28</v>
      </c>
      <c r="B128" t="s">
        <v>331</v>
      </c>
      <c r="C128" t="s">
        <v>323</v>
      </c>
      <c r="D128" t="s">
        <v>325</v>
      </c>
      <c r="E128" t="s">
        <v>323</v>
      </c>
      <c r="F128" t="s">
        <v>325</v>
      </c>
    </row>
    <row r="129" spans="1:6" x14ac:dyDescent="0.2">
      <c r="A129">
        <v>28</v>
      </c>
      <c r="B129" t="s">
        <v>322</v>
      </c>
      <c r="C129" t="s">
        <v>322</v>
      </c>
      <c r="D129" t="s">
        <v>322</v>
      </c>
      <c r="E129" t="s">
        <v>322</v>
      </c>
      <c r="F129" t="s">
        <v>322</v>
      </c>
    </row>
    <row r="130" spans="1:6" x14ac:dyDescent="0.2">
      <c r="A130">
        <v>29</v>
      </c>
      <c r="B130" t="s">
        <v>322</v>
      </c>
      <c r="C130" t="s">
        <v>322</v>
      </c>
      <c r="D130" t="s">
        <v>322</v>
      </c>
      <c r="E130" t="s">
        <v>322</v>
      </c>
      <c r="F130" t="s">
        <v>322</v>
      </c>
    </row>
    <row r="131" spans="1:6" x14ac:dyDescent="0.2">
      <c r="A131">
        <v>29</v>
      </c>
      <c r="B131" t="s">
        <v>159</v>
      </c>
      <c r="C131" t="s">
        <v>322</v>
      </c>
      <c r="D131" t="s">
        <v>159</v>
      </c>
      <c r="E131" t="s">
        <v>322</v>
      </c>
      <c r="F131" t="s">
        <v>159</v>
      </c>
    </row>
    <row r="132" spans="1:6" x14ac:dyDescent="0.2">
      <c r="A132">
        <v>30</v>
      </c>
      <c r="B132" t="s">
        <v>328</v>
      </c>
      <c r="C132" t="s">
        <v>328</v>
      </c>
      <c r="D132" t="s">
        <v>328</v>
      </c>
      <c r="E132" t="s">
        <v>322</v>
      </c>
      <c r="F132" t="s">
        <v>322</v>
      </c>
    </row>
    <row r="133" spans="1:6" x14ac:dyDescent="0.2">
      <c r="A133">
        <v>30</v>
      </c>
      <c r="B133" t="s">
        <v>322</v>
      </c>
      <c r="C133" t="s">
        <v>159</v>
      </c>
      <c r="D133" t="s">
        <v>322</v>
      </c>
      <c r="E133" t="s">
        <v>159</v>
      </c>
      <c r="F133" t="s">
        <v>322</v>
      </c>
    </row>
    <row r="134" spans="1:6" x14ac:dyDescent="0.2">
      <c r="A134">
        <v>30</v>
      </c>
      <c r="B134" t="s">
        <v>323</v>
      </c>
      <c r="C134" t="s">
        <v>322</v>
      </c>
      <c r="D134" t="s">
        <v>323</v>
      </c>
      <c r="E134" t="s">
        <v>322</v>
      </c>
      <c r="F134" t="s">
        <v>323</v>
      </c>
    </row>
    <row r="135" spans="1:6" x14ac:dyDescent="0.2">
      <c r="A135">
        <v>30</v>
      </c>
      <c r="B135" t="s">
        <v>322</v>
      </c>
      <c r="C135" t="s">
        <v>159</v>
      </c>
      <c r="D135" t="s">
        <v>322</v>
      </c>
      <c r="E135" t="s">
        <v>159</v>
      </c>
      <c r="F135" t="s">
        <v>159</v>
      </c>
    </row>
    <row r="136" spans="1:6" x14ac:dyDescent="0.2">
      <c r="A136">
        <v>31</v>
      </c>
      <c r="B136" t="s">
        <v>322</v>
      </c>
      <c r="C136" t="s">
        <v>336</v>
      </c>
      <c r="D136" t="s">
        <v>322</v>
      </c>
      <c r="E136" t="s">
        <v>336</v>
      </c>
      <c r="F136" t="s">
        <v>336</v>
      </c>
    </row>
    <row r="137" spans="1:6" x14ac:dyDescent="0.2">
      <c r="A137">
        <v>32</v>
      </c>
      <c r="B137" t="s">
        <v>159</v>
      </c>
      <c r="C137" t="s">
        <v>322</v>
      </c>
      <c r="D137" t="s">
        <v>159</v>
      </c>
      <c r="E137" t="s">
        <v>322</v>
      </c>
      <c r="F137" t="s">
        <v>322</v>
      </c>
    </row>
    <row r="138" spans="1:6" x14ac:dyDescent="0.2">
      <c r="A138">
        <v>32</v>
      </c>
      <c r="B138" t="s">
        <v>322</v>
      </c>
      <c r="C138" t="s">
        <v>322</v>
      </c>
      <c r="D138" t="s">
        <v>336</v>
      </c>
      <c r="E138" t="s">
        <v>322</v>
      </c>
      <c r="F138" t="s">
        <v>323</v>
      </c>
    </row>
    <row r="139" spans="1:6" x14ac:dyDescent="0.2">
      <c r="A139">
        <v>35</v>
      </c>
      <c r="B139" t="s">
        <v>322</v>
      </c>
      <c r="C139" t="s">
        <v>159</v>
      </c>
      <c r="D139" t="s">
        <v>159</v>
      </c>
      <c r="E139" t="s">
        <v>159</v>
      </c>
      <c r="F139" t="s">
        <v>159</v>
      </c>
    </row>
    <row r="140" spans="1:6" x14ac:dyDescent="0.2">
      <c r="A140">
        <v>35</v>
      </c>
      <c r="B140" t="s">
        <v>159</v>
      </c>
      <c r="C140" t="s">
        <v>336</v>
      </c>
      <c r="D140" t="s">
        <v>159</v>
      </c>
      <c r="E140" t="s">
        <v>336</v>
      </c>
      <c r="F140" t="s">
        <v>159</v>
      </c>
    </row>
    <row r="141" spans="1:6" x14ac:dyDescent="0.2">
      <c r="A141">
        <v>35</v>
      </c>
      <c r="B141" t="s">
        <v>336</v>
      </c>
      <c r="C141" t="s">
        <v>336</v>
      </c>
      <c r="D141" t="s">
        <v>336</v>
      </c>
      <c r="E141" t="s">
        <v>336</v>
      </c>
      <c r="F141" t="s">
        <v>322</v>
      </c>
    </row>
    <row r="142" spans="1:6" x14ac:dyDescent="0.2">
      <c r="A142">
        <v>35</v>
      </c>
      <c r="B142" t="s">
        <v>322</v>
      </c>
      <c r="C142" t="s">
        <v>157</v>
      </c>
      <c r="D142" t="s">
        <v>322</v>
      </c>
      <c r="E142" t="s">
        <v>157</v>
      </c>
      <c r="F142" t="s">
        <v>157</v>
      </c>
    </row>
    <row r="143" spans="1:6" x14ac:dyDescent="0.2">
      <c r="A143">
        <v>35</v>
      </c>
      <c r="B143" t="s">
        <v>326</v>
      </c>
      <c r="C143" t="s">
        <v>326</v>
      </c>
      <c r="D143" t="s">
        <v>328</v>
      </c>
      <c r="E143" t="s">
        <v>326</v>
      </c>
      <c r="F143" t="s">
        <v>326</v>
      </c>
    </row>
    <row r="144" spans="1:6" x14ac:dyDescent="0.2">
      <c r="A144">
        <v>35</v>
      </c>
      <c r="B144" t="s">
        <v>159</v>
      </c>
      <c r="C144" t="s">
        <v>159</v>
      </c>
      <c r="D144" t="s">
        <v>159</v>
      </c>
      <c r="E144" t="s">
        <v>159</v>
      </c>
      <c r="F144" t="s">
        <v>159</v>
      </c>
    </row>
    <row r="145" spans="1:6" x14ac:dyDescent="0.2">
      <c r="A145">
        <v>35</v>
      </c>
      <c r="B145" t="s">
        <v>322</v>
      </c>
      <c r="C145" t="s">
        <v>157</v>
      </c>
      <c r="D145" t="s">
        <v>322</v>
      </c>
      <c r="E145" t="s">
        <v>157</v>
      </c>
      <c r="F145" t="s">
        <v>157</v>
      </c>
    </row>
    <row r="146" spans="1:6" x14ac:dyDescent="0.2">
      <c r="A146">
        <v>35</v>
      </c>
      <c r="B146" t="s">
        <v>322</v>
      </c>
      <c r="C146" t="s">
        <v>322</v>
      </c>
      <c r="D146" t="s">
        <v>322</v>
      </c>
      <c r="E146" t="s">
        <v>322</v>
      </c>
      <c r="F146" t="s">
        <v>322</v>
      </c>
    </row>
    <row r="147" spans="1:6" x14ac:dyDescent="0.2">
      <c r="A147">
        <v>37</v>
      </c>
      <c r="B147" t="s">
        <v>322</v>
      </c>
      <c r="C147" t="s">
        <v>322</v>
      </c>
      <c r="D147" t="s">
        <v>322</v>
      </c>
      <c r="E147" t="s">
        <v>322</v>
      </c>
      <c r="F147" t="s">
        <v>159</v>
      </c>
    </row>
    <row r="148" spans="1:6" x14ac:dyDescent="0.2">
      <c r="A148">
        <v>39</v>
      </c>
      <c r="B148" t="s">
        <v>336</v>
      </c>
      <c r="C148" t="s">
        <v>336</v>
      </c>
      <c r="D148" t="s">
        <v>326</v>
      </c>
      <c r="E148" t="s">
        <v>336</v>
      </c>
      <c r="F148" t="s">
        <v>326</v>
      </c>
    </row>
    <row r="149" spans="1:6" x14ac:dyDescent="0.2">
      <c r="A149">
        <v>40</v>
      </c>
      <c r="B149" t="s">
        <v>159</v>
      </c>
      <c r="C149" t="s">
        <v>159</v>
      </c>
      <c r="D149" t="s">
        <v>159</v>
      </c>
      <c r="E149" t="s">
        <v>159</v>
      </c>
      <c r="F149" t="s">
        <v>322</v>
      </c>
    </row>
    <row r="150" spans="1:6" x14ac:dyDescent="0.2">
      <c r="A150">
        <v>40</v>
      </c>
      <c r="B150" t="s">
        <v>322</v>
      </c>
      <c r="C150" t="s">
        <v>322</v>
      </c>
      <c r="D150" t="s">
        <v>322</v>
      </c>
      <c r="E150" t="s">
        <v>322</v>
      </c>
      <c r="F150" t="s">
        <v>322</v>
      </c>
    </row>
    <row r="151" spans="1:6" x14ac:dyDescent="0.2">
      <c r="A151">
        <v>45</v>
      </c>
      <c r="B151" t="s">
        <v>157</v>
      </c>
      <c r="C151" t="s">
        <v>336</v>
      </c>
      <c r="D151" t="s">
        <v>336</v>
      </c>
      <c r="E151" t="s">
        <v>336</v>
      </c>
      <c r="F151" t="s">
        <v>157</v>
      </c>
    </row>
    <row r="152" spans="1:6" x14ac:dyDescent="0.2">
      <c r="A152">
        <v>45</v>
      </c>
      <c r="B152" t="s">
        <v>322</v>
      </c>
      <c r="C152" t="s">
        <v>322</v>
      </c>
      <c r="D152" t="s">
        <v>322</v>
      </c>
      <c r="E152" t="s">
        <v>322</v>
      </c>
      <c r="F152" t="s">
        <v>322</v>
      </c>
    </row>
    <row r="153" spans="1:6" x14ac:dyDescent="0.2">
      <c r="A153">
        <v>45</v>
      </c>
      <c r="B153" t="s">
        <v>159</v>
      </c>
      <c r="C153" t="s">
        <v>322</v>
      </c>
      <c r="D153" t="s">
        <v>322</v>
      </c>
      <c r="E153" t="s">
        <v>322</v>
      </c>
      <c r="F153" t="s">
        <v>159</v>
      </c>
    </row>
    <row r="154" spans="1:6" x14ac:dyDescent="0.2">
      <c r="A154">
        <v>47</v>
      </c>
      <c r="B154" t="s">
        <v>159</v>
      </c>
      <c r="C154" t="s">
        <v>159</v>
      </c>
      <c r="D154" t="s">
        <v>322</v>
      </c>
      <c r="E154" t="s">
        <v>159</v>
      </c>
      <c r="F154" t="s">
        <v>322</v>
      </c>
    </row>
    <row r="155" spans="1:6" x14ac:dyDescent="0.2">
      <c r="A155">
        <v>48</v>
      </c>
      <c r="B155" t="s">
        <v>322</v>
      </c>
      <c r="C155" t="s">
        <v>322</v>
      </c>
      <c r="D155" t="s">
        <v>322</v>
      </c>
      <c r="E155" t="s">
        <v>322</v>
      </c>
      <c r="F155" t="s">
        <v>326</v>
      </c>
    </row>
    <row r="156" spans="1:6" x14ac:dyDescent="0.2">
      <c r="A156">
        <v>50</v>
      </c>
      <c r="B156" t="s">
        <v>159</v>
      </c>
      <c r="C156" t="s">
        <v>322</v>
      </c>
      <c r="D156" t="s">
        <v>322</v>
      </c>
      <c r="E156" t="s">
        <v>159</v>
      </c>
      <c r="F156" t="s">
        <v>159</v>
      </c>
    </row>
    <row r="157" spans="1:6" x14ac:dyDescent="0.2">
      <c r="A157">
        <v>50</v>
      </c>
      <c r="B157" t="s">
        <v>322</v>
      </c>
      <c r="C157" t="s">
        <v>159</v>
      </c>
      <c r="D157" t="s">
        <v>322</v>
      </c>
      <c r="E157" t="s">
        <v>159</v>
      </c>
      <c r="F157" t="s">
        <v>159</v>
      </c>
    </row>
  </sheetData>
  <mergeCells count="13">
    <mergeCell ref="K21:L21"/>
    <mergeCell ref="K15:L15"/>
    <mergeCell ref="K16:L16"/>
    <mergeCell ref="K17:L17"/>
    <mergeCell ref="K18:L18"/>
    <mergeCell ref="K19:L19"/>
    <mergeCell ref="K20:L20"/>
    <mergeCell ref="K14:L14"/>
    <mergeCell ref="H1:R1"/>
    <mergeCell ref="H8:S8"/>
    <mergeCell ref="H12:I12"/>
    <mergeCell ref="K12:M12"/>
    <mergeCell ref="K13:L13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8CD6-7CB4-4ED7-A162-051D840F6B8D}">
  <dimension ref="A1:T139"/>
  <sheetViews>
    <sheetView workbookViewId="0">
      <selection activeCell="M18" sqref="M18"/>
    </sheetView>
  </sheetViews>
  <sheetFormatPr baseColWidth="10" defaultColWidth="8.83203125" defaultRowHeight="15" x14ac:dyDescent="0.2"/>
  <cols>
    <col min="1" max="1" width="13.6640625" bestFit="1" customWidth="1"/>
    <col min="2" max="2" width="41.5" bestFit="1" customWidth="1"/>
    <col min="3" max="7" width="28.5" bestFit="1" customWidth="1"/>
    <col min="9" max="9" width="34.83203125" customWidth="1"/>
    <col min="10" max="10" width="14.6640625" customWidth="1"/>
    <col min="11" max="11" width="9.1640625" bestFit="1" customWidth="1"/>
    <col min="12" max="12" width="12.6640625" customWidth="1"/>
    <col min="13" max="13" width="16.33203125" customWidth="1"/>
    <col min="14" max="14" width="17.33203125" customWidth="1"/>
    <col min="15" max="15" width="13.6640625" customWidth="1"/>
    <col min="16" max="16" width="13.83203125" customWidth="1"/>
    <col min="17" max="17" width="18.5" customWidth="1"/>
    <col min="18" max="18" width="15" customWidth="1"/>
    <col min="19" max="19" width="9.33203125" bestFit="1" customWidth="1"/>
    <col min="20" max="20" width="17.1640625" customWidth="1"/>
  </cols>
  <sheetData>
    <row r="1" spans="1:20" x14ac:dyDescent="0.2">
      <c r="A1" t="s">
        <v>316</v>
      </c>
      <c r="B1" t="s">
        <v>396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I1" s="67" t="s">
        <v>11</v>
      </c>
      <c r="J1" s="68"/>
      <c r="K1" s="68"/>
      <c r="L1" s="68"/>
      <c r="M1" s="68"/>
      <c r="N1" s="68"/>
      <c r="O1" s="68"/>
      <c r="P1" s="68"/>
      <c r="Q1" s="68"/>
      <c r="R1" s="68"/>
      <c r="S1" s="69"/>
    </row>
    <row r="2" spans="1:20" x14ac:dyDescent="0.2">
      <c r="A2" s="43" t="s">
        <v>14</v>
      </c>
      <c r="B2" s="43">
        <v>65</v>
      </c>
      <c r="C2" s="43" t="s">
        <v>399</v>
      </c>
      <c r="D2" s="43" t="s">
        <v>399</v>
      </c>
      <c r="E2" s="43" t="s">
        <v>399</v>
      </c>
      <c r="F2" s="43" t="s">
        <v>399</v>
      </c>
      <c r="G2" s="43" t="s">
        <v>399</v>
      </c>
      <c r="I2" s="2"/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3" t="s">
        <v>24</v>
      </c>
      <c r="S2" s="4" t="s">
        <v>25</v>
      </c>
    </row>
    <row r="3" spans="1:20" x14ac:dyDescent="0.2">
      <c r="A3" s="43" t="s">
        <v>14</v>
      </c>
      <c r="B3" s="43">
        <v>50</v>
      </c>
      <c r="C3" s="43" t="s">
        <v>399</v>
      </c>
      <c r="D3" s="43" t="s">
        <v>400</v>
      </c>
      <c r="E3" s="43" t="s">
        <v>399</v>
      </c>
      <c r="F3" s="43" t="s">
        <v>400</v>
      </c>
      <c r="G3" s="43" t="s">
        <v>399</v>
      </c>
      <c r="I3" s="5" t="s">
        <v>29</v>
      </c>
      <c r="J3" s="6" cm="1">
        <f t="array" ref="J3">SUM(COUNTIF(C:G,{"A.*","B.*"}))/S10</f>
        <v>0.51211631663974155</v>
      </c>
      <c r="K3" s="7">
        <f>COUNTIF(C:G,"S.*")/S10</f>
        <v>0.35218093699515346</v>
      </c>
      <c r="L3" s="7">
        <f>SUM(COUNTIF(C:G,"C.*")/S10)</f>
        <v>0.11147011308562198</v>
      </c>
      <c r="M3" s="7">
        <f>COUNTIF(C:G,"R.*")/S10</f>
        <v>2.4232633279483037E-2</v>
      </c>
      <c r="N3" s="7"/>
      <c r="O3" s="7">
        <v>0</v>
      </c>
      <c r="P3" s="7">
        <f>COUNTIF(C:G,"Q.*")/S10</f>
        <v>0</v>
      </c>
      <c r="Q3" s="7"/>
      <c r="R3" s="7"/>
      <c r="S3" s="7">
        <f>SUM(J3:R3)</f>
        <v>0.99999999999999989</v>
      </c>
    </row>
    <row r="4" spans="1:20" ht="16" x14ac:dyDescent="0.2">
      <c r="A4" s="43" t="s">
        <v>14</v>
      </c>
      <c r="B4" s="43">
        <v>50</v>
      </c>
      <c r="C4" s="43" t="s">
        <v>399</v>
      </c>
      <c r="D4" s="43" t="s">
        <v>400</v>
      </c>
      <c r="E4" s="43" t="s">
        <v>399</v>
      </c>
      <c r="F4" s="43" t="s">
        <v>400</v>
      </c>
      <c r="G4" s="43" t="s">
        <v>399</v>
      </c>
      <c r="I4" s="9" t="s">
        <v>33</v>
      </c>
      <c r="J4" s="10" cm="1">
        <f t="array" ref="J4">SUM(_xlfn.BYCOL(C:G,_xlfn.LAMBDA(_xlpm.col,SUMIF(_xlpm.col,"A.*",B:B)+SUMIF(_xlpm.col,"B.*",B:B))))/J10</f>
        <v>12.770977917981075</v>
      </c>
      <c r="K4" s="11" cm="1">
        <f t="array" ref="K4">SUM(_xlfn.BYCOL(C:G,_xlfn.LAMBDA(_xlpm.col,SUMIF(_xlpm.col,"S.*",B:B))))/K10</f>
        <v>0.94036697247706469</v>
      </c>
      <c r="L4" s="12" cm="1">
        <f t="array" ref="L4">SUM(_xlfn.BYCOL(C:G,_xlfn.LAMBDA(_xlpm.col,SUMIF(_xlpm.col,"C.*",B:B))))/L10</f>
        <v>6.3898550724637682</v>
      </c>
      <c r="M4" s="12" cm="1">
        <f t="array" ref="M4">SUM(_xlfn.BYCOL(C:G,_xlfn.LAMBDA(_xlpm.col,SUMIF(_xlpm.col,"R.*",B:B))))/M10</f>
        <v>25</v>
      </c>
      <c r="N4" s="12"/>
      <c r="O4" s="12"/>
      <c r="P4" s="12"/>
      <c r="Q4" s="12"/>
      <c r="R4" s="12"/>
      <c r="S4" s="10">
        <f>AVERAGE(J4:R4)</f>
        <v>11.275299990730478</v>
      </c>
    </row>
    <row r="5" spans="1:20" x14ac:dyDescent="0.2">
      <c r="A5" s="43" t="s">
        <v>14</v>
      </c>
      <c r="B5" s="43">
        <v>47</v>
      </c>
      <c r="C5" s="43" t="s">
        <v>399</v>
      </c>
      <c r="D5" s="43" t="s">
        <v>399</v>
      </c>
      <c r="E5" s="43" t="s">
        <v>399</v>
      </c>
      <c r="F5" s="43" t="s">
        <v>399</v>
      </c>
      <c r="G5" s="43" t="s">
        <v>400</v>
      </c>
      <c r="I5" s="33" t="s">
        <v>38</v>
      </c>
      <c r="J5" s="33"/>
      <c r="K5" s="49"/>
      <c r="L5" s="53" cm="1">
        <f t="array" ref="L5">SUM(_xlfn.BYCOL(C:G,_xlfn.LAMBDA(_xlpm.col,SUMIF(_xlpm.col,"C.*",B:B)*2.79)))/L10</f>
        <v>17.827695652173915</v>
      </c>
      <c r="M5" s="51"/>
      <c r="N5" s="33"/>
      <c r="O5" s="33"/>
      <c r="P5" s="33"/>
      <c r="Q5" s="33"/>
      <c r="R5" s="33"/>
      <c r="S5" s="33"/>
    </row>
    <row r="6" spans="1:20" x14ac:dyDescent="0.2">
      <c r="A6" s="43" t="s">
        <v>14</v>
      </c>
      <c r="B6" s="43">
        <v>45</v>
      </c>
      <c r="C6" s="43" t="s">
        <v>399</v>
      </c>
      <c r="D6" s="43" t="s">
        <v>399</v>
      </c>
      <c r="E6" s="43" t="s">
        <v>399</v>
      </c>
      <c r="F6" s="43" t="s">
        <v>399</v>
      </c>
      <c r="G6" s="43" t="s">
        <v>399</v>
      </c>
      <c r="I6" s="14" t="s">
        <v>41</v>
      </c>
      <c r="J6" s="14"/>
      <c r="K6" s="50"/>
      <c r="L6" s="54">
        <f>L5/L4</f>
        <v>2.7900000000000005</v>
      </c>
      <c r="M6" s="52"/>
      <c r="N6" s="14"/>
      <c r="O6" s="14"/>
      <c r="P6" s="14"/>
      <c r="Q6" s="14"/>
      <c r="R6" s="14"/>
      <c r="S6" s="14"/>
    </row>
    <row r="7" spans="1:20" x14ac:dyDescent="0.2">
      <c r="A7" s="43" t="s">
        <v>14</v>
      </c>
      <c r="B7" s="43">
        <v>40</v>
      </c>
      <c r="C7" s="43" t="s">
        <v>400</v>
      </c>
      <c r="D7" s="43" t="s">
        <v>401</v>
      </c>
      <c r="E7" s="43" t="s">
        <v>400</v>
      </c>
      <c r="F7" s="43" t="s">
        <v>399</v>
      </c>
      <c r="G7" s="43" t="s">
        <v>400</v>
      </c>
      <c r="L7" s="16"/>
    </row>
    <row r="8" spans="1:20" x14ac:dyDescent="0.2">
      <c r="A8" s="43" t="s">
        <v>14</v>
      </c>
      <c r="B8" s="43">
        <v>40</v>
      </c>
      <c r="C8" s="43" t="s">
        <v>399</v>
      </c>
      <c r="D8" s="43" t="s">
        <v>399</v>
      </c>
      <c r="E8" s="43" t="s">
        <v>399</v>
      </c>
      <c r="F8" s="43" t="s">
        <v>399</v>
      </c>
      <c r="G8" s="43" t="s">
        <v>400</v>
      </c>
      <c r="I8" s="59" t="s">
        <v>47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0"/>
    </row>
    <row r="9" spans="1:20" x14ac:dyDescent="0.2">
      <c r="A9" s="43" t="s">
        <v>14</v>
      </c>
      <c r="B9" s="43">
        <v>37</v>
      </c>
      <c r="C9" s="43" t="s">
        <v>400</v>
      </c>
      <c r="D9" s="43" t="s">
        <v>399</v>
      </c>
      <c r="E9" s="43" t="s">
        <v>399</v>
      </c>
      <c r="F9" s="43" t="s">
        <v>399</v>
      </c>
      <c r="G9" s="43" t="s">
        <v>400</v>
      </c>
      <c r="I9" s="19"/>
      <c r="J9" s="19" t="s">
        <v>16</v>
      </c>
      <c r="K9" s="19" t="s">
        <v>17</v>
      </c>
      <c r="L9" s="19" t="s">
        <v>18</v>
      </c>
      <c r="M9" s="19" t="s">
        <v>19</v>
      </c>
      <c r="N9" s="19" t="s">
        <v>20</v>
      </c>
      <c r="O9" s="19" t="s">
        <v>21</v>
      </c>
      <c r="P9" s="19" t="s">
        <v>22</v>
      </c>
      <c r="Q9" s="19" t="s">
        <v>23</v>
      </c>
      <c r="R9" s="19" t="s">
        <v>24</v>
      </c>
      <c r="S9" s="21" t="s">
        <v>25</v>
      </c>
      <c r="T9" s="19" t="s">
        <v>50</v>
      </c>
    </row>
    <row r="10" spans="1:20" x14ac:dyDescent="0.2">
      <c r="A10" s="43" t="s">
        <v>14</v>
      </c>
      <c r="B10" s="43">
        <v>36</v>
      </c>
      <c r="C10" s="43" t="s">
        <v>400</v>
      </c>
      <c r="D10" s="43" t="s">
        <v>399</v>
      </c>
      <c r="E10" s="43" t="s">
        <v>399</v>
      </c>
      <c r="F10" s="43" t="s">
        <v>399</v>
      </c>
      <c r="G10" s="43" t="s">
        <v>400</v>
      </c>
      <c r="I10" s="17" t="s">
        <v>317</v>
      </c>
      <c r="J10" s="17" cm="1">
        <f t="array" ref="J10">SUM(COUNTIF(C:G,{"A.*","B.*"}))</f>
        <v>317</v>
      </c>
      <c r="K10" s="17">
        <f>COUNTIF(C:G,"S.*")</f>
        <v>218</v>
      </c>
      <c r="L10" s="17">
        <f>SUM(COUNTIF(C:G,"C.*"))</f>
        <v>69</v>
      </c>
      <c r="M10" s="34">
        <f>COUNTIF(C:G,"R.*")</f>
        <v>15</v>
      </c>
      <c r="N10" s="17">
        <f>COUNTIF(C:G,"U.*")</f>
        <v>0</v>
      </c>
      <c r="O10" s="17">
        <v>0</v>
      </c>
      <c r="P10" s="17">
        <f>COUNTIF(C:G,"Q.*")</f>
        <v>0</v>
      </c>
      <c r="Q10" s="17"/>
      <c r="R10" s="17"/>
      <c r="S10" s="35">
        <f>SUM(J10:R10)</f>
        <v>619</v>
      </c>
      <c r="T10" s="17">
        <f>COUNTIFS(C2:G1000,"&lt;&gt;",C2:G1000,"&lt;&gt;OFF.*")</f>
        <v>619</v>
      </c>
    </row>
    <row r="11" spans="1:20" x14ac:dyDescent="0.2">
      <c r="A11" s="43" t="s">
        <v>14</v>
      </c>
      <c r="B11" s="43">
        <v>35</v>
      </c>
      <c r="C11" s="43" t="s">
        <v>400</v>
      </c>
      <c r="D11" s="43" t="s">
        <v>399</v>
      </c>
      <c r="E11" s="43" t="s">
        <v>399</v>
      </c>
      <c r="F11" s="43" t="s">
        <v>399</v>
      </c>
      <c r="G11" s="43" t="s">
        <v>399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</row>
    <row r="12" spans="1:20" x14ac:dyDescent="0.2">
      <c r="A12" s="43" t="s">
        <v>14</v>
      </c>
      <c r="B12" s="43">
        <v>32</v>
      </c>
      <c r="C12" s="43" t="s">
        <v>399</v>
      </c>
      <c r="D12" s="43" t="s">
        <v>400</v>
      </c>
      <c r="E12" s="43" t="s">
        <v>399</v>
      </c>
      <c r="F12" s="43" t="s">
        <v>399</v>
      </c>
      <c r="G12" s="43" t="s">
        <v>400</v>
      </c>
      <c r="I12" s="46" t="s">
        <v>402</v>
      </c>
      <c r="J12" s="45"/>
      <c r="K12" s="59" t="s">
        <v>58</v>
      </c>
      <c r="L12" s="63"/>
      <c r="M12" s="60"/>
      <c r="N12" s="45"/>
      <c r="O12" s="45"/>
      <c r="P12" s="45"/>
      <c r="Q12" s="45"/>
      <c r="R12" s="45"/>
      <c r="S12" s="58"/>
      <c r="T12" s="45"/>
    </row>
    <row r="13" spans="1:20" x14ac:dyDescent="0.2">
      <c r="A13" s="43" t="s">
        <v>14</v>
      </c>
      <c r="B13" s="43">
        <v>31</v>
      </c>
      <c r="C13" s="43" t="s">
        <v>399</v>
      </c>
      <c r="D13" s="43" t="s">
        <v>399</v>
      </c>
      <c r="E13" s="43" t="s">
        <v>399</v>
      </c>
      <c r="F13" s="43" t="s">
        <v>399</v>
      </c>
      <c r="G13" s="43" t="s">
        <v>399</v>
      </c>
      <c r="I13" s="46" t="s">
        <v>399</v>
      </c>
      <c r="J13" s="45"/>
      <c r="K13" s="64" t="s">
        <v>63</v>
      </c>
      <c r="L13" s="64"/>
      <c r="M13" s="19">
        <f>2*S10/COUNTIF(A2:A1000,"&lt;&gt;")</f>
        <v>8.9710144927536231</v>
      </c>
      <c r="N13" s="45"/>
      <c r="O13" s="45"/>
      <c r="P13" s="45"/>
      <c r="Q13" s="45"/>
      <c r="R13" s="45"/>
      <c r="S13" s="58"/>
      <c r="T13" s="45"/>
    </row>
    <row r="14" spans="1:20" x14ac:dyDescent="0.2">
      <c r="A14" s="43" t="s">
        <v>14</v>
      </c>
      <c r="B14" s="43">
        <v>30</v>
      </c>
      <c r="C14" s="43" t="s">
        <v>401</v>
      </c>
      <c r="D14" s="43" t="s">
        <v>400</v>
      </c>
      <c r="E14" s="43" t="s">
        <v>401</v>
      </c>
      <c r="F14" s="43" t="s">
        <v>400</v>
      </c>
      <c r="G14" s="43" t="s">
        <v>400</v>
      </c>
      <c r="I14" s="46" t="s">
        <v>329</v>
      </c>
      <c r="J14" s="45"/>
      <c r="K14" s="62" t="s">
        <v>67</v>
      </c>
      <c r="L14" s="62"/>
      <c r="M14" s="17">
        <v>294</v>
      </c>
      <c r="N14" s="45"/>
      <c r="O14" s="45"/>
      <c r="P14" s="45"/>
      <c r="Q14" s="45"/>
      <c r="R14" s="45"/>
      <c r="S14" s="45"/>
      <c r="T14" s="45"/>
    </row>
    <row r="15" spans="1:20" x14ac:dyDescent="0.2">
      <c r="A15" s="43" t="s">
        <v>14</v>
      </c>
      <c r="B15" s="43">
        <v>30</v>
      </c>
      <c r="C15" s="43" t="s">
        <v>399</v>
      </c>
      <c r="D15" s="43" t="s">
        <v>399</v>
      </c>
      <c r="E15" s="43" t="s">
        <v>399</v>
      </c>
      <c r="F15" s="43" t="s">
        <v>399</v>
      </c>
      <c r="G15" s="43" t="s">
        <v>400</v>
      </c>
      <c r="I15" s="46" t="s">
        <v>403</v>
      </c>
      <c r="J15" s="45"/>
      <c r="K15" s="65" t="s">
        <v>72</v>
      </c>
      <c r="L15" s="65"/>
      <c r="M15" s="18">
        <f>COUNTIF(A2:A1000,"&lt;&gt;")</f>
        <v>138</v>
      </c>
      <c r="N15" s="45"/>
      <c r="O15" s="45"/>
      <c r="P15" s="45"/>
      <c r="Q15" s="45"/>
      <c r="R15" s="45"/>
      <c r="S15" s="45"/>
      <c r="T15" s="45"/>
    </row>
    <row r="16" spans="1:20" x14ac:dyDescent="0.2">
      <c r="A16" s="43" t="s">
        <v>14</v>
      </c>
      <c r="B16" s="43">
        <v>30</v>
      </c>
      <c r="C16" s="43" t="s">
        <v>400</v>
      </c>
      <c r="D16" s="43" t="s">
        <v>401</v>
      </c>
      <c r="E16" s="43" t="s">
        <v>400</v>
      </c>
      <c r="F16" s="43" t="s">
        <v>401</v>
      </c>
      <c r="G16" s="43" t="s">
        <v>401</v>
      </c>
      <c r="I16" s="46" t="s">
        <v>345</v>
      </c>
      <c r="J16" s="45"/>
      <c r="K16" s="62" t="s">
        <v>76</v>
      </c>
      <c r="L16" s="59"/>
      <c r="M16" s="27">
        <f>M15/M14</f>
        <v>0.46938775510204084</v>
      </c>
      <c r="N16" s="45"/>
      <c r="O16" s="45"/>
      <c r="P16" s="45"/>
      <c r="Q16" s="45"/>
      <c r="R16" s="45"/>
      <c r="S16" s="45"/>
      <c r="T16" s="45"/>
    </row>
    <row r="17" spans="1:20" x14ac:dyDescent="0.2">
      <c r="A17" s="43" t="s">
        <v>14</v>
      </c>
      <c r="B17" s="43">
        <v>30</v>
      </c>
      <c r="C17" s="43" t="s">
        <v>401</v>
      </c>
      <c r="D17" s="43" t="s">
        <v>400</v>
      </c>
      <c r="E17" s="43" t="s">
        <v>399</v>
      </c>
      <c r="F17" s="43" t="s">
        <v>400</v>
      </c>
      <c r="G17" s="43" t="s">
        <v>401</v>
      </c>
      <c r="I17" s="46" t="s">
        <v>401</v>
      </c>
      <c r="J17" s="45"/>
      <c r="K17" s="66" t="s">
        <v>80</v>
      </c>
      <c r="L17" s="66"/>
      <c r="M17" s="28">
        <v>32</v>
      </c>
      <c r="N17" s="45"/>
      <c r="O17" s="45"/>
      <c r="P17" s="45"/>
      <c r="Q17" s="45"/>
      <c r="R17" s="45"/>
      <c r="S17" s="45"/>
      <c r="T17" s="45"/>
    </row>
    <row r="18" spans="1:20" x14ac:dyDescent="0.2">
      <c r="A18" s="43" t="s">
        <v>14</v>
      </c>
      <c r="B18" s="43">
        <v>30</v>
      </c>
      <c r="C18" s="43" t="s">
        <v>399</v>
      </c>
      <c r="D18" s="43" t="s">
        <v>399</v>
      </c>
      <c r="E18" s="43" t="s">
        <v>399</v>
      </c>
      <c r="F18" s="43" t="s">
        <v>399</v>
      </c>
      <c r="G18" s="43" t="s">
        <v>399</v>
      </c>
      <c r="I18" s="46" t="s">
        <v>404</v>
      </c>
      <c r="J18" s="45"/>
      <c r="K18" s="59" t="s">
        <v>85</v>
      </c>
      <c r="L18" s="60"/>
      <c r="M18" s="17">
        <f>AVERAGE(B2:B1000)</f>
        <v>9.551086956521738</v>
      </c>
      <c r="N18" s="45"/>
      <c r="O18" s="45"/>
      <c r="P18" s="45"/>
      <c r="Q18" s="45"/>
      <c r="R18" s="45"/>
      <c r="S18" s="45"/>
      <c r="T18" s="45"/>
    </row>
    <row r="19" spans="1:20" x14ac:dyDescent="0.2">
      <c r="A19" s="43" t="s">
        <v>14</v>
      </c>
      <c r="B19" s="43">
        <v>28</v>
      </c>
      <c r="C19" s="43" t="s">
        <v>399</v>
      </c>
      <c r="D19" s="43" t="s">
        <v>399</v>
      </c>
      <c r="E19" s="43" t="s">
        <v>399</v>
      </c>
      <c r="F19" s="43" t="s">
        <v>399</v>
      </c>
      <c r="G19" s="43" t="s">
        <v>399</v>
      </c>
      <c r="I19" s="46" t="s">
        <v>400</v>
      </c>
      <c r="J19" s="45"/>
      <c r="K19" s="59" t="s">
        <v>90</v>
      </c>
      <c r="L19" s="60"/>
      <c r="M19" s="17">
        <f>MEDIAN(B2:B1000)</f>
        <v>2</v>
      </c>
      <c r="N19" s="45"/>
      <c r="O19" s="45"/>
      <c r="P19" s="45"/>
      <c r="Q19" s="45"/>
      <c r="R19" s="45"/>
      <c r="S19" s="45"/>
      <c r="T19" s="45"/>
    </row>
    <row r="20" spans="1:20" x14ac:dyDescent="0.2">
      <c r="A20" s="43" t="s">
        <v>14</v>
      </c>
      <c r="B20" s="43">
        <v>28</v>
      </c>
      <c r="C20" s="43" t="s">
        <v>399</v>
      </c>
      <c r="D20" s="43" t="s">
        <v>399</v>
      </c>
      <c r="E20" s="43" t="s">
        <v>399</v>
      </c>
      <c r="F20" s="43" t="s">
        <v>399</v>
      </c>
      <c r="G20" s="43" t="s">
        <v>400</v>
      </c>
      <c r="I20" s="45"/>
      <c r="J20" s="45"/>
      <c r="K20" s="59" t="s">
        <v>94</v>
      </c>
      <c r="L20" s="60"/>
      <c r="M20" s="17">
        <f>(SUM(B2:B1000)/M15)*M14</f>
        <v>2808.0195652173911</v>
      </c>
      <c r="N20" s="45"/>
      <c r="O20" s="45"/>
      <c r="P20" s="45"/>
      <c r="Q20" s="45"/>
      <c r="R20" s="45"/>
      <c r="S20" s="45"/>
      <c r="T20" s="45"/>
    </row>
    <row r="21" spans="1:20" x14ac:dyDescent="0.2">
      <c r="A21" s="43" t="s">
        <v>14</v>
      </c>
      <c r="B21" s="43">
        <v>27</v>
      </c>
      <c r="C21" s="43" t="s">
        <v>401</v>
      </c>
      <c r="D21" s="43" t="s">
        <v>400</v>
      </c>
      <c r="E21" s="43" t="s">
        <v>401</v>
      </c>
      <c r="F21" s="43" t="s">
        <v>400</v>
      </c>
      <c r="G21" s="43" t="s">
        <v>400</v>
      </c>
      <c r="I21" s="45"/>
      <c r="J21" s="45"/>
      <c r="K21" s="59" t="s">
        <v>98</v>
      </c>
      <c r="L21" s="60"/>
      <c r="M21" s="27">
        <f>COUNTIF(B:B,"&lt;=5")/M15</f>
        <v>0.71739130434782605</v>
      </c>
      <c r="N21" s="45"/>
      <c r="O21" s="45"/>
      <c r="P21" s="45"/>
      <c r="Q21" s="45"/>
      <c r="R21" s="45"/>
      <c r="S21" s="45"/>
      <c r="T21" s="45"/>
    </row>
    <row r="22" spans="1:20" x14ac:dyDescent="0.2">
      <c r="A22" s="43" t="s">
        <v>14</v>
      </c>
      <c r="B22" s="43">
        <v>27</v>
      </c>
      <c r="C22" s="43" t="s">
        <v>403</v>
      </c>
      <c r="D22" s="43" t="s">
        <v>400</v>
      </c>
      <c r="E22" s="43" t="s">
        <v>403</v>
      </c>
      <c r="F22" s="43" t="s">
        <v>403</v>
      </c>
      <c r="G22" s="43" t="s">
        <v>403</v>
      </c>
    </row>
    <row r="23" spans="1:20" x14ac:dyDescent="0.2">
      <c r="A23" s="43" t="s">
        <v>14</v>
      </c>
      <c r="B23" s="43">
        <v>27</v>
      </c>
      <c r="C23" s="43" t="s">
        <v>403</v>
      </c>
      <c r="D23" s="43" t="s">
        <v>399</v>
      </c>
      <c r="E23" s="43" t="s">
        <v>403</v>
      </c>
      <c r="F23" s="43" t="s">
        <v>399</v>
      </c>
      <c r="G23" s="43" t="s">
        <v>399</v>
      </c>
    </row>
    <row r="24" spans="1:20" x14ac:dyDescent="0.2">
      <c r="A24" s="43" t="s">
        <v>14</v>
      </c>
      <c r="B24" s="43">
        <v>27</v>
      </c>
      <c r="C24" s="43" t="s">
        <v>403</v>
      </c>
      <c r="D24" s="43" t="s">
        <v>400</v>
      </c>
      <c r="E24" s="43" t="s">
        <v>403</v>
      </c>
      <c r="F24" s="43" t="s">
        <v>403</v>
      </c>
      <c r="G24" s="43" t="s">
        <v>403</v>
      </c>
    </row>
    <row r="25" spans="1:20" x14ac:dyDescent="0.2">
      <c r="A25" s="43" t="s">
        <v>14</v>
      </c>
      <c r="B25" s="43">
        <v>27</v>
      </c>
      <c r="C25" s="43" t="s">
        <v>399</v>
      </c>
      <c r="D25" s="43" t="s">
        <v>399</v>
      </c>
      <c r="E25" s="43" t="s">
        <v>399</v>
      </c>
      <c r="F25" s="43" t="s">
        <v>399</v>
      </c>
      <c r="G25" s="43" t="s">
        <v>399</v>
      </c>
    </row>
    <row r="26" spans="1:20" x14ac:dyDescent="0.2">
      <c r="A26" s="43" t="s">
        <v>14</v>
      </c>
      <c r="B26" s="43">
        <v>26</v>
      </c>
      <c r="C26" s="43" t="s">
        <v>400</v>
      </c>
      <c r="D26" s="43" t="s">
        <v>399</v>
      </c>
      <c r="E26" s="43" t="s">
        <v>400</v>
      </c>
      <c r="F26" s="43" t="s">
        <v>399</v>
      </c>
      <c r="G26" s="43" t="s">
        <v>400</v>
      </c>
    </row>
    <row r="27" spans="1:20" x14ac:dyDescent="0.2">
      <c r="A27" s="43" t="s">
        <v>14</v>
      </c>
      <c r="B27" s="43">
        <v>25</v>
      </c>
      <c r="C27" s="43" t="s">
        <v>399</v>
      </c>
      <c r="D27" s="43" t="s">
        <v>399</v>
      </c>
      <c r="E27" s="43" t="s">
        <v>399</v>
      </c>
      <c r="F27" s="43" t="s">
        <v>399</v>
      </c>
      <c r="G27" s="43" t="s">
        <v>399</v>
      </c>
    </row>
    <row r="28" spans="1:20" x14ac:dyDescent="0.2">
      <c r="A28" s="43" t="s">
        <v>14</v>
      </c>
      <c r="B28" s="43">
        <v>25</v>
      </c>
      <c r="C28" s="43" t="s">
        <v>399</v>
      </c>
      <c r="D28" s="43" t="s">
        <v>399</v>
      </c>
      <c r="E28" s="43" t="s">
        <v>399</v>
      </c>
      <c r="F28" s="43" t="s">
        <v>400</v>
      </c>
      <c r="G28" s="43" t="s">
        <v>399</v>
      </c>
    </row>
    <row r="29" spans="1:20" x14ac:dyDescent="0.2">
      <c r="A29" s="43" t="s">
        <v>14</v>
      </c>
      <c r="B29" s="43">
        <v>25</v>
      </c>
      <c r="C29" s="43" t="s">
        <v>399</v>
      </c>
      <c r="D29" s="43" t="s">
        <v>399</v>
      </c>
      <c r="E29" s="43" t="s">
        <v>399</v>
      </c>
      <c r="F29" s="43" t="s">
        <v>399</v>
      </c>
      <c r="G29" s="43" t="s">
        <v>400</v>
      </c>
    </row>
    <row r="30" spans="1:20" x14ac:dyDescent="0.2">
      <c r="A30" s="43" t="s">
        <v>14</v>
      </c>
      <c r="B30" s="43">
        <v>25</v>
      </c>
      <c r="C30" s="43" t="s">
        <v>399</v>
      </c>
      <c r="D30" s="43" t="s">
        <v>399</v>
      </c>
      <c r="E30" s="43" t="s">
        <v>399</v>
      </c>
      <c r="F30" s="43" t="s">
        <v>399</v>
      </c>
      <c r="G30" s="43" t="s">
        <v>400</v>
      </c>
    </row>
    <row r="31" spans="1:20" x14ac:dyDescent="0.2">
      <c r="A31" s="43" t="s">
        <v>14</v>
      </c>
      <c r="B31" s="43">
        <v>25</v>
      </c>
      <c r="C31" s="43" t="s">
        <v>399</v>
      </c>
      <c r="D31" s="43" t="s">
        <v>400</v>
      </c>
      <c r="E31" s="43" t="s">
        <v>399</v>
      </c>
      <c r="F31" s="43" t="s">
        <v>400</v>
      </c>
      <c r="G31" s="43" t="s">
        <v>400</v>
      </c>
    </row>
    <row r="32" spans="1:20" x14ac:dyDescent="0.2">
      <c r="A32" s="43" t="s">
        <v>14</v>
      </c>
      <c r="B32" s="43">
        <v>25</v>
      </c>
      <c r="C32" s="43" t="s">
        <v>400</v>
      </c>
      <c r="D32" s="43" t="s">
        <v>399</v>
      </c>
      <c r="E32" s="43" t="s">
        <v>400</v>
      </c>
      <c r="F32" s="43" t="s">
        <v>399</v>
      </c>
      <c r="G32" s="43" t="s">
        <v>400</v>
      </c>
    </row>
    <row r="33" spans="1:7" x14ac:dyDescent="0.2">
      <c r="A33" s="43" t="s">
        <v>14</v>
      </c>
      <c r="B33" s="43">
        <v>25</v>
      </c>
      <c r="C33" s="43" t="s">
        <v>399</v>
      </c>
      <c r="D33" s="43" t="s">
        <v>399</v>
      </c>
      <c r="E33" s="43" t="s">
        <v>399</v>
      </c>
      <c r="F33" s="43" t="s">
        <v>399</v>
      </c>
      <c r="G33" s="43" t="s">
        <v>400</v>
      </c>
    </row>
    <row r="34" spans="1:7" x14ac:dyDescent="0.2">
      <c r="A34" s="43" t="s">
        <v>14</v>
      </c>
      <c r="B34" s="43">
        <v>23</v>
      </c>
      <c r="C34" s="43" t="s">
        <v>399</v>
      </c>
      <c r="D34" s="43" t="s">
        <v>399</v>
      </c>
      <c r="E34" s="43" t="s">
        <v>401</v>
      </c>
      <c r="F34" s="43" t="s">
        <v>401</v>
      </c>
      <c r="G34" s="43" t="s">
        <v>401</v>
      </c>
    </row>
    <row r="35" spans="1:7" x14ac:dyDescent="0.2">
      <c r="A35" s="43" t="s">
        <v>14</v>
      </c>
      <c r="B35" s="43">
        <v>23</v>
      </c>
      <c r="C35" s="43" t="s">
        <v>399</v>
      </c>
      <c r="D35" s="43" t="s">
        <v>399</v>
      </c>
      <c r="E35" s="43" t="s">
        <v>399</v>
      </c>
      <c r="F35" s="43" t="s">
        <v>399</v>
      </c>
      <c r="G35" s="43" t="s">
        <v>399</v>
      </c>
    </row>
    <row r="36" spans="1:7" x14ac:dyDescent="0.2">
      <c r="A36" s="43" t="s">
        <v>14</v>
      </c>
      <c r="B36" s="43">
        <v>20</v>
      </c>
      <c r="C36" s="43" t="s">
        <v>400</v>
      </c>
      <c r="D36" s="43" t="s">
        <v>399</v>
      </c>
      <c r="E36" s="43" t="s">
        <v>400</v>
      </c>
      <c r="F36" s="43" t="s">
        <v>399</v>
      </c>
      <c r="G36" s="43" t="s">
        <v>400</v>
      </c>
    </row>
    <row r="37" spans="1:7" x14ac:dyDescent="0.2">
      <c r="A37" s="43" t="s">
        <v>14</v>
      </c>
      <c r="B37" s="43">
        <v>20</v>
      </c>
      <c r="C37" s="43" t="s">
        <v>403</v>
      </c>
      <c r="D37" s="43" t="s">
        <v>399</v>
      </c>
      <c r="E37" s="43" t="s">
        <v>403</v>
      </c>
      <c r="F37" s="43" t="s">
        <v>399</v>
      </c>
      <c r="G37" s="43" t="s">
        <v>400</v>
      </c>
    </row>
    <row r="38" spans="1:7" x14ac:dyDescent="0.2">
      <c r="A38" s="43" t="s">
        <v>14</v>
      </c>
      <c r="B38" s="43">
        <v>15</v>
      </c>
      <c r="C38" s="43" t="s">
        <v>399</v>
      </c>
      <c r="D38" s="43" t="s">
        <v>399</v>
      </c>
      <c r="E38" s="43" t="s">
        <v>399</v>
      </c>
      <c r="F38" s="43" t="s">
        <v>400</v>
      </c>
      <c r="G38" s="43" t="s">
        <v>399</v>
      </c>
    </row>
    <row r="39" spans="1:7" x14ac:dyDescent="0.2">
      <c r="A39" s="43" t="s">
        <v>14</v>
      </c>
      <c r="B39" s="43">
        <v>10</v>
      </c>
      <c r="C39" s="43" t="s">
        <v>403</v>
      </c>
      <c r="D39" s="43" t="s">
        <v>403</v>
      </c>
      <c r="E39" s="43" t="s">
        <v>403</v>
      </c>
      <c r="F39" s="43" t="s">
        <v>403</v>
      </c>
      <c r="G39" s="43" t="s">
        <v>403</v>
      </c>
    </row>
    <row r="40" spans="1:7" x14ac:dyDescent="0.2">
      <c r="A40" s="43" t="s">
        <v>14</v>
      </c>
      <c r="B40" s="43">
        <v>9.5</v>
      </c>
      <c r="C40" s="43" t="s">
        <v>399</v>
      </c>
      <c r="D40" s="43" t="s">
        <v>399</v>
      </c>
      <c r="E40" s="43" t="s">
        <v>399</v>
      </c>
      <c r="F40" s="43" t="s">
        <v>399</v>
      </c>
      <c r="G40" s="43" t="s">
        <v>399</v>
      </c>
    </row>
    <row r="41" spans="1:7" x14ac:dyDescent="0.2">
      <c r="A41" s="43" t="s">
        <v>14</v>
      </c>
      <c r="B41" s="43">
        <v>5</v>
      </c>
      <c r="C41" s="43" t="s">
        <v>399</v>
      </c>
      <c r="D41" s="43" t="s">
        <v>400</v>
      </c>
      <c r="E41" s="43" t="s">
        <v>399</v>
      </c>
      <c r="F41" s="43" t="s">
        <v>399</v>
      </c>
      <c r="G41" s="43" t="s">
        <v>399</v>
      </c>
    </row>
    <row r="42" spans="1:7" x14ac:dyDescent="0.2">
      <c r="A42" s="43" t="s">
        <v>14</v>
      </c>
      <c r="B42" s="43">
        <v>4.7</v>
      </c>
      <c r="C42" s="43" t="s">
        <v>399</v>
      </c>
      <c r="D42" s="43" t="s">
        <v>399</v>
      </c>
      <c r="E42" s="43" t="s">
        <v>399</v>
      </c>
      <c r="F42" s="43" t="s">
        <v>399</v>
      </c>
      <c r="G42" s="43" t="s">
        <v>399</v>
      </c>
    </row>
    <row r="43" spans="1:7" x14ac:dyDescent="0.2">
      <c r="A43" s="43" t="s">
        <v>14</v>
      </c>
      <c r="B43" s="43">
        <v>3.5</v>
      </c>
      <c r="C43" s="43" t="s">
        <v>329</v>
      </c>
      <c r="D43" s="43" t="s">
        <v>329</v>
      </c>
      <c r="E43" s="43" t="s">
        <v>329</v>
      </c>
      <c r="F43" s="43" t="s">
        <v>329</v>
      </c>
      <c r="G43" s="43" t="s">
        <v>400</v>
      </c>
    </row>
    <row r="44" spans="1:7" x14ac:dyDescent="0.2">
      <c r="A44" s="43" t="s">
        <v>14</v>
      </c>
      <c r="B44" s="43">
        <v>3.5</v>
      </c>
      <c r="C44" s="43" t="s">
        <v>400</v>
      </c>
      <c r="D44" s="43" t="s">
        <v>404</v>
      </c>
      <c r="E44" s="43" t="s">
        <v>399</v>
      </c>
      <c r="F44" s="43" t="s">
        <v>404</v>
      </c>
      <c r="G44" s="43" t="s">
        <v>399</v>
      </c>
    </row>
    <row r="45" spans="1:7" x14ac:dyDescent="0.2">
      <c r="A45" s="43" t="s">
        <v>14</v>
      </c>
      <c r="B45" s="43">
        <v>3.4</v>
      </c>
      <c r="C45" s="43" t="s">
        <v>399</v>
      </c>
      <c r="D45" s="43" t="s">
        <v>399</v>
      </c>
      <c r="E45" s="43" t="s">
        <v>399</v>
      </c>
      <c r="F45" s="43" t="s">
        <v>399</v>
      </c>
      <c r="G45" s="43" t="s">
        <v>399</v>
      </c>
    </row>
    <row r="46" spans="1:7" x14ac:dyDescent="0.2">
      <c r="A46" s="43" t="s">
        <v>14</v>
      </c>
      <c r="B46" s="43">
        <v>3</v>
      </c>
      <c r="C46" s="43" t="s">
        <v>403</v>
      </c>
      <c r="D46" s="43" t="s">
        <v>403</v>
      </c>
      <c r="E46" s="43" t="s">
        <v>403</v>
      </c>
      <c r="F46" s="43" t="s">
        <v>400</v>
      </c>
      <c r="G46" s="43" t="s">
        <v>400</v>
      </c>
    </row>
    <row r="47" spans="1:7" x14ac:dyDescent="0.2">
      <c r="A47" s="43" t="s">
        <v>14</v>
      </c>
      <c r="B47" s="43">
        <v>3</v>
      </c>
      <c r="C47" s="43" t="s">
        <v>399</v>
      </c>
      <c r="D47" s="43" t="s">
        <v>399</v>
      </c>
      <c r="E47" s="43" t="s">
        <v>399</v>
      </c>
      <c r="F47" s="43" t="s">
        <v>399</v>
      </c>
      <c r="G47" s="43" t="s">
        <v>399</v>
      </c>
    </row>
    <row r="48" spans="1:7" x14ac:dyDescent="0.2">
      <c r="A48" s="43" t="s">
        <v>14</v>
      </c>
      <c r="B48" s="43">
        <v>3</v>
      </c>
      <c r="C48" s="43" t="s">
        <v>399</v>
      </c>
      <c r="D48" s="43" t="s">
        <v>399</v>
      </c>
      <c r="E48" s="43" t="s">
        <v>399</v>
      </c>
      <c r="F48" s="43" t="s">
        <v>399</v>
      </c>
      <c r="G48" s="43" t="s">
        <v>399</v>
      </c>
    </row>
    <row r="49" spans="1:7" x14ac:dyDescent="0.2">
      <c r="A49" s="43" t="s">
        <v>14</v>
      </c>
      <c r="B49" s="43">
        <v>3</v>
      </c>
      <c r="C49" s="43" t="s">
        <v>399</v>
      </c>
      <c r="D49" s="43" t="s">
        <v>399</v>
      </c>
      <c r="E49" s="43" t="s">
        <v>399</v>
      </c>
      <c r="F49" s="43" t="s">
        <v>399</v>
      </c>
      <c r="G49" s="43" t="s">
        <v>399</v>
      </c>
    </row>
    <row r="50" spans="1:7" x14ac:dyDescent="0.2">
      <c r="A50" s="43" t="s">
        <v>14</v>
      </c>
      <c r="B50" s="43">
        <v>3</v>
      </c>
      <c r="C50" s="43" t="s">
        <v>399</v>
      </c>
      <c r="D50" s="43" t="s">
        <v>399</v>
      </c>
      <c r="E50" s="43" t="s">
        <v>399</v>
      </c>
      <c r="F50" s="43" t="s">
        <v>399</v>
      </c>
      <c r="G50" s="43" t="s">
        <v>399</v>
      </c>
    </row>
    <row r="51" spans="1:7" x14ac:dyDescent="0.2">
      <c r="A51" s="43" t="s">
        <v>14</v>
      </c>
      <c r="B51" s="43">
        <v>3</v>
      </c>
      <c r="C51" s="43" t="s">
        <v>404</v>
      </c>
      <c r="D51" s="43" t="s">
        <v>403</v>
      </c>
      <c r="E51" s="43" t="s">
        <v>404</v>
      </c>
      <c r="F51" s="43" t="s">
        <v>399</v>
      </c>
      <c r="G51" s="43" t="s">
        <v>404</v>
      </c>
    </row>
    <row r="52" spans="1:7" x14ac:dyDescent="0.2">
      <c r="A52" s="43" t="s">
        <v>14</v>
      </c>
      <c r="B52" s="43">
        <v>3</v>
      </c>
      <c r="C52" s="43" t="s">
        <v>399</v>
      </c>
      <c r="D52" s="43" t="s">
        <v>399</v>
      </c>
      <c r="E52" s="43" t="s">
        <v>399</v>
      </c>
      <c r="F52" s="43" t="s">
        <v>399</v>
      </c>
      <c r="G52" s="43" t="s">
        <v>399</v>
      </c>
    </row>
    <row r="53" spans="1:7" x14ac:dyDescent="0.2">
      <c r="A53" s="43" t="s">
        <v>14</v>
      </c>
      <c r="B53" s="43">
        <v>3</v>
      </c>
      <c r="C53" s="43" t="s">
        <v>399</v>
      </c>
      <c r="D53" s="43" t="s">
        <v>399</v>
      </c>
      <c r="E53" s="43" t="s">
        <v>399</v>
      </c>
      <c r="F53" s="43" t="s">
        <v>399</v>
      </c>
      <c r="G53" s="43" t="s">
        <v>399</v>
      </c>
    </row>
    <row r="54" spans="1:7" x14ac:dyDescent="0.2">
      <c r="A54" s="43" t="s">
        <v>14</v>
      </c>
      <c r="B54" s="43">
        <v>3</v>
      </c>
      <c r="C54" s="43" t="s">
        <v>399</v>
      </c>
      <c r="D54" s="43" t="s">
        <v>399</v>
      </c>
      <c r="E54" s="43" t="s">
        <v>399</v>
      </c>
      <c r="F54" s="43" t="s">
        <v>399</v>
      </c>
      <c r="G54" s="43" t="s">
        <v>399</v>
      </c>
    </row>
    <row r="55" spans="1:7" x14ac:dyDescent="0.2">
      <c r="A55" s="43" t="s">
        <v>14</v>
      </c>
      <c r="B55" s="43">
        <v>2.5</v>
      </c>
      <c r="C55" s="43" t="s">
        <v>399</v>
      </c>
      <c r="D55" s="43" t="s">
        <v>399</v>
      </c>
      <c r="E55" s="43" t="s">
        <v>399</v>
      </c>
      <c r="F55" s="43" t="s">
        <v>399</v>
      </c>
      <c r="G55" s="43" t="s">
        <v>399</v>
      </c>
    </row>
    <row r="56" spans="1:7" x14ac:dyDescent="0.2">
      <c r="A56" s="43" t="s">
        <v>14</v>
      </c>
      <c r="B56" s="43">
        <v>2.2999999999999998</v>
      </c>
      <c r="C56" s="43" t="s">
        <v>399</v>
      </c>
      <c r="D56" s="43" t="s">
        <v>399</v>
      </c>
      <c r="E56" s="43" t="s">
        <v>399</v>
      </c>
      <c r="F56" s="43" t="s">
        <v>399</v>
      </c>
      <c r="G56" s="43" t="s">
        <v>399</v>
      </c>
    </row>
    <row r="57" spans="1:7" x14ac:dyDescent="0.2">
      <c r="A57" s="43" t="s">
        <v>14</v>
      </c>
      <c r="B57" s="43">
        <v>2.25</v>
      </c>
      <c r="C57" s="43" t="s">
        <v>404</v>
      </c>
      <c r="D57" s="43" t="s">
        <v>404</v>
      </c>
      <c r="E57" s="43" t="s">
        <v>404</v>
      </c>
      <c r="F57" s="43" t="s">
        <v>404</v>
      </c>
      <c r="G57" s="43" t="s">
        <v>404</v>
      </c>
    </row>
    <row r="58" spans="1:7" x14ac:dyDescent="0.2">
      <c r="A58" s="43" t="s">
        <v>14</v>
      </c>
      <c r="B58" s="43">
        <v>2.1</v>
      </c>
      <c r="C58" s="43" t="s">
        <v>400</v>
      </c>
      <c r="D58" s="43" t="s">
        <v>404</v>
      </c>
      <c r="E58" s="43" t="s">
        <v>404</v>
      </c>
      <c r="F58" s="43" t="s">
        <v>404</v>
      </c>
      <c r="G58" s="43" t="s">
        <v>404</v>
      </c>
    </row>
    <row r="59" spans="1:7" x14ac:dyDescent="0.2">
      <c r="A59" s="43" t="s">
        <v>14</v>
      </c>
      <c r="B59" s="43">
        <v>2.1</v>
      </c>
      <c r="C59" s="43" t="s">
        <v>400</v>
      </c>
      <c r="D59" s="43" t="s">
        <v>400</v>
      </c>
      <c r="E59" s="43" t="s">
        <v>400</v>
      </c>
      <c r="F59" s="43" t="s">
        <v>400</v>
      </c>
      <c r="G59" s="43" t="s">
        <v>400</v>
      </c>
    </row>
    <row r="60" spans="1:7" x14ac:dyDescent="0.2">
      <c r="A60" s="43" t="s">
        <v>14</v>
      </c>
      <c r="B60" s="43">
        <v>2</v>
      </c>
      <c r="C60" s="43" t="s">
        <v>404</v>
      </c>
      <c r="D60" s="43" t="s">
        <v>404</v>
      </c>
      <c r="E60" s="43" t="s">
        <v>404</v>
      </c>
      <c r="F60" s="43" t="s">
        <v>404</v>
      </c>
      <c r="G60" s="43" t="s">
        <v>404</v>
      </c>
    </row>
    <row r="61" spans="1:7" x14ac:dyDescent="0.2">
      <c r="A61" s="43" t="s">
        <v>14</v>
      </c>
      <c r="B61" s="43">
        <v>2</v>
      </c>
      <c r="C61" s="43" t="s">
        <v>399</v>
      </c>
      <c r="D61" s="43" t="s">
        <v>399</v>
      </c>
      <c r="E61" s="43" t="s">
        <v>399</v>
      </c>
      <c r="F61" s="43" t="s">
        <v>399</v>
      </c>
      <c r="G61" s="43" t="s">
        <v>399</v>
      </c>
    </row>
    <row r="62" spans="1:7" x14ac:dyDescent="0.2">
      <c r="A62" s="43" t="s">
        <v>14</v>
      </c>
      <c r="B62" s="43">
        <v>2</v>
      </c>
      <c r="C62" s="43" t="s">
        <v>399</v>
      </c>
      <c r="D62" s="43" t="s">
        <v>399</v>
      </c>
      <c r="E62" s="43" t="s">
        <v>399</v>
      </c>
      <c r="F62" s="43" t="s">
        <v>399</v>
      </c>
      <c r="G62" s="43" t="s">
        <v>399</v>
      </c>
    </row>
    <row r="63" spans="1:7" x14ac:dyDescent="0.2">
      <c r="A63" s="43" t="s">
        <v>14</v>
      </c>
      <c r="B63" s="43">
        <v>2</v>
      </c>
      <c r="C63" s="43" t="s">
        <v>399</v>
      </c>
      <c r="D63" s="43" t="s">
        <v>399</v>
      </c>
      <c r="E63" s="43" t="s">
        <v>399</v>
      </c>
      <c r="F63" s="43" t="s">
        <v>399</v>
      </c>
      <c r="G63" s="43" t="s">
        <v>399</v>
      </c>
    </row>
    <row r="64" spans="1:7" x14ac:dyDescent="0.2">
      <c r="A64" s="43" t="s">
        <v>14</v>
      </c>
      <c r="B64" s="43">
        <v>2</v>
      </c>
      <c r="C64" s="43" t="s">
        <v>403</v>
      </c>
      <c r="D64" s="43" t="s">
        <v>403</v>
      </c>
      <c r="E64" s="43" t="s">
        <v>403</v>
      </c>
      <c r="F64" s="43" t="s">
        <v>403</v>
      </c>
      <c r="G64" s="43" t="s">
        <v>403</v>
      </c>
    </row>
    <row r="65" spans="1:7" x14ac:dyDescent="0.2">
      <c r="A65" s="43" t="s">
        <v>14</v>
      </c>
      <c r="B65" s="43">
        <v>2</v>
      </c>
      <c r="C65" s="43" t="s">
        <v>399</v>
      </c>
      <c r="D65" s="43" t="s">
        <v>399</v>
      </c>
      <c r="E65" s="43" t="s">
        <v>399</v>
      </c>
      <c r="F65" s="43" t="s">
        <v>399</v>
      </c>
      <c r="G65" s="43" t="s">
        <v>399</v>
      </c>
    </row>
    <row r="66" spans="1:7" x14ac:dyDescent="0.2">
      <c r="A66" s="43" t="s">
        <v>14</v>
      </c>
      <c r="B66" s="43">
        <v>2</v>
      </c>
      <c r="C66" s="43" t="s">
        <v>403</v>
      </c>
      <c r="D66" s="43" t="s">
        <v>399</v>
      </c>
      <c r="E66" s="43" t="s">
        <v>403</v>
      </c>
      <c r="F66" s="43" t="s">
        <v>399</v>
      </c>
      <c r="G66" s="43" t="s">
        <v>403</v>
      </c>
    </row>
    <row r="67" spans="1:7" x14ac:dyDescent="0.2">
      <c r="A67" s="43" t="s">
        <v>14</v>
      </c>
      <c r="B67" s="43">
        <v>2</v>
      </c>
      <c r="C67" s="43" t="s">
        <v>399</v>
      </c>
      <c r="D67" s="43" t="s">
        <v>399</v>
      </c>
      <c r="E67" s="43" t="s">
        <v>399</v>
      </c>
      <c r="F67" s="43" t="s">
        <v>399</v>
      </c>
      <c r="G67" s="43" t="s">
        <v>399</v>
      </c>
    </row>
    <row r="68" spans="1:7" x14ac:dyDescent="0.2">
      <c r="A68" s="43" t="s">
        <v>14</v>
      </c>
      <c r="B68" s="43">
        <v>2</v>
      </c>
      <c r="C68" s="43" t="s">
        <v>399</v>
      </c>
      <c r="D68" s="43" t="s">
        <v>399</v>
      </c>
      <c r="E68" s="43" t="s">
        <v>399</v>
      </c>
      <c r="F68" s="43" t="s">
        <v>399</v>
      </c>
      <c r="G68" s="43" t="s">
        <v>399</v>
      </c>
    </row>
    <row r="69" spans="1:7" x14ac:dyDescent="0.2">
      <c r="A69" s="43" t="s">
        <v>14</v>
      </c>
      <c r="B69" s="43">
        <v>2</v>
      </c>
      <c r="C69" s="43" t="s">
        <v>403</v>
      </c>
      <c r="D69" s="43" t="s">
        <v>403</v>
      </c>
      <c r="E69" s="43" t="s">
        <v>403</v>
      </c>
      <c r="F69" s="43" t="s">
        <v>403</v>
      </c>
      <c r="G69" s="43" t="s">
        <v>403</v>
      </c>
    </row>
    <row r="70" spans="1:7" x14ac:dyDescent="0.2">
      <c r="A70" s="43" t="s">
        <v>14</v>
      </c>
      <c r="B70" s="43">
        <v>2</v>
      </c>
      <c r="C70" s="43" t="s">
        <v>399</v>
      </c>
      <c r="D70" s="43" t="s">
        <v>399</v>
      </c>
      <c r="E70" s="43" t="s">
        <v>399</v>
      </c>
      <c r="F70" s="43" t="s">
        <v>399</v>
      </c>
      <c r="G70" s="43" t="s">
        <v>399</v>
      </c>
    </row>
    <row r="71" spans="1:7" x14ac:dyDescent="0.2">
      <c r="A71" s="43" t="s">
        <v>14</v>
      </c>
      <c r="B71" s="43">
        <v>2</v>
      </c>
      <c r="C71" s="43" t="s">
        <v>399</v>
      </c>
      <c r="D71" s="43" t="s">
        <v>399</v>
      </c>
      <c r="E71" s="43" t="s">
        <v>399</v>
      </c>
      <c r="F71" s="43" t="s">
        <v>399</v>
      </c>
      <c r="G71" s="43" t="s">
        <v>399</v>
      </c>
    </row>
    <row r="72" spans="1:7" x14ac:dyDescent="0.2">
      <c r="A72" s="43" t="s">
        <v>14</v>
      </c>
      <c r="B72" s="43">
        <v>1.9</v>
      </c>
      <c r="C72" s="43" t="s">
        <v>404</v>
      </c>
      <c r="D72" s="43" t="s">
        <v>399</v>
      </c>
      <c r="E72" s="43" t="s">
        <v>404</v>
      </c>
      <c r="F72" s="43" t="s">
        <v>404</v>
      </c>
      <c r="G72" s="43" t="s">
        <v>404</v>
      </c>
    </row>
    <row r="73" spans="1:7" x14ac:dyDescent="0.2">
      <c r="A73" s="43" t="s">
        <v>14</v>
      </c>
      <c r="B73" s="43">
        <v>1.8</v>
      </c>
      <c r="C73" s="43" t="s">
        <v>403</v>
      </c>
      <c r="D73" s="43" t="s">
        <v>399</v>
      </c>
      <c r="E73" s="43" t="s">
        <v>403</v>
      </c>
      <c r="F73" s="43" t="s">
        <v>403</v>
      </c>
      <c r="G73" s="43" t="s">
        <v>399</v>
      </c>
    </row>
    <row r="74" spans="1:7" x14ac:dyDescent="0.2">
      <c r="A74" s="43" t="s">
        <v>14</v>
      </c>
      <c r="B74" s="43">
        <v>1.75</v>
      </c>
      <c r="C74" s="43" t="s">
        <v>399</v>
      </c>
      <c r="D74" s="43" t="s">
        <v>404</v>
      </c>
      <c r="E74" s="43" t="s">
        <v>404</v>
      </c>
      <c r="F74" s="43" t="s">
        <v>399</v>
      </c>
      <c r="G74" s="43" t="s">
        <v>404</v>
      </c>
    </row>
    <row r="75" spans="1:7" x14ac:dyDescent="0.2">
      <c r="A75" s="43" t="s">
        <v>14</v>
      </c>
      <c r="B75" s="43">
        <v>1.7</v>
      </c>
      <c r="C75" s="43" t="s">
        <v>399</v>
      </c>
      <c r="D75" s="43" t="s">
        <v>399</v>
      </c>
      <c r="E75" s="43" t="s">
        <v>399</v>
      </c>
      <c r="F75" s="43" t="s">
        <v>399</v>
      </c>
      <c r="G75" s="43" t="s">
        <v>399</v>
      </c>
    </row>
    <row r="76" spans="1:7" x14ac:dyDescent="0.2">
      <c r="A76" s="43" t="s">
        <v>14</v>
      </c>
      <c r="B76" s="43">
        <v>1.5</v>
      </c>
      <c r="C76" s="43" t="s">
        <v>399</v>
      </c>
      <c r="D76" s="43" t="s">
        <v>399</v>
      </c>
      <c r="E76" s="43" t="s">
        <v>399</v>
      </c>
      <c r="F76" s="43" t="s">
        <v>399</v>
      </c>
      <c r="G76" s="43" t="s">
        <v>399</v>
      </c>
    </row>
    <row r="77" spans="1:7" x14ac:dyDescent="0.2">
      <c r="A77" s="43" t="s">
        <v>14</v>
      </c>
      <c r="B77" s="44">
        <v>1.5</v>
      </c>
      <c r="C77" s="43" t="s">
        <v>399</v>
      </c>
      <c r="D77" s="43" t="s">
        <v>399</v>
      </c>
      <c r="E77" s="43" t="s">
        <v>399</v>
      </c>
      <c r="F77" s="43" t="s">
        <v>399</v>
      </c>
      <c r="G77" s="43" t="s">
        <v>399</v>
      </c>
    </row>
    <row r="78" spans="1:7" x14ac:dyDescent="0.2">
      <c r="A78" s="43" t="s">
        <v>14</v>
      </c>
      <c r="B78" s="43">
        <v>1.5</v>
      </c>
      <c r="C78" s="43" t="s">
        <v>403</v>
      </c>
      <c r="D78" s="43" t="s">
        <v>403</v>
      </c>
      <c r="E78" s="43" t="s">
        <v>403</v>
      </c>
      <c r="F78" s="43" t="s">
        <v>403</v>
      </c>
      <c r="G78" s="43" t="s">
        <v>403</v>
      </c>
    </row>
    <row r="79" spans="1:7" x14ac:dyDescent="0.2">
      <c r="A79" s="43" t="s">
        <v>14</v>
      </c>
      <c r="B79" s="43">
        <v>1.5</v>
      </c>
      <c r="C79" s="43" t="s">
        <v>403</v>
      </c>
      <c r="D79" s="43" t="s">
        <v>403</v>
      </c>
      <c r="E79" s="43" t="s">
        <v>403</v>
      </c>
      <c r="F79" s="43" t="s">
        <v>403</v>
      </c>
      <c r="G79" s="43" t="s">
        <v>403</v>
      </c>
    </row>
    <row r="80" spans="1:7" x14ac:dyDescent="0.2">
      <c r="A80" s="43" t="s">
        <v>14</v>
      </c>
      <c r="B80" s="43">
        <v>1.5</v>
      </c>
      <c r="C80" s="43" t="s">
        <v>404</v>
      </c>
      <c r="D80" s="43" t="s">
        <v>404</v>
      </c>
      <c r="E80" s="43" t="s">
        <v>404</v>
      </c>
      <c r="F80" s="43" t="s">
        <v>404</v>
      </c>
      <c r="G80" s="43" t="s">
        <v>399</v>
      </c>
    </row>
    <row r="81" spans="1:7" x14ac:dyDescent="0.2">
      <c r="A81" s="43" t="s">
        <v>14</v>
      </c>
      <c r="B81" s="43">
        <v>1.5</v>
      </c>
      <c r="C81" s="43" t="s">
        <v>399</v>
      </c>
      <c r="D81" s="43" t="s">
        <v>399</v>
      </c>
      <c r="E81" s="43" t="s">
        <v>399</v>
      </c>
      <c r="F81" s="43" t="s">
        <v>399</v>
      </c>
      <c r="G81" s="43" t="s">
        <v>399</v>
      </c>
    </row>
    <row r="82" spans="1:7" x14ac:dyDescent="0.2">
      <c r="A82" s="43" t="s">
        <v>14</v>
      </c>
      <c r="B82" s="43">
        <v>1.5</v>
      </c>
      <c r="C82" s="43" t="s">
        <v>399</v>
      </c>
      <c r="D82" s="43" t="s">
        <v>399</v>
      </c>
      <c r="E82" s="43" t="s">
        <v>399</v>
      </c>
      <c r="F82" s="43" t="s">
        <v>399</v>
      </c>
      <c r="G82" s="43" t="s">
        <v>399</v>
      </c>
    </row>
    <row r="83" spans="1:7" x14ac:dyDescent="0.2">
      <c r="A83" s="43" t="s">
        <v>14</v>
      </c>
      <c r="B83" s="43">
        <v>1.5</v>
      </c>
      <c r="C83" s="43" t="s">
        <v>399</v>
      </c>
      <c r="D83" s="43" t="s">
        <v>399</v>
      </c>
      <c r="E83" s="43" t="s">
        <v>399</v>
      </c>
      <c r="F83" s="43" t="s">
        <v>399</v>
      </c>
      <c r="G83" s="43" t="s">
        <v>399</v>
      </c>
    </row>
    <row r="84" spans="1:7" x14ac:dyDescent="0.2">
      <c r="A84" s="43" t="s">
        <v>14</v>
      </c>
      <c r="B84" s="43">
        <v>1.5</v>
      </c>
      <c r="C84" s="43" t="s">
        <v>404</v>
      </c>
      <c r="D84" s="43" t="s">
        <v>404</v>
      </c>
      <c r="E84" s="43" t="s">
        <v>404</v>
      </c>
      <c r="F84" s="43" t="s">
        <v>404</v>
      </c>
      <c r="G84" s="43" t="s">
        <v>399</v>
      </c>
    </row>
    <row r="85" spans="1:7" x14ac:dyDescent="0.2">
      <c r="A85" s="43" t="s">
        <v>14</v>
      </c>
      <c r="B85" s="43">
        <v>1.5</v>
      </c>
      <c r="C85" s="43" t="s">
        <v>404</v>
      </c>
      <c r="D85" s="43" t="s">
        <v>399</v>
      </c>
      <c r="E85" s="43" t="s">
        <v>404</v>
      </c>
      <c r="F85" s="43" t="s">
        <v>399</v>
      </c>
      <c r="G85" s="43" t="s">
        <v>404</v>
      </c>
    </row>
    <row r="86" spans="1:7" x14ac:dyDescent="0.2">
      <c r="A86" s="43" t="s">
        <v>14</v>
      </c>
      <c r="B86" s="43">
        <v>1.25</v>
      </c>
      <c r="C86" s="43" t="s">
        <v>400</v>
      </c>
      <c r="D86" s="43" t="s">
        <v>400</v>
      </c>
      <c r="E86" s="43" t="s">
        <v>400</v>
      </c>
      <c r="F86" s="43" t="s">
        <v>400</v>
      </c>
      <c r="G86" s="43" t="s">
        <v>400</v>
      </c>
    </row>
    <row r="87" spans="1:7" x14ac:dyDescent="0.2">
      <c r="A87" s="43" t="s">
        <v>14</v>
      </c>
      <c r="B87" s="43">
        <v>1.2</v>
      </c>
      <c r="C87" s="43" t="s">
        <v>404</v>
      </c>
      <c r="D87" s="43" t="s">
        <v>404</v>
      </c>
      <c r="E87" s="43" t="s">
        <v>404</v>
      </c>
      <c r="F87" s="43" t="s">
        <v>404</v>
      </c>
      <c r="G87" s="43" t="s">
        <v>404</v>
      </c>
    </row>
    <row r="88" spans="1:7" x14ac:dyDescent="0.2">
      <c r="A88" s="43" t="s">
        <v>14</v>
      </c>
      <c r="B88" s="43">
        <v>1.2</v>
      </c>
      <c r="C88" s="43" t="s">
        <v>403</v>
      </c>
      <c r="D88" s="43" t="s">
        <v>403</v>
      </c>
      <c r="E88" s="43" t="s">
        <v>403</v>
      </c>
      <c r="F88" s="43" t="s">
        <v>403</v>
      </c>
      <c r="G88" s="43" t="s">
        <v>403</v>
      </c>
    </row>
    <row r="89" spans="1:7" x14ac:dyDescent="0.2">
      <c r="A89" s="43" t="s">
        <v>14</v>
      </c>
      <c r="B89" s="43">
        <v>1.1000000000000001</v>
      </c>
      <c r="C89" s="43" t="s">
        <v>404</v>
      </c>
      <c r="D89" s="43" t="s">
        <v>404</v>
      </c>
      <c r="E89" s="43" t="s">
        <v>404</v>
      </c>
      <c r="F89" s="43" t="s">
        <v>404</v>
      </c>
      <c r="G89" s="43" t="s">
        <v>404</v>
      </c>
    </row>
    <row r="90" spans="1:7" x14ac:dyDescent="0.2">
      <c r="A90" s="43" t="s">
        <v>14</v>
      </c>
      <c r="B90" s="43">
        <v>1.1000000000000001</v>
      </c>
      <c r="C90" s="43" t="s">
        <v>399</v>
      </c>
      <c r="D90" s="43" t="s">
        <v>399</v>
      </c>
      <c r="E90" s="43" t="s">
        <v>399</v>
      </c>
      <c r="F90" s="43" t="s">
        <v>399</v>
      </c>
      <c r="G90" s="43" t="s">
        <v>399</v>
      </c>
    </row>
    <row r="91" spans="1:7" x14ac:dyDescent="0.2">
      <c r="A91" s="43" t="s">
        <v>14</v>
      </c>
      <c r="B91" s="43">
        <v>1.1000000000000001</v>
      </c>
      <c r="C91" s="43" t="s">
        <v>404</v>
      </c>
      <c r="D91" s="43" t="s">
        <v>404</v>
      </c>
      <c r="E91" s="43" t="s">
        <v>404</v>
      </c>
      <c r="F91" s="43" t="s">
        <v>404</v>
      </c>
      <c r="G91" s="43" t="s">
        <v>404</v>
      </c>
    </row>
    <row r="92" spans="1:7" x14ac:dyDescent="0.2">
      <c r="A92" s="43" t="s">
        <v>14</v>
      </c>
      <c r="B92" s="43">
        <v>1.1000000000000001</v>
      </c>
      <c r="C92" s="43" t="s">
        <v>399</v>
      </c>
      <c r="D92" s="43" t="s">
        <v>399</v>
      </c>
      <c r="E92" s="43" t="s">
        <v>399</v>
      </c>
      <c r="F92" s="43" t="s">
        <v>399</v>
      </c>
      <c r="G92" s="43" t="s">
        <v>400</v>
      </c>
    </row>
    <row r="93" spans="1:7" x14ac:dyDescent="0.2">
      <c r="A93" s="43" t="s">
        <v>14</v>
      </c>
      <c r="B93" s="43">
        <v>1</v>
      </c>
      <c r="C93" s="43" t="s">
        <v>403</v>
      </c>
      <c r="D93" s="43" t="s">
        <v>404</v>
      </c>
      <c r="E93" s="43" t="s">
        <v>403</v>
      </c>
      <c r="F93" s="43" t="s">
        <v>404</v>
      </c>
      <c r="G93" s="43" t="s">
        <v>403</v>
      </c>
    </row>
    <row r="94" spans="1:7" x14ac:dyDescent="0.2">
      <c r="A94" s="43" t="s">
        <v>14</v>
      </c>
      <c r="B94" s="43">
        <v>1</v>
      </c>
      <c r="C94" s="43" t="s">
        <v>329</v>
      </c>
      <c r="D94" s="43" t="s">
        <v>399</v>
      </c>
      <c r="E94" s="43" t="s">
        <v>329</v>
      </c>
      <c r="F94" s="43" t="s">
        <v>399</v>
      </c>
      <c r="G94" s="43" t="s">
        <v>329</v>
      </c>
    </row>
    <row r="95" spans="1:7" x14ac:dyDescent="0.2">
      <c r="A95" s="43" t="s">
        <v>14</v>
      </c>
      <c r="B95" s="43">
        <v>1</v>
      </c>
      <c r="C95" s="43" t="s">
        <v>403</v>
      </c>
      <c r="D95" s="43" t="s">
        <v>403</v>
      </c>
      <c r="E95" s="43" t="s">
        <v>403</v>
      </c>
      <c r="F95" s="43" t="s">
        <v>403</v>
      </c>
      <c r="G95" s="43" t="s">
        <v>403</v>
      </c>
    </row>
    <row r="96" spans="1:7" x14ac:dyDescent="0.2">
      <c r="A96" s="43" t="s">
        <v>14</v>
      </c>
      <c r="B96" s="43">
        <v>1</v>
      </c>
      <c r="C96" s="43" t="s">
        <v>404</v>
      </c>
      <c r="D96" s="43" t="s">
        <v>404</v>
      </c>
      <c r="E96" s="43" t="s">
        <v>404</v>
      </c>
      <c r="F96" s="43" t="s">
        <v>404</v>
      </c>
      <c r="G96" s="43" t="s">
        <v>404</v>
      </c>
    </row>
    <row r="97" spans="1:7" x14ac:dyDescent="0.2">
      <c r="A97" s="43" t="s">
        <v>14</v>
      </c>
      <c r="B97" s="43">
        <v>1</v>
      </c>
      <c r="C97" s="43" t="s">
        <v>400</v>
      </c>
      <c r="D97" s="43" t="s">
        <v>399</v>
      </c>
      <c r="E97" s="43" t="s">
        <v>400</v>
      </c>
      <c r="F97" s="43" t="s">
        <v>399</v>
      </c>
      <c r="G97" s="43" t="s">
        <v>399</v>
      </c>
    </row>
    <row r="98" spans="1:7" x14ac:dyDescent="0.2">
      <c r="A98" s="43" t="s">
        <v>14</v>
      </c>
      <c r="B98" s="43">
        <v>1</v>
      </c>
      <c r="C98" s="43" t="s">
        <v>399</v>
      </c>
      <c r="D98" s="43" t="s">
        <v>399</v>
      </c>
      <c r="E98" s="43" t="s">
        <v>399</v>
      </c>
      <c r="F98" s="43" t="s">
        <v>399</v>
      </c>
      <c r="G98" s="43" t="s">
        <v>400</v>
      </c>
    </row>
    <row r="99" spans="1:7" x14ac:dyDescent="0.2">
      <c r="A99" s="43" t="s">
        <v>14</v>
      </c>
      <c r="B99" s="43">
        <v>1</v>
      </c>
      <c r="C99" s="43" t="s">
        <v>404</v>
      </c>
      <c r="D99" s="43" t="s">
        <v>404</v>
      </c>
      <c r="E99" s="43" t="s">
        <v>404</v>
      </c>
      <c r="F99" s="43" t="s">
        <v>404</v>
      </c>
      <c r="G99" s="43" t="s">
        <v>404</v>
      </c>
    </row>
    <row r="100" spans="1:7" x14ac:dyDescent="0.2">
      <c r="A100" s="43" t="s">
        <v>14</v>
      </c>
      <c r="B100" s="43">
        <v>1</v>
      </c>
      <c r="C100" s="43" t="s">
        <v>403</v>
      </c>
      <c r="D100" s="43" t="s">
        <v>404</v>
      </c>
      <c r="E100" s="43" t="s">
        <v>404</v>
      </c>
      <c r="F100" s="43" t="s">
        <v>404</v>
      </c>
      <c r="G100" s="43" t="s">
        <v>403</v>
      </c>
    </row>
    <row r="101" spans="1:7" x14ac:dyDescent="0.2">
      <c r="A101" s="43" t="s">
        <v>14</v>
      </c>
      <c r="B101" s="43">
        <v>1</v>
      </c>
      <c r="C101" s="43" t="s">
        <v>404</v>
      </c>
      <c r="D101" s="43" t="s">
        <v>404</v>
      </c>
      <c r="E101" s="43" t="s">
        <v>404</v>
      </c>
      <c r="F101" s="43" t="s">
        <v>404</v>
      </c>
      <c r="G101" s="43" t="s">
        <v>404</v>
      </c>
    </row>
    <row r="102" spans="1:7" x14ac:dyDescent="0.2">
      <c r="A102" s="43" t="s">
        <v>14</v>
      </c>
      <c r="B102" s="43">
        <v>1</v>
      </c>
      <c r="C102" s="43" t="s">
        <v>400</v>
      </c>
      <c r="D102" s="43" t="s">
        <v>401</v>
      </c>
      <c r="E102" s="43" t="s">
        <v>404</v>
      </c>
      <c r="F102" s="43" t="s">
        <v>404</v>
      </c>
      <c r="G102" s="43" t="s">
        <v>401</v>
      </c>
    </row>
    <row r="103" spans="1:7" x14ac:dyDescent="0.2">
      <c r="A103" s="43" t="s">
        <v>14</v>
      </c>
      <c r="B103" s="43">
        <v>1</v>
      </c>
      <c r="C103" s="43" t="s">
        <v>404</v>
      </c>
      <c r="D103" s="43" t="s">
        <v>404</v>
      </c>
      <c r="E103" s="43" t="s">
        <v>404</v>
      </c>
      <c r="F103" s="43" t="s">
        <v>404</v>
      </c>
      <c r="G103" s="43" t="s">
        <v>404</v>
      </c>
    </row>
    <row r="104" spans="1:7" x14ac:dyDescent="0.2">
      <c r="A104" s="43" t="s">
        <v>14</v>
      </c>
      <c r="B104" s="43">
        <v>1</v>
      </c>
      <c r="C104" s="43" t="s">
        <v>399</v>
      </c>
      <c r="D104" s="43" t="s">
        <v>399</v>
      </c>
      <c r="E104" s="43" t="s">
        <v>399</v>
      </c>
      <c r="F104" s="43" t="s">
        <v>399</v>
      </c>
      <c r="G104" s="43" t="s">
        <v>399</v>
      </c>
    </row>
    <row r="105" spans="1:7" x14ac:dyDescent="0.2">
      <c r="A105" s="43" t="s">
        <v>14</v>
      </c>
      <c r="B105" s="43">
        <v>1</v>
      </c>
      <c r="C105" s="43" t="s">
        <v>399</v>
      </c>
      <c r="D105" s="43" t="s">
        <v>399</v>
      </c>
      <c r="E105" s="43" t="s">
        <v>399</v>
      </c>
      <c r="F105" s="43" t="s">
        <v>399</v>
      </c>
      <c r="G105" s="43" t="s">
        <v>399</v>
      </c>
    </row>
    <row r="106" spans="1:7" x14ac:dyDescent="0.2">
      <c r="A106" s="43" t="s">
        <v>14</v>
      </c>
      <c r="B106" s="43">
        <v>1</v>
      </c>
      <c r="C106" s="43" t="s">
        <v>404</v>
      </c>
      <c r="D106" s="43" t="s">
        <v>399</v>
      </c>
      <c r="E106" s="43" t="s">
        <v>404</v>
      </c>
      <c r="F106" s="43" t="s">
        <v>404</v>
      </c>
      <c r="G106" s="43" t="s">
        <v>403</v>
      </c>
    </row>
    <row r="107" spans="1:7" x14ac:dyDescent="0.2">
      <c r="A107" s="43" t="s">
        <v>14</v>
      </c>
      <c r="B107" s="43">
        <v>1</v>
      </c>
      <c r="C107" s="43" t="s">
        <v>404</v>
      </c>
      <c r="D107" s="43" t="s">
        <v>404</v>
      </c>
      <c r="E107" s="43" t="s">
        <v>404</v>
      </c>
      <c r="F107" s="43" t="s">
        <v>404</v>
      </c>
      <c r="G107" s="43" t="s">
        <v>404</v>
      </c>
    </row>
    <row r="108" spans="1:7" x14ac:dyDescent="0.2">
      <c r="A108" s="43" t="s">
        <v>14</v>
      </c>
      <c r="B108" s="43">
        <v>1</v>
      </c>
      <c r="C108" s="43" t="s">
        <v>404</v>
      </c>
      <c r="D108" s="43" t="s">
        <v>403</v>
      </c>
      <c r="E108" s="43" t="s">
        <v>404</v>
      </c>
      <c r="F108" s="43" t="s">
        <v>399</v>
      </c>
      <c r="G108" s="43" t="s">
        <v>404</v>
      </c>
    </row>
    <row r="109" spans="1:7" x14ac:dyDescent="0.2">
      <c r="A109" s="43" t="s">
        <v>14</v>
      </c>
      <c r="B109" s="43">
        <v>1</v>
      </c>
      <c r="C109" s="43" t="s">
        <v>399</v>
      </c>
      <c r="D109" s="43" t="s">
        <v>404</v>
      </c>
      <c r="E109" s="43" t="s">
        <v>404</v>
      </c>
      <c r="F109" s="43" t="s">
        <v>399</v>
      </c>
      <c r="G109" s="43" t="s">
        <v>399</v>
      </c>
    </row>
    <row r="110" spans="1:7" x14ac:dyDescent="0.2">
      <c r="A110" s="43" t="s">
        <v>14</v>
      </c>
      <c r="B110" s="43">
        <v>1</v>
      </c>
      <c r="C110" s="43" t="s">
        <v>404</v>
      </c>
      <c r="D110" s="43" t="s">
        <v>404</v>
      </c>
      <c r="E110" s="43" t="s">
        <v>399</v>
      </c>
      <c r="F110" s="43" t="s">
        <v>404</v>
      </c>
      <c r="G110" s="43" t="s">
        <v>404</v>
      </c>
    </row>
    <row r="111" spans="1:7" x14ac:dyDescent="0.2">
      <c r="A111" s="43" t="s">
        <v>14</v>
      </c>
      <c r="B111" s="43">
        <v>1</v>
      </c>
      <c r="C111" s="43" t="s">
        <v>404</v>
      </c>
      <c r="D111" s="43" t="s">
        <v>404</v>
      </c>
      <c r="E111" s="43" t="s">
        <v>404</v>
      </c>
      <c r="F111" s="43" t="s">
        <v>404</v>
      </c>
      <c r="G111" s="43" t="s">
        <v>404</v>
      </c>
    </row>
    <row r="112" spans="1:7" x14ac:dyDescent="0.2">
      <c r="A112" s="43" t="s">
        <v>14</v>
      </c>
      <c r="B112" s="43">
        <v>1</v>
      </c>
      <c r="C112" s="43" t="s">
        <v>399</v>
      </c>
      <c r="D112" s="43" t="s">
        <v>399</v>
      </c>
      <c r="E112" s="43" t="s">
        <v>399</v>
      </c>
      <c r="F112" s="43" t="s">
        <v>399</v>
      </c>
      <c r="G112" s="43" t="s">
        <v>399</v>
      </c>
    </row>
    <row r="113" spans="1:7" x14ac:dyDescent="0.2">
      <c r="A113" s="43" t="s">
        <v>14</v>
      </c>
      <c r="B113" s="43">
        <v>1</v>
      </c>
      <c r="C113" s="43" t="s">
        <v>404</v>
      </c>
      <c r="D113" s="43" t="s">
        <v>404</v>
      </c>
      <c r="E113" s="43" t="s">
        <v>404</v>
      </c>
      <c r="F113" s="43" t="s">
        <v>404</v>
      </c>
      <c r="G113" s="43" t="s">
        <v>404</v>
      </c>
    </row>
    <row r="114" spans="1:7" x14ac:dyDescent="0.2">
      <c r="A114" s="43" t="s">
        <v>14</v>
      </c>
      <c r="B114" s="43">
        <v>1</v>
      </c>
      <c r="C114" s="43" t="s">
        <v>404</v>
      </c>
      <c r="D114" s="43" t="s">
        <v>404</v>
      </c>
      <c r="E114" s="43" t="s">
        <v>404</v>
      </c>
      <c r="F114" s="43" t="s">
        <v>404</v>
      </c>
      <c r="G114" s="43" t="s">
        <v>404</v>
      </c>
    </row>
    <row r="115" spans="1:7" x14ac:dyDescent="0.2">
      <c r="A115" s="43" t="s">
        <v>14</v>
      </c>
      <c r="B115" s="43">
        <v>1</v>
      </c>
      <c r="C115" s="43" t="s">
        <v>404</v>
      </c>
      <c r="D115" s="43" t="s">
        <v>404</v>
      </c>
      <c r="E115" s="43" t="s">
        <v>404</v>
      </c>
      <c r="F115" s="43" t="s">
        <v>404</v>
      </c>
      <c r="G115" s="43" t="s">
        <v>404</v>
      </c>
    </row>
    <row r="116" spans="1:7" x14ac:dyDescent="0.2">
      <c r="A116" s="43" t="s">
        <v>14</v>
      </c>
      <c r="B116" s="43">
        <v>1</v>
      </c>
      <c r="C116" s="43" t="s">
        <v>404</v>
      </c>
      <c r="D116" s="43" t="s">
        <v>404</v>
      </c>
      <c r="E116" s="43" t="s">
        <v>404</v>
      </c>
      <c r="F116" s="43" t="s">
        <v>404</v>
      </c>
      <c r="G116" s="43" t="s">
        <v>404</v>
      </c>
    </row>
    <row r="117" spans="1:7" x14ac:dyDescent="0.2">
      <c r="A117" s="43" t="s">
        <v>14</v>
      </c>
      <c r="B117" s="43">
        <v>1</v>
      </c>
      <c r="C117" s="43" t="s">
        <v>404</v>
      </c>
      <c r="D117" s="43" t="s">
        <v>404</v>
      </c>
      <c r="E117" s="43" t="s">
        <v>404</v>
      </c>
      <c r="F117" s="43" t="s">
        <v>404</v>
      </c>
      <c r="G117" s="43" t="s">
        <v>404</v>
      </c>
    </row>
    <row r="118" spans="1:7" x14ac:dyDescent="0.2">
      <c r="A118" s="43" t="s">
        <v>14</v>
      </c>
      <c r="B118" s="43">
        <v>0.9</v>
      </c>
      <c r="C118" s="43" t="s">
        <v>403</v>
      </c>
      <c r="D118" s="43" t="s">
        <v>403</v>
      </c>
      <c r="E118" s="43" t="s">
        <v>403</v>
      </c>
      <c r="F118" s="43" t="s">
        <v>403</v>
      </c>
      <c r="G118" s="43" t="s">
        <v>403</v>
      </c>
    </row>
    <row r="119" spans="1:7" x14ac:dyDescent="0.2">
      <c r="A119" s="43" t="s">
        <v>14</v>
      </c>
      <c r="B119" s="43">
        <v>0.7</v>
      </c>
      <c r="C119" s="43" t="s">
        <v>404</v>
      </c>
      <c r="D119" s="43" t="s">
        <v>404</v>
      </c>
      <c r="E119" s="43" t="s">
        <v>404</v>
      </c>
      <c r="F119" s="43" t="s">
        <v>404</v>
      </c>
      <c r="G119" s="43" t="s">
        <v>404</v>
      </c>
    </row>
    <row r="120" spans="1:7" x14ac:dyDescent="0.2">
      <c r="A120" s="43" t="s">
        <v>14</v>
      </c>
      <c r="B120" s="43">
        <v>0.7</v>
      </c>
      <c r="C120" s="43" t="s">
        <v>404</v>
      </c>
      <c r="D120" s="43" t="s">
        <v>404</v>
      </c>
      <c r="E120" s="43" t="s">
        <v>404</v>
      </c>
      <c r="F120" s="43" t="s">
        <v>404</v>
      </c>
      <c r="G120" s="43" t="s">
        <v>404</v>
      </c>
    </row>
    <row r="121" spans="1:7" x14ac:dyDescent="0.2">
      <c r="A121" s="43" t="s">
        <v>14</v>
      </c>
      <c r="B121" s="43">
        <v>0.7</v>
      </c>
      <c r="C121" s="43" t="s">
        <v>404</v>
      </c>
      <c r="D121" s="43" t="s">
        <v>404</v>
      </c>
      <c r="E121" s="43" t="s">
        <v>404</v>
      </c>
      <c r="F121" s="43" t="s">
        <v>404</v>
      </c>
      <c r="G121" s="43" t="s">
        <v>404</v>
      </c>
    </row>
    <row r="122" spans="1:7" x14ac:dyDescent="0.2">
      <c r="A122" s="43" t="s">
        <v>14</v>
      </c>
      <c r="B122" s="43">
        <v>0.5</v>
      </c>
      <c r="C122" s="43" t="s">
        <v>404</v>
      </c>
      <c r="D122" s="43" t="s">
        <v>404</v>
      </c>
      <c r="E122" s="43" t="s">
        <v>404</v>
      </c>
      <c r="F122" s="43" t="s">
        <v>404</v>
      </c>
      <c r="G122" s="43" t="s">
        <v>404</v>
      </c>
    </row>
    <row r="123" spans="1:7" x14ac:dyDescent="0.2">
      <c r="A123" s="43" t="s">
        <v>14</v>
      </c>
      <c r="B123" s="43">
        <v>0.5</v>
      </c>
      <c r="C123" s="43" t="s">
        <v>404</v>
      </c>
      <c r="D123" s="43" t="s">
        <v>404</v>
      </c>
      <c r="E123" s="43" t="s">
        <v>404</v>
      </c>
      <c r="F123" s="43" t="s">
        <v>399</v>
      </c>
      <c r="G123" s="43" t="s">
        <v>404</v>
      </c>
    </row>
    <row r="124" spans="1:7" x14ac:dyDescent="0.2">
      <c r="A124" s="43" t="s">
        <v>14</v>
      </c>
      <c r="B124" s="43">
        <v>0.5</v>
      </c>
      <c r="C124" s="43" t="s">
        <v>404</v>
      </c>
      <c r="D124" s="43" t="s">
        <v>404</v>
      </c>
      <c r="E124" s="43" t="s">
        <v>404</v>
      </c>
      <c r="F124" s="43" t="s">
        <v>404</v>
      </c>
      <c r="G124" s="43" t="s">
        <v>404</v>
      </c>
    </row>
    <row r="125" spans="1:7" x14ac:dyDescent="0.2">
      <c r="A125" s="43" t="s">
        <v>14</v>
      </c>
      <c r="B125" s="44">
        <v>0.5</v>
      </c>
      <c r="C125" s="43" t="s">
        <v>399</v>
      </c>
      <c r="D125" s="43" t="s">
        <v>399</v>
      </c>
      <c r="E125" s="43" t="s">
        <v>399</v>
      </c>
      <c r="F125" s="43" t="s">
        <v>399</v>
      </c>
      <c r="G125" s="43" t="s">
        <v>399</v>
      </c>
    </row>
    <row r="126" spans="1:7" x14ac:dyDescent="0.2">
      <c r="A126" s="43" t="s">
        <v>14</v>
      </c>
      <c r="B126" s="43">
        <v>0.5</v>
      </c>
      <c r="C126" s="43" t="s">
        <v>404</v>
      </c>
      <c r="D126" s="43" t="s">
        <v>404</v>
      </c>
      <c r="E126" s="43" t="s">
        <v>404</v>
      </c>
      <c r="F126" s="43" t="s">
        <v>404</v>
      </c>
      <c r="G126" s="43" t="s">
        <v>404</v>
      </c>
    </row>
    <row r="127" spans="1:7" x14ac:dyDescent="0.2">
      <c r="A127" s="43" t="s">
        <v>14</v>
      </c>
      <c r="B127" s="43">
        <v>0.5</v>
      </c>
      <c r="C127" s="43" t="s">
        <v>404</v>
      </c>
      <c r="D127" s="43" t="s">
        <v>404</v>
      </c>
      <c r="E127" s="43" t="s">
        <v>404</v>
      </c>
      <c r="F127" s="43" t="s">
        <v>404</v>
      </c>
      <c r="G127" s="43" t="s">
        <v>404</v>
      </c>
    </row>
    <row r="128" spans="1:7" x14ac:dyDescent="0.2">
      <c r="A128" s="43" t="s">
        <v>14</v>
      </c>
      <c r="B128" s="43">
        <v>0.5</v>
      </c>
      <c r="C128" s="43" t="s">
        <v>399</v>
      </c>
      <c r="D128" s="43" t="s">
        <v>399</v>
      </c>
      <c r="E128" s="43" t="s">
        <v>399</v>
      </c>
      <c r="F128" s="43" t="s">
        <v>399</v>
      </c>
      <c r="G128" s="43" t="s">
        <v>399</v>
      </c>
    </row>
    <row r="129" spans="1:7" x14ac:dyDescent="0.2">
      <c r="A129" s="43" t="s">
        <v>14</v>
      </c>
      <c r="B129" s="43">
        <v>0.5</v>
      </c>
      <c r="C129" s="43" t="s">
        <v>404</v>
      </c>
      <c r="D129" s="43" t="s">
        <v>404</v>
      </c>
      <c r="E129" s="43" t="s">
        <v>404</v>
      </c>
      <c r="F129" s="43" t="s">
        <v>404</v>
      </c>
      <c r="G129" s="43" t="s">
        <v>404</v>
      </c>
    </row>
    <row r="130" spans="1:7" x14ac:dyDescent="0.2">
      <c r="A130" s="43" t="s">
        <v>14</v>
      </c>
      <c r="B130" s="43">
        <v>0.5</v>
      </c>
      <c r="C130" s="43" t="s">
        <v>404</v>
      </c>
      <c r="D130" s="43" t="s">
        <v>404</v>
      </c>
      <c r="E130" s="43" t="s">
        <v>404</v>
      </c>
      <c r="F130" s="43" t="s">
        <v>404</v>
      </c>
      <c r="G130" s="43" t="s">
        <v>404</v>
      </c>
    </row>
    <row r="131" spans="1:7" x14ac:dyDescent="0.2">
      <c r="A131" s="43" t="s">
        <v>14</v>
      </c>
      <c r="B131" s="43">
        <v>0.5</v>
      </c>
      <c r="C131" s="43" t="s">
        <v>404</v>
      </c>
      <c r="D131" s="43" t="s">
        <v>404</v>
      </c>
      <c r="E131" s="43" t="s">
        <v>404</v>
      </c>
      <c r="F131" s="43" t="s">
        <v>404</v>
      </c>
      <c r="G131" s="43" t="s">
        <v>404</v>
      </c>
    </row>
    <row r="132" spans="1:7" x14ac:dyDescent="0.2">
      <c r="A132" s="43" t="s">
        <v>14</v>
      </c>
      <c r="B132" s="43">
        <v>0.5</v>
      </c>
      <c r="C132" s="43" t="s">
        <v>404</v>
      </c>
      <c r="D132" s="43" t="s">
        <v>404</v>
      </c>
      <c r="E132" s="43" t="s">
        <v>400</v>
      </c>
      <c r="F132" s="43" t="s">
        <v>404</v>
      </c>
      <c r="G132" s="43" t="s">
        <v>400</v>
      </c>
    </row>
    <row r="133" spans="1:7" x14ac:dyDescent="0.2">
      <c r="A133" s="43" t="s">
        <v>14</v>
      </c>
      <c r="B133" s="43">
        <v>0.5</v>
      </c>
      <c r="C133" s="43" t="s">
        <v>404</v>
      </c>
      <c r="D133" s="43" t="s">
        <v>404</v>
      </c>
      <c r="E133" s="43" t="s">
        <v>404</v>
      </c>
      <c r="F133" s="43" t="s">
        <v>404</v>
      </c>
      <c r="G133" s="43" t="s">
        <v>404</v>
      </c>
    </row>
    <row r="134" spans="1:7" x14ac:dyDescent="0.2">
      <c r="A134" s="43" t="s">
        <v>14</v>
      </c>
      <c r="B134" s="43">
        <v>0.25</v>
      </c>
      <c r="C134" s="43" t="s">
        <v>404</v>
      </c>
      <c r="D134" s="43" t="s">
        <v>404</v>
      </c>
      <c r="E134" s="43" t="s">
        <v>404</v>
      </c>
      <c r="F134" s="43" t="s">
        <v>404</v>
      </c>
      <c r="G134" s="43" t="s">
        <v>404</v>
      </c>
    </row>
    <row r="135" spans="1:7" x14ac:dyDescent="0.2">
      <c r="A135" s="43" t="s">
        <v>14</v>
      </c>
      <c r="B135" s="43">
        <v>0.25</v>
      </c>
      <c r="C135" s="43" t="s">
        <v>404</v>
      </c>
      <c r="D135" s="43" t="s">
        <v>404</v>
      </c>
      <c r="E135" s="43" t="s">
        <v>404</v>
      </c>
      <c r="F135" s="43" t="s">
        <v>404</v>
      </c>
      <c r="G135" s="43" t="s">
        <v>404</v>
      </c>
    </row>
    <row r="136" spans="1:7" x14ac:dyDescent="0.2">
      <c r="A136" s="43" t="s">
        <v>14</v>
      </c>
      <c r="B136" s="43">
        <v>0.2</v>
      </c>
      <c r="C136" s="43" t="s">
        <v>404</v>
      </c>
      <c r="D136" s="43" t="s">
        <v>404</v>
      </c>
      <c r="E136" s="43" t="s">
        <v>404</v>
      </c>
      <c r="F136" s="43" t="s">
        <v>404</v>
      </c>
      <c r="G136" s="43" t="s">
        <v>404</v>
      </c>
    </row>
    <row r="137" spans="1:7" x14ac:dyDescent="0.2">
      <c r="A137" s="43" t="s">
        <v>14</v>
      </c>
      <c r="B137" s="43">
        <v>0.1</v>
      </c>
      <c r="C137" s="43" t="s">
        <v>404</v>
      </c>
      <c r="D137" s="43" t="s">
        <v>404</v>
      </c>
      <c r="E137" s="43" t="s">
        <v>404</v>
      </c>
      <c r="F137" s="43" t="s">
        <v>404</v>
      </c>
      <c r="G137" s="43" t="s">
        <v>404</v>
      </c>
    </row>
    <row r="138" spans="1:7" x14ac:dyDescent="0.2">
      <c r="A138" s="43" t="s">
        <v>14</v>
      </c>
      <c r="B138" s="43">
        <v>0.1</v>
      </c>
      <c r="C138" s="43" t="s">
        <v>404</v>
      </c>
      <c r="D138" s="43" t="s">
        <v>404</v>
      </c>
      <c r="E138" s="43" t="s">
        <v>404</v>
      </c>
      <c r="F138" s="43" t="s">
        <v>404</v>
      </c>
      <c r="G138" s="43" t="s">
        <v>404</v>
      </c>
    </row>
    <row r="139" spans="1:7" x14ac:dyDescent="0.2">
      <c r="A139" s="43" t="s">
        <v>14</v>
      </c>
      <c r="B139" s="43">
        <v>0.1</v>
      </c>
      <c r="C139" s="43" t="s">
        <v>404</v>
      </c>
      <c r="D139" s="43" t="s">
        <v>404</v>
      </c>
      <c r="E139" s="43" t="s">
        <v>404</v>
      </c>
      <c r="F139" s="43" t="s">
        <v>404</v>
      </c>
      <c r="G139" s="43" t="s">
        <v>404</v>
      </c>
    </row>
  </sheetData>
  <mergeCells count="12">
    <mergeCell ref="K21:L21"/>
    <mergeCell ref="I1:S1"/>
    <mergeCell ref="I8:T8"/>
    <mergeCell ref="K12:M12"/>
    <mergeCell ref="K13:L13"/>
    <mergeCell ref="K14:L14"/>
    <mergeCell ref="K15:L15"/>
    <mergeCell ref="K16:L16"/>
    <mergeCell ref="K17:L17"/>
    <mergeCell ref="K18:L18"/>
    <mergeCell ref="K19:L19"/>
    <mergeCell ref="K20:L20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259C-839B-427E-884D-661B413A8704}">
  <dimension ref="A1:T169"/>
  <sheetViews>
    <sheetView workbookViewId="0">
      <selection activeCell="N18" sqref="N18"/>
    </sheetView>
  </sheetViews>
  <sheetFormatPr baseColWidth="10" defaultColWidth="8.83203125" defaultRowHeight="15" x14ac:dyDescent="0.2"/>
  <cols>
    <col min="1" max="1" width="16.1640625" bestFit="1" customWidth="1"/>
    <col min="2" max="2" width="17.1640625" bestFit="1" customWidth="1"/>
    <col min="3" max="3" width="27.5" bestFit="1" customWidth="1"/>
    <col min="4" max="4" width="37.5" bestFit="1" customWidth="1"/>
    <col min="5" max="6" width="27.5" bestFit="1" customWidth="1"/>
    <col min="7" max="7" width="37.5" bestFit="1" customWidth="1"/>
    <col min="9" max="9" width="34.83203125" customWidth="1"/>
    <col min="10" max="10" width="14.6640625" customWidth="1"/>
    <col min="11" max="11" width="9.1640625" bestFit="1" customWidth="1"/>
    <col min="12" max="12" width="12.6640625" customWidth="1"/>
    <col min="13" max="13" width="16.33203125" customWidth="1"/>
    <col min="14" max="14" width="17.33203125" customWidth="1"/>
    <col min="15" max="15" width="13.6640625" customWidth="1"/>
    <col min="16" max="16" width="13.83203125" customWidth="1"/>
    <col min="17" max="17" width="18.5" customWidth="1"/>
    <col min="18" max="18" width="15" customWidth="1"/>
    <col min="19" max="19" width="9.1640625" bestFit="1" customWidth="1"/>
    <col min="20" max="20" width="17.1640625" customWidth="1"/>
  </cols>
  <sheetData>
    <row r="1" spans="1:20" x14ac:dyDescent="0.2">
      <c r="A1" s="47" t="s">
        <v>316</v>
      </c>
      <c r="B1" s="47" t="s">
        <v>321</v>
      </c>
      <c r="C1" s="47" t="s">
        <v>6</v>
      </c>
      <c r="D1" s="47" t="s">
        <v>7</v>
      </c>
      <c r="E1" s="47" t="s">
        <v>8</v>
      </c>
      <c r="F1" s="47" t="s">
        <v>9</v>
      </c>
      <c r="G1" s="47" t="s">
        <v>10</v>
      </c>
      <c r="I1" s="67" t="s">
        <v>11</v>
      </c>
      <c r="J1" s="68"/>
      <c r="K1" s="68"/>
      <c r="L1" s="68"/>
      <c r="M1" s="68"/>
      <c r="N1" s="68"/>
      <c r="O1" s="68"/>
      <c r="P1" s="68"/>
      <c r="Q1" s="68"/>
      <c r="R1" s="68"/>
      <c r="S1" s="69"/>
    </row>
    <row r="2" spans="1:20" x14ac:dyDescent="0.2">
      <c r="A2" s="48" t="s">
        <v>14</v>
      </c>
      <c r="B2" s="48">
        <v>50</v>
      </c>
      <c r="C2" s="48" t="s">
        <v>322</v>
      </c>
      <c r="D2" s="48" t="s">
        <v>322</v>
      </c>
      <c r="E2" s="48" t="s">
        <v>322</v>
      </c>
      <c r="F2" s="48" t="s">
        <v>322</v>
      </c>
      <c r="G2" s="48" t="s">
        <v>322</v>
      </c>
      <c r="I2" s="2"/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3" t="s">
        <v>24</v>
      </c>
      <c r="S2" s="4" t="s">
        <v>25</v>
      </c>
    </row>
    <row r="3" spans="1:20" x14ac:dyDescent="0.2">
      <c r="A3" s="48" t="s">
        <v>14</v>
      </c>
      <c r="B3" s="48">
        <v>50</v>
      </c>
      <c r="C3" s="48" t="s">
        <v>159</v>
      </c>
      <c r="D3" s="48" t="s">
        <v>322</v>
      </c>
      <c r="E3" s="48" t="s">
        <v>159</v>
      </c>
      <c r="F3" s="48" t="s">
        <v>322</v>
      </c>
      <c r="G3" s="48" t="s">
        <v>159</v>
      </c>
      <c r="I3" s="5" t="s">
        <v>29</v>
      </c>
      <c r="J3" s="6" cm="1">
        <f t="array" ref="J3">SUM(COUNTIF(C:G,{"A.*","B.*"}))/S10</f>
        <v>0.47308781869688388</v>
      </c>
      <c r="K3" s="7">
        <f>COUNTIF(C:G,"T.*")/S10</f>
        <v>0.14164305949008499</v>
      </c>
      <c r="L3" s="7" cm="1">
        <f t="array" ref="L3">SUM(COUNTIF(C:G,{"C.*","D.*","E.*","F.*","G.*","H.*","I.*","J.*","K.*","L.*","M.*","N.*","O.*","P.*"})/S10)</f>
        <v>0.10339943342776203</v>
      </c>
      <c r="M3" s="7">
        <f>COUNTIF(C:G,"R.*")/S10</f>
        <v>3.5410764872521247E-2</v>
      </c>
      <c r="N3" s="7">
        <f>COUNTIF(C:G,"U.*")/S10</f>
        <v>2.8328611898016999E-3</v>
      </c>
      <c r="O3" s="7">
        <v>0</v>
      </c>
      <c r="P3" s="7">
        <f>COUNTIF(C:G,"Q.*")/S10</f>
        <v>0</v>
      </c>
      <c r="Q3" s="7">
        <f>COUNTIF(C:G,"V.*")/S10</f>
        <v>2.1246458923512748E-2</v>
      </c>
      <c r="R3" s="7">
        <f>COUNTIF(C:G,"S.*")/S10</f>
        <v>0.22237960339943344</v>
      </c>
      <c r="S3" s="7">
        <f>SUM(J3:R3)</f>
        <v>1.0000000000000002</v>
      </c>
    </row>
    <row r="4" spans="1:20" ht="16" x14ac:dyDescent="0.2">
      <c r="A4" s="48" t="s">
        <v>14</v>
      </c>
      <c r="B4" s="48">
        <v>50</v>
      </c>
      <c r="C4" s="48" t="s">
        <v>159</v>
      </c>
      <c r="D4" s="48" t="s">
        <v>322</v>
      </c>
      <c r="E4" s="48" t="s">
        <v>322</v>
      </c>
      <c r="F4" s="48" t="s">
        <v>159</v>
      </c>
      <c r="G4" s="48" t="s">
        <v>159</v>
      </c>
      <c r="I4" s="9" t="s">
        <v>33</v>
      </c>
      <c r="J4" s="10" cm="1">
        <f t="array" ref="J4">SUM(_xlfn.BYCOL(C:G,_xlfn.LAMBDA(_xlpm.col,SUMIF(_xlpm.col,"A.*",B:B)+SUMIF(_xlpm.col,"B.*",B:B))))/J10</f>
        <v>11.613802395209582</v>
      </c>
      <c r="K4" s="11" cm="1">
        <f t="array" ref="K4">SUM(_xlfn.BYCOL(C:G,_xlfn.LAMBDA(_xlpm.col,SUMIF(_xlpm.col,"T.*",B:B))))/K10</f>
        <v>1.3474999999999999</v>
      </c>
      <c r="L4" s="12" cm="1">
        <f t="array" ref="L4">SUM(_xlfn.BYCOL($D:$H,_xlfn.LAMBDA(_xlpm.col,SUMIF(_xlpm.col,"C.*",B:B)+SUMIF(_xlpm.col,"D.*",B:B)+SUMIF(_xlpm.col,"E.*",B:B)+SUMIF(_xlpm.col,"F.*",B:B)+SUMIF(_xlpm.col,"G.*",B:B)+SUMIF(_xlpm.col,"H.*",B:B)+SUMIF(_xlpm.col,"I.*",B:B)+SUMIF(_xlpm.col,"J.*",B:B)+SUMIF(_xlpm.col,"K.*",B:B)+SUMIF(_xlpm.col,"L.*",B:B)+SUMIF(_xlpm.col,"M.*",B:B)+SUMIF(_xlpm.col,"N.*",B:B)+SUMIF(_xlpm.col,"O.*",B:B)+SUMIF(_xlpm.col,"P.*",B:B))))/L10</f>
        <v>2.8869863013698631</v>
      </c>
      <c r="M4" s="12" cm="1">
        <f t="array" ref="M4">SUM(_xlfn.BYCOL(C:G,_xlfn.LAMBDA(_xlpm.col,SUMIF(_xlpm.col,"R.*",B:B))))/M10</f>
        <v>29.6</v>
      </c>
      <c r="N4" s="12" cm="1">
        <f t="array" ref="N4">SUM(_xlfn.BYCOL(C:G,_xlfn.LAMBDA(_xlpm.col,SUMIF(_xlpm.col,"U.*",B:B))))/N10</f>
        <v>47</v>
      </c>
      <c r="O4" s="12"/>
      <c r="P4" s="12"/>
      <c r="Q4" s="12"/>
      <c r="R4" s="12" cm="1">
        <f t="array" ref="R4">SUM(_xlfn.BYCOL(C:G,_xlfn.LAMBDA(_xlpm.col,SUMIF(_xlpm.col,"S.*",B:B))))/S10</f>
        <v>0.19835694050991501</v>
      </c>
      <c r="S4" s="10">
        <f>AVERAGE(J4:R4)</f>
        <v>15.441107606181561</v>
      </c>
    </row>
    <row r="5" spans="1:20" x14ac:dyDescent="0.2">
      <c r="A5" s="48" t="s">
        <v>14</v>
      </c>
      <c r="B5" s="48">
        <v>48</v>
      </c>
      <c r="C5" s="48" t="s">
        <v>322</v>
      </c>
      <c r="D5" s="48" t="s">
        <v>159</v>
      </c>
      <c r="E5" s="48" t="s">
        <v>322</v>
      </c>
      <c r="F5" s="48" t="s">
        <v>159</v>
      </c>
      <c r="G5" s="48" t="s">
        <v>159</v>
      </c>
      <c r="I5" s="33" t="s">
        <v>38</v>
      </c>
      <c r="J5" s="33"/>
      <c r="K5" s="33"/>
      <c r="L5" s="13" cm="1">
        <f t="array" ref="L5">SUM(_xlfn.BYCOL(C:G,_xlfn.LAMBDA(_xlpm.col,SUMIF(_xlpm.col,"C.*",B:B)*2+SUMIF(_xlpm.col,"D.*",B:B)*3+SUMIF(_xlpm.col,"E.*",B:B)*4+SUMIF(_xlpm.col,"F.*",B:B)*5+SUMIF(_xlpm.col,"G.*",B:B)*6+SUMIF(_xlpm.col,"H.*",B:B)*7+SUMIF(_xlpm.col,"I.*",B:B)*8+SUMIF(_xlpm.col,"J.*",B:B)*9+SUMIF(_xlpm.col,"K.*",B:B)*10+SUMIF(_xlpm.col,"L.*",B:B)*11+SUMIF(_xlpm.col,"M.*",B:B)*12+SUMIF(_xlpm.col,"N.*",B:B)*13+SUMIF(_xlpm.col,"O.*",B:B)*14+SUMIF(_xlpm.col,"P.*",B:B)*15)))/L10</f>
        <v>8.5410958904109595</v>
      </c>
      <c r="M5" s="33"/>
      <c r="N5" s="33"/>
      <c r="O5" s="33"/>
      <c r="P5" s="33"/>
      <c r="Q5" s="33"/>
      <c r="R5" s="33"/>
      <c r="S5" s="33"/>
    </row>
    <row r="6" spans="1:20" x14ac:dyDescent="0.2">
      <c r="A6" s="48" t="s">
        <v>14</v>
      </c>
      <c r="B6" s="48">
        <v>47</v>
      </c>
      <c r="C6" s="48" t="s">
        <v>322</v>
      </c>
      <c r="D6" s="48" t="s">
        <v>324</v>
      </c>
      <c r="E6" s="48" t="s">
        <v>322</v>
      </c>
      <c r="F6" s="48" t="s">
        <v>322</v>
      </c>
      <c r="G6" s="48" t="s">
        <v>324</v>
      </c>
      <c r="I6" s="14" t="s">
        <v>41</v>
      </c>
      <c r="J6" s="14"/>
      <c r="K6" s="14"/>
      <c r="L6" s="15">
        <f>L5/L4</f>
        <v>2.9584816132858838</v>
      </c>
      <c r="M6" s="14"/>
      <c r="N6" s="14"/>
      <c r="O6" s="14"/>
      <c r="P6" s="14"/>
      <c r="Q6" s="14"/>
      <c r="R6" s="14"/>
      <c r="S6" s="14"/>
    </row>
    <row r="7" spans="1:20" x14ac:dyDescent="0.2">
      <c r="A7" s="48" t="s">
        <v>14</v>
      </c>
      <c r="B7" s="48">
        <v>44</v>
      </c>
      <c r="C7" s="48" t="s">
        <v>322</v>
      </c>
      <c r="D7" s="48" t="s">
        <v>322</v>
      </c>
      <c r="E7" s="48" t="s">
        <v>322</v>
      </c>
      <c r="F7" s="48" t="s">
        <v>322</v>
      </c>
      <c r="G7" s="48" t="s">
        <v>323</v>
      </c>
      <c r="L7" s="16"/>
    </row>
    <row r="8" spans="1:20" x14ac:dyDescent="0.2">
      <c r="A8" s="48" t="s">
        <v>14</v>
      </c>
      <c r="B8" s="48">
        <v>40</v>
      </c>
      <c r="C8" s="48" t="s">
        <v>159</v>
      </c>
      <c r="D8" s="48" t="s">
        <v>159</v>
      </c>
      <c r="E8" s="48" t="s">
        <v>159</v>
      </c>
      <c r="F8" s="48" t="s">
        <v>159</v>
      </c>
      <c r="G8" s="48" t="s">
        <v>322</v>
      </c>
      <c r="I8" s="59" t="s">
        <v>47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0"/>
    </row>
    <row r="9" spans="1:20" x14ac:dyDescent="0.2">
      <c r="A9" s="48" t="s">
        <v>14</v>
      </c>
      <c r="B9" s="48">
        <v>40</v>
      </c>
      <c r="C9" s="48" t="s">
        <v>322</v>
      </c>
      <c r="D9" s="48" t="s">
        <v>322</v>
      </c>
      <c r="E9" s="48" t="s">
        <v>322</v>
      </c>
      <c r="F9" s="48" t="s">
        <v>159</v>
      </c>
      <c r="G9" s="48" t="s">
        <v>322</v>
      </c>
      <c r="I9" s="19"/>
      <c r="J9" s="19" t="s">
        <v>16</v>
      </c>
      <c r="K9" s="19" t="s">
        <v>17</v>
      </c>
      <c r="L9" s="19" t="s">
        <v>18</v>
      </c>
      <c r="M9" s="19" t="s">
        <v>19</v>
      </c>
      <c r="N9" s="19" t="s">
        <v>20</v>
      </c>
      <c r="O9" s="19" t="s">
        <v>21</v>
      </c>
      <c r="P9" s="19" t="s">
        <v>22</v>
      </c>
      <c r="Q9" s="19" t="s">
        <v>23</v>
      </c>
      <c r="R9" s="19" t="s">
        <v>24</v>
      </c>
      <c r="S9" s="21" t="s">
        <v>25</v>
      </c>
      <c r="T9" s="19" t="s">
        <v>50</v>
      </c>
    </row>
    <row r="10" spans="1:20" x14ac:dyDescent="0.2">
      <c r="A10" s="48" t="s">
        <v>14</v>
      </c>
      <c r="B10" s="48">
        <v>40</v>
      </c>
      <c r="C10" s="48" t="s">
        <v>322</v>
      </c>
      <c r="D10" s="48" t="s">
        <v>322</v>
      </c>
      <c r="E10" s="48" t="s">
        <v>322</v>
      </c>
      <c r="F10" s="48" t="s">
        <v>322</v>
      </c>
      <c r="G10" s="48" t="s">
        <v>322</v>
      </c>
      <c r="I10" s="17" t="s">
        <v>317</v>
      </c>
      <c r="J10" s="17" cm="1">
        <f t="array" ref="J10">SUM(COUNTIF(C:G,{"A.*","B.*"}))</f>
        <v>334</v>
      </c>
      <c r="K10" s="17">
        <f>COUNTIF(C:G,"T.*")</f>
        <v>100</v>
      </c>
      <c r="L10" s="17" cm="1">
        <f t="array" ref="L10">SUM(COUNTIF(C:G,{"C.*","D.*","E.*","F.*","G.*","H.*","I.*","J.*","K.*","L.*","M.*","N.*","O.*","P.*"}))</f>
        <v>73</v>
      </c>
      <c r="M10" s="34">
        <f>COUNTIF(C:G,"R.*")</f>
        <v>25</v>
      </c>
      <c r="N10" s="17">
        <f>COUNTIF(C:G,"U.*")</f>
        <v>2</v>
      </c>
      <c r="O10" s="17">
        <v>0</v>
      </c>
      <c r="P10" s="17">
        <f>COUNTIF(C:G,"Q.*")</f>
        <v>0</v>
      </c>
      <c r="Q10" s="17">
        <f>COUNTIF(C:G,"V.*")</f>
        <v>15</v>
      </c>
      <c r="R10" s="17">
        <f>COUNTIF(C:G,"S.*")</f>
        <v>157</v>
      </c>
      <c r="S10" s="35">
        <f>SUM(J10:R10)</f>
        <v>706</v>
      </c>
      <c r="T10" s="17">
        <f>COUNTIFS(C2:G999,"&lt;&gt;",C2:G999,"&lt;&gt;OFF.*",C2:G999,"&lt;&gt;AA.*",C2:G999,"&lt;&gt;BB.*",C2:G999,"&lt;&gt;W.*",C2:G999,"&lt;&gt;X.*",C2:G999,"&lt;&gt;Y.*",C2:G999,"&lt;&gt;CC.*")</f>
        <v>706</v>
      </c>
    </row>
    <row r="11" spans="1:20" x14ac:dyDescent="0.2">
      <c r="A11" s="48" t="s">
        <v>14</v>
      </c>
      <c r="B11" s="48">
        <v>40</v>
      </c>
      <c r="C11" s="48" t="s">
        <v>322</v>
      </c>
      <c r="D11" s="48" t="s">
        <v>322</v>
      </c>
      <c r="E11" s="48" t="s">
        <v>322</v>
      </c>
      <c r="F11" s="48" t="s">
        <v>322</v>
      </c>
      <c r="G11" s="48" t="s">
        <v>159</v>
      </c>
    </row>
    <row r="12" spans="1:20" ht="16" x14ac:dyDescent="0.2">
      <c r="A12" s="48" t="s">
        <v>14</v>
      </c>
      <c r="B12" s="48">
        <v>38.5</v>
      </c>
      <c r="C12" s="48" t="s">
        <v>336</v>
      </c>
      <c r="D12" s="48" t="s">
        <v>336</v>
      </c>
      <c r="E12" s="48" t="s">
        <v>159</v>
      </c>
      <c r="F12" s="48" t="s">
        <v>336</v>
      </c>
      <c r="G12" s="48" t="s">
        <v>159</v>
      </c>
      <c r="I12" s="71" t="s">
        <v>398</v>
      </c>
      <c r="J12" s="72"/>
      <c r="L12" s="59" t="s">
        <v>58</v>
      </c>
      <c r="M12" s="63"/>
      <c r="N12" s="60"/>
      <c r="S12" t="s">
        <v>63</v>
      </c>
    </row>
    <row r="13" spans="1:20" ht="16" x14ac:dyDescent="0.2">
      <c r="A13" s="48" t="s">
        <v>14</v>
      </c>
      <c r="B13" s="48">
        <v>36</v>
      </c>
      <c r="C13" s="48" t="s">
        <v>159</v>
      </c>
      <c r="D13" s="48" t="s">
        <v>322</v>
      </c>
      <c r="E13" s="48" t="s">
        <v>322</v>
      </c>
      <c r="F13" s="48" t="s">
        <v>322</v>
      </c>
      <c r="G13" s="48" t="s">
        <v>159</v>
      </c>
      <c r="I13" s="26" t="s">
        <v>322</v>
      </c>
      <c r="L13" s="64" t="s">
        <v>63</v>
      </c>
      <c r="M13" s="64"/>
      <c r="N13" s="19">
        <f>2*S10/COUNTIF(B2:B999,"&lt;&gt;")</f>
        <v>8.4047619047619051</v>
      </c>
      <c r="S13">
        <f>2*S10/COUNTIF(A2:A999,"&lt;&gt;")</f>
        <v>8.4047619047619051</v>
      </c>
    </row>
    <row r="14" spans="1:20" ht="16" x14ac:dyDescent="0.2">
      <c r="A14" s="48" t="s">
        <v>14</v>
      </c>
      <c r="B14" s="48">
        <v>35</v>
      </c>
      <c r="C14" s="48" t="s">
        <v>159</v>
      </c>
      <c r="D14" s="48" t="s">
        <v>336</v>
      </c>
      <c r="E14" s="48" t="s">
        <v>159</v>
      </c>
      <c r="F14" s="48" t="s">
        <v>336</v>
      </c>
      <c r="G14" s="48" t="s">
        <v>159</v>
      </c>
      <c r="I14" s="26" t="s">
        <v>329</v>
      </c>
      <c r="L14" s="62" t="s">
        <v>67</v>
      </c>
      <c r="M14" s="62"/>
      <c r="N14" s="17">
        <v>289</v>
      </c>
    </row>
    <row r="15" spans="1:20" ht="16" x14ac:dyDescent="0.2">
      <c r="A15" s="48" t="s">
        <v>14</v>
      </c>
      <c r="B15" s="48">
        <v>35</v>
      </c>
      <c r="C15" s="48" t="s">
        <v>336</v>
      </c>
      <c r="D15" s="48" t="s">
        <v>336</v>
      </c>
      <c r="E15" s="48" t="s">
        <v>336</v>
      </c>
      <c r="F15" s="48" t="s">
        <v>328</v>
      </c>
      <c r="G15" s="48" t="s">
        <v>336</v>
      </c>
      <c r="I15" s="26" t="s">
        <v>328</v>
      </c>
      <c r="L15" s="65" t="s">
        <v>72</v>
      </c>
      <c r="M15" s="65"/>
      <c r="N15" s="18">
        <f>COUNTIF(B2:B999,"&lt;&gt;")</f>
        <v>168</v>
      </c>
    </row>
    <row r="16" spans="1:20" ht="16" x14ac:dyDescent="0.2">
      <c r="A16" s="48" t="s">
        <v>14</v>
      </c>
      <c r="B16" s="48">
        <v>35</v>
      </c>
      <c r="C16" s="48" t="s">
        <v>322</v>
      </c>
      <c r="D16" s="48" t="s">
        <v>159</v>
      </c>
      <c r="E16" s="48" t="s">
        <v>322</v>
      </c>
      <c r="F16" s="48" t="s">
        <v>159</v>
      </c>
      <c r="G16" s="48" t="s">
        <v>322</v>
      </c>
      <c r="I16" s="26" t="s">
        <v>331</v>
      </c>
      <c r="L16" s="62" t="s">
        <v>76</v>
      </c>
      <c r="M16" s="59"/>
      <c r="N16" s="27">
        <f>N15/N14</f>
        <v>0.58131487889273359</v>
      </c>
    </row>
    <row r="17" spans="1:19" ht="16" x14ac:dyDescent="0.2">
      <c r="A17" s="48" t="s">
        <v>14</v>
      </c>
      <c r="B17" s="48">
        <v>35</v>
      </c>
      <c r="C17" s="48" t="s">
        <v>322</v>
      </c>
      <c r="D17" s="48" t="s">
        <v>159</v>
      </c>
      <c r="E17" s="48" t="s">
        <v>159</v>
      </c>
      <c r="F17" s="48" t="s">
        <v>159</v>
      </c>
      <c r="G17" s="48" t="s">
        <v>159</v>
      </c>
      <c r="I17" s="26" t="s">
        <v>325</v>
      </c>
      <c r="L17" s="66" t="s">
        <v>80</v>
      </c>
      <c r="M17" s="66"/>
      <c r="N17" s="28">
        <v>32</v>
      </c>
    </row>
    <row r="18" spans="1:19" ht="16" x14ac:dyDescent="0.2">
      <c r="A18" s="48" t="s">
        <v>14</v>
      </c>
      <c r="B18" s="48">
        <v>35</v>
      </c>
      <c r="C18" s="48" t="s">
        <v>159</v>
      </c>
      <c r="D18" s="48" t="s">
        <v>159</v>
      </c>
      <c r="E18" s="48" t="s">
        <v>322</v>
      </c>
      <c r="F18" s="48" t="s">
        <v>159</v>
      </c>
      <c r="G18" s="48" t="s">
        <v>159</v>
      </c>
      <c r="I18" s="26" t="s">
        <v>332</v>
      </c>
      <c r="L18" s="59" t="s">
        <v>85</v>
      </c>
      <c r="M18" s="60"/>
      <c r="N18" s="17">
        <f>AVERAGE(B2:B999)</f>
        <v>9.427380952380954</v>
      </c>
    </row>
    <row r="19" spans="1:19" ht="16" x14ac:dyDescent="0.2">
      <c r="A19" s="48" t="s">
        <v>14</v>
      </c>
      <c r="B19" s="48">
        <v>35</v>
      </c>
      <c r="C19" s="48" t="s">
        <v>159</v>
      </c>
      <c r="D19" s="48" t="s">
        <v>322</v>
      </c>
      <c r="E19" s="48" t="s">
        <v>159</v>
      </c>
      <c r="F19" s="48" t="s">
        <v>159</v>
      </c>
      <c r="G19" s="48" t="s">
        <v>159</v>
      </c>
      <c r="I19" s="26" t="s">
        <v>334</v>
      </c>
      <c r="L19" s="59" t="s">
        <v>90</v>
      </c>
      <c r="M19" s="60"/>
      <c r="N19" s="17">
        <f>MEDIAN(B2:B999)</f>
        <v>2</v>
      </c>
      <c r="Q19" t="s">
        <v>99</v>
      </c>
      <c r="R19" t="s">
        <v>100</v>
      </c>
      <c r="S19" t="s">
        <v>101</v>
      </c>
    </row>
    <row r="20" spans="1:19" ht="16" x14ac:dyDescent="0.2">
      <c r="A20" s="48" t="s">
        <v>14</v>
      </c>
      <c r="B20" s="48">
        <v>35</v>
      </c>
      <c r="C20" s="48" t="s">
        <v>322</v>
      </c>
      <c r="D20" s="48" t="s">
        <v>322</v>
      </c>
      <c r="E20" s="48" t="s">
        <v>322</v>
      </c>
      <c r="F20" s="48" t="s">
        <v>322</v>
      </c>
      <c r="G20" s="48" t="s">
        <v>322</v>
      </c>
      <c r="I20" s="26" t="s">
        <v>335</v>
      </c>
      <c r="L20" s="59" t="s">
        <v>94</v>
      </c>
      <c r="M20" s="60"/>
      <c r="N20" s="17">
        <f>(SUM(B2:B999)/168)*289</f>
        <v>2724.5130952380955</v>
      </c>
      <c r="P20" t="s">
        <v>107</v>
      </c>
      <c r="Q20">
        <f>J4*J10</f>
        <v>3879.01</v>
      </c>
      <c r="R20">
        <f>Q20*(289/N15)</f>
        <v>6672.8207738095243</v>
      </c>
      <c r="S20">
        <f>R20*32</f>
        <v>213530.26476190478</v>
      </c>
    </row>
    <row r="21" spans="1:19" ht="16" x14ac:dyDescent="0.2">
      <c r="A21" s="48" t="s">
        <v>14</v>
      </c>
      <c r="B21" s="48">
        <v>32</v>
      </c>
      <c r="C21" s="48" t="s">
        <v>336</v>
      </c>
      <c r="D21" s="48" t="s">
        <v>336</v>
      </c>
      <c r="E21" s="48" t="s">
        <v>336</v>
      </c>
      <c r="F21" s="48" t="s">
        <v>322</v>
      </c>
      <c r="G21" s="48" t="s">
        <v>322</v>
      </c>
      <c r="I21" s="26" t="s">
        <v>337</v>
      </c>
      <c r="L21" s="59" t="s">
        <v>98</v>
      </c>
      <c r="M21" s="60"/>
      <c r="N21" s="27">
        <f>COUNTIF(B:B,"&lt;=5")/N15</f>
        <v>0.72619047619047616</v>
      </c>
    </row>
    <row r="22" spans="1:19" ht="16" x14ac:dyDescent="0.2">
      <c r="A22" s="48" t="s">
        <v>14</v>
      </c>
      <c r="B22" s="48">
        <v>32</v>
      </c>
      <c r="C22" s="48" t="s">
        <v>322</v>
      </c>
      <c r="D22" s="48" t="s">
        <v>322</v>
      </c>
      <c r="E22" s="48" t="s">
        <v>322</v>
      </c>
      <c r="F22" s="48" t="s">
        <v>159</v>
      </c>
      <c r="G22" s="48" t="s">
        <v>159</v>
      </c>
      <c r="I22" s="26" t="s">
        <v>338</v>
      </c>
    </row>
    <row r="23" spans="1:19" ht="16" x14ac:dyDescent="0.2">
      <c r="A23" s="48" t="s">
        <v>14</v>
      </c>
      <c r="B23" s="48">
        <v>32</v>
      </c>
      <c r="C23" s="48" t="s">
        <v>326</v>
      </c>
      <c r="D23" s="48" t="s">
        <v>326</v>
      </c>
      <c r="E23" s="48" t="s">
        <v>322</v>
      </c>
      <c r="F23" s="48" t="s">
        <v>326</v>
      </c>
      <c r="G23" s="48" t="s">
        <v>326</v>
      </c>
      <c r="I23" s="26" t="s">
        <v>339</v>
      </c>
    </row>
    <row r="24" spans="1:19" ht="16" x14ac:dyDescent="0.2">
      <c r="A24" s="48" t="s">
        <v>14</v>
      </c>
      <c r="B24" s="48">
        <v>30</v>
      </c>
      <c r="C24" s="48" t="s">
        <v>159</v>
      </c>
      <c r="D24" s="48" t="s">
        <v>322</v>
      </c>
      <c r="E24" s="48" t="s">
        <v>159</v>
      </c>
      <c r="F24" s="48" t="s">
        <v>322</v>
      </c>
      <c r="G24" s="48" t="s">
        <v>159</v>
      </c>
      <c r="I24" s="26" t="s">
        <v>340</v>
      </c>
    </row>
    <row r="25" spans="1:19" ht="16" x14ac:dyDescent="0.2">
      <c r="A25" s="48" t="s">
        <v>14</v>
      </c>
      <c r="B25" s="48">
        <v>30</v>
      </c>
      <c r="C25" s="48" t="s">
        <v>322</v>
      </c>
      <c r="D25" s="48" t="s">
        <v>322</v>
      </c>
      <c r="E25" s="48" t="s">
        <v>322</v>
      </c>
      <c r="F25" s="48" t="s">
        <v>322</v>
      </c>
      <c r="G25" s="48" t="s">
        <v>159</v>
      </c>
      <c r="I25" s="26" t="s">
        <v>341</v>
      </c>
    </row>
    <row r="26" spans="1:19" ht="16" x14ac:dyDescent="0.2">
      <c r="A26" s="48" t="s">
        <v>14</v>
      </c>
      <c r="B26" s="48">
        <v>30</v>
      </c>
      <c r="C26" s="48" t="s">
        <v>326</v>
      </c>
      <c r="D26" s="48" t="s">
        <v>336</v>
      </c>
      <c r="E26" s="48" t="s">
        <v>322</v>
      </c>
      <c r="F26" s="48" t="s">
        <v>336</v>
      </c>
      <c r="G26" s="48" t="s">
        <v>322</v>
      </c>
      <c r="I26" s="26" t="s">
        <v>342</v>
      </c>
    </row>
    <row r="27" spans="1:19" ht="16" x14ac:dyDescent="0.2">
      <c r="A27" s="48" t="s">
        <v>14</v>
      </c>
      <c r="B27" s="48">
        <v>29</v>
      </c>
      <c r="C27" s="48" t="s">
        <v>159</v>
      </c>
      <c r="D27" s="48" t="s">
        <v>155</v>
      </c>
      <c r="E27" s="48" t="s">
        <v>159</v>
      </c>
      <c r="F27" s="48" t="s">
        <v>155</v>
      </c>
      <c r="G27" s="48" t="s">
        <v>159</v>
      </c>
      <c r="I27" s="26" t="s">
        <v>343</v>
      </c>
    </row>
    <row r="28" spans="1:19" ht="16" x14ac:dyDescent="0.2">
      <c r="A28" s="48" t="s">
        <v>14</v>
      </c>
      <c r="B28" s="48">
        <v>28.5</v>
      </c>
      <c r="C28" s="48" t="s">
        <v>336</v>
      </c>
      <c r="D28" s="48" t="s">
        <v>336</v>
      </c>
      <c r="E28" s="48" t="s">
        <v>336</v>
      </c>
      <c r="F28" s="48" t="s">
        <v>336</v>
      </c>
      <c r="G28" s="48" t="s">
        <v>336</v>
      </c>
      <c r="I28" s="26" t="s">
        <v>344</v>
      </c>
    </row>
    <row r="29" spans="1:19" ht="16" x14ac:dyDescent="0.2">
      <c r="A29" s="48" t="s">
        <v>14</v>
      </c>
      <c r="B29" s="48">
        <v>28</v>
      </c>
      <c r="C29" s="48" t="s">
        <v>322</v>
      </c>
      <c r="D29" s="48" t="s">
        <v>322</v>
      </c>
      <c r="E29" s="48" t="s">
        <v>322</v>
      </c>
      <c r="F29" s="48" t="s">
        <v>322</v>
      </c>
      <c r="G29" s="48" t="s">
        <v>322</v>
      </c>
      <c r="I29" s="26" t="s">
        <v>345</v>
      </c>
    </row>
    <row r="30" spans="1:19" ht="16" x14ac:dyDescent="0.2">
      <c r="A30" s="48" t="s">
        <v>14</v>
      </c>
      <c r="B30" s="48">
        <v>27</v>
      </c>
      <c r="C30" s="48" t="s">
        <v>159</v>
      </c>
      <c r="D30" s="48" t="s">
        <v>159</v>
      </c>
      <c r="E30" s="48" t="s">
        <v>322</v>
      </c>
      <c r="F30" s="48" t="s">
        <v>159</v>
      </c>
      <c r="G30" s="48" t="s">
        <v>159</v>
      </c>
      <c r="I30" s="26" t="s">
        <v>336</v>
      </c>
    </row>
    <row r="31" spans="1:19" ht="16" x14ac:dyDescent="0.2">
      <c r="A31" s="48" t="s">
        <v>14</v>
      </c>
      <c r="B31" s="48">
        <v>27</v>
      </c>
      <c r="C31" s="48" t="s">
        <v>331</v>
      </c>
      <c r="D31" s="48" t="s">
        <v>323</v>
      </c>
      <c r="E31" s="48" t="s">
        <v>331</v>
      </c>
      <c r="F31" s="48" t="s">
        <v>328</v>
      </c>
      <c r="G31" s="48" t="s">
        <v>328</v>
      </c>
      <c r="I31" s="26" t="s">
        <v>346</v>
      </c>
    </row>
    <row r="32" spans="1:19" ht="16" x14ac:dyDescent="0.2">
      <c r="A32" s="48" t="s">
        <v>14</v>
      </c>
      <c r="B32" s="48">
        <v>27</v>
      </c>
      <c r="C32" s="48" t="s">
        <v>322</v>
      </c>
      <c r="D32" s="48" t="s">
        <v>322</v>
      </c>
      <c r="E32" s="48" t="s">
        <v>322</v>
      </c>
      <c r="F32" s="48" t="s">
        <v>322</v>
      </c>
      <c r="G32" s="48" t="s">
        <v>323</v>
      </c>
      <c r="I32" s="26" t="s">
        <v>347</v>
      </c>
    </row>
    <row r="33" spans="1:9" ht="16" x14ac:dyDescent="0.2">
      <c r="A33" s="48" t="s">
        <v>14</v>
      </c>
      <c r="B33" s="48">
        <v>25</v>
      </c>
      <c r="C33" s="48" t="s">
        <v>322</v>
      </c>
      <c r="D33" s="48" t="s">
        <v>322</v>
      </c>
      <c r="E33" s="48" t="s">
        <v>322</v>
      </c>
      <c r="F33" s="48" t="s">
        <v>323</v>
      </c>
      <c r="G33" s="48" t="s">
        <v>322</v>
      </c>
      <c r="I33" s="26" t="s">
        <v>324</v>
      </c>
    </row>
    <row r="34" spans="1:9" ht="16" x14ac:dyDescent="0.2">
      <c r="A34" s="48" t="s">
        <v>14</v>
      </c>
      <c r="B34" s="48">
        <v>25</v>
      </c>
      <c r="C34" s="48" t="s">
        <v>159</v>
      </c>
      <c r="D34" s="48" t="s">
        <v>159</v>
      </c>
      <c r="E34" s="48" t="s">
        <v>159</v>
      </c>
      <c r="F34" s="48" t="s">
        <v>322</v>
      </c>
      <c r="G34" s="48" t="s">
        <v>322</v>
      </c>
      <c r="I34" s="26" t="s">
        <v>323</v>
      </c>
    </row>
    <row r="35" spans="1:9" ht="16" x14ac:dyDescent="0.2">
      <c r="A35" s="48" t="s">
        <v>14</v>
      </c>
      <c r="B35" s="48">
        <v>25</v>
      </c>
      <c r="C35" s="48" t="s">
        <v>322</v>
      </c>
      <c r="D35" s="48" t="s">
        <v>322</v>
      </c>
      <c r="E35" s="48" t="s">
        <v>322</v>
      </c>
      <c r="F35" s="48" t="s">
        <v>322</v>
      </c>
      <c r="G35" s="48" t="s">
        <v>159</v>
      </c>
      <c r="I35" s="26" t="s">
        <v>326</v>
      </c>
    </row>
    <row r="36" spans="1:9" ht="16" x14ac:dyDescent="0.2">
      <c r="A36" s="48" t="s">
        <v>14</v>
      </c>
      <c r="B36" s="48">
        <v>25</v>
      </c>
      <c r="C36" s="48" t="s">
        <v>323</v>
      </c>
      <c r="D36" s="48" t="s">
        <v>322</v>
      </c>
      <c r="E36" s="48" t="s">
        <v>322</v>
      </c>
      <c r="F36" s="48" t="s">
        <v>322</v>
      </c>
      <c r="G36" s="48" t="s">
        <v>322</v>
      </c>
      <c r="I36" s="26" t="s">
        <v>146</v>
      </c>
    </row>
    <row r="37" spans="1:9" ht="16" x14ac:dyDescent="0.2">
      <c r="A37" s="48" t="s">
        <v>14</v>
      </c>
      <c r="B37" s="48">
        <v>23</v>
      </c>
      <c r="C37" s="48" t="s">
        <v>336</v>
      </c>
      <c r="D37" s="48" t="s">
        <v>336</v>
      </c>
      <c r="E37" s="48" t="s">
        <v>336</v>
      </c>
      <c r="F37" s="48" t="s">
        <v>336</v>
      </c>
      <c r="G37" s="48" t="s">
        <v>336</v>
      </c>
      <c r="I37" s="26" t="s">
        <v>405</v>
      </c>
    </row>
    <row r="38" spans="1:9" ht="16" x14ac:dyDescent="0.2">
      <c r="A38" s="48" t="s">
        <v>14</v>
      </c>
      <c r="B38" s="48">
        <v>22</v>
      </c>
      <c r="C38" s="48" t="s">
        <v>322</v>
      </c>
      <c r="D38" s="48" t="s">
        <v>322</v>
      </c>
      <c r="E38" s="48" t="s">
        <v>159</v>
      </c>
      <c r="F38" s="48" t="s">
        <v>159</v>
      </c>
      <c r="G38" s="48" t="s">
        <v>159</v>
      </c>
      <c r="I38" s="26" t="s">
        <v>153</v>
      </c>
    </row>
    <row r="39" spans="1:9" ht="16" x14ac:dyDescent="0.2">
      <c r="A39" s="48" t="s">
        <v>14</v>
      </c>
      <c r="B39" s="48">
        <v>20</v>
      </c>
      <c r="C39" s="48" t="s">
        <v>322</v>
      </c>
      <c r="D39" s="48" t="s">
        <v>322</v>
      </c>
      <c r="E39" s="48" t="s">
        <v>322</v>
      </c>
      <c r="F39" s="48" t="s">
        <v>322</v>
      </c>
      <c r="G39" s="48" t="s">
        <v>322</v>
      </c>
      <c r="I39" s="26" t="s">
        <v>155</v>
      </c>
    </row>
    <row r="40" spans="1:9" ht="16" x14ac:dyDescent="0.2">
      <c r="A40" s="48" t="s">
        <v>14</v>
      </c>
      <c r="B40" s="48">
        <v>20</v>
      </c>
      <c r="C40" s="48" t="s">
        <v>322</v>
      </c>
      <c r="D40" s="48" t="s">
        <v>322</v>
      </c>
      <c r="E40" s="48" t="s">
        <v>326</v>
      </c>
      <c r="F40" s="48" t="s">
        <v>322</v>
      </c>
      <c r="G40" s="48" t="s">
        <v>322</v>
      </c>
      <c r="I40" s="26" t="s">
        <v>157</v>
      </c>
    </row>
    <row r="41" spans="1:9" ht="16" x14ac:dyDescent="0.2">
      <c r="A41" s="48" t="s">
        <v>14</v>
      </c>
      <c r="B41" s="48">
        <v>19</v>
      </c>
      <c r="C41" s="48" t="s">
        <v>322</v>
      </c>
      <c r="D41" s="48" t="s">
        <v>322</v>
      </c>
      <c r="E41" s="48" t="s">
        <v>322</v>
      </c>
      <c r="F41" s="48" t="s">
        <v>322</v>
      </c>
      <c r="G41" s="48" t="s">
        <v>159</v>
      </c>
      <c r="I41" s="29" t="s">
        <v>159</v>
      </c>
    </row>
    <row r="42" spans="1:9" x14ac:dyDescent="0.2">
      <c r="A42" s="48" t="s">
        <v>14</v>
      </c>
      <c r="B42" s="48">
        <v>15</v>
      </c>
      <c r="C42" s="48" t="s">
        <v>159</v>
      </c>
      <c r="D42" s="48" t="s">
        <v>159</v>
      </c>
      <c r="E42" s="48" t="s">
        <v>159</v>
      </c>
      <c r="F42" s="48" t="s">
        <v>159</v>
      </c>
      <c r="G42" s="48" t="s">
        <v>159</v>
      </c>
    </row>
    <row r="43" spans="1:9" x14ac:dyDescent="0.2">
      <c r="A43" s="48" t="s">
        <v>14</v>
      </c>
      <c r="B43" s="48">
        <v>15</v>
      </c>
      <c r="C43" s="48" t="s">
        <v>159</v>
      </c>
      <c r="D43" s="48" t="s">
        <v>159</v>
      </c>
      <c r="E43" s="48" t="s">
        <v>159</v>
      </c>
      <c r="F43" s="48" t="s">
        <v>159</v>
      </c>
      <c r="G43" s="48" t="s">
        <v>159</v>
      </c>
    </row>
    <row r="44" spans="1:9" x14ac:dyDescent="0.2">
      <c r="A44" s="48" t="s">
        <v>14</v>
      </c>
      <c r="B44" s="48">
        <v>12</v>
      </c>
      <c r="C44" s="48" t="s">
        <v>322</v>
      </c>
      <c r="D44" s="48" t="s">
        <v>322</v>
      </c>
      <c r="E44" s="48" t="s">
        <v>322</v>
      </c>
      <c r="F44" s="48" t="s">
        <v>322</v>
      </c>
      <c r="G44" s="48" t="s">
        <v>322</v>
      </c>
    </row>
    <row r="45" spans="1:9" x14ac:dyDescent="0.2">
      <c r="A45" s="48" t="s">
        <v>14</v>
      </c>
      <c r="B45" s="48">
        <v>8.3000000000000007</v>
      </c>
      <c r="C45" s="48" t="s">
        <v>322</v>
      </c>
      <c r="D45" s="48" t="s">
        <v>322</v>
      </c>
      <c r="E45" s="48" t="s">
        <v>322</v>
      </c>
      <c r="F45" s="48" t="s">
        <v>322</v>
      </c>
      <c r="G45" s="48" t="s">
        <v>322</v>
      </c>
    </row>
    <row r="46" spans="1:9" x14ac:dyDescent="0.2">
      <c r="A46" s="48" t="s">
        <v>14</v>
      </c>
      <c r="B46" s="48">
        <v>7</v>
      </c>
      <c r="C46" s="48" t="s">
        <v>159</v>
      </c>
      <c r="D46" s="48" t="s">
        <v>159</v>
      </c>
      <c r="E46" s="48" t="s">
        <v>159</v>
      </c>
      <c r="F46" s="48" t="s">
        <v>159</v>
      </c>
      <c r="G46" s="48" t="s">
        <v>322</v>
      </c>
    </row>
    <row r="47" spans="1:9" x14ac:dyDescent="0.2">
      <c r="A47" s="48" t="s">
        <v>14</v>
      </c>
      <c r="B47" s="48">
        <v>6</v>
      </c>
      <c r="C47" s="48" t="s">
        <v>322</v>
      </c>
      <c r="D47" s="48" t="s">
        <v>346</v>
      </c>
      <c r="E47" s="48" t="s">
        <v>322</v>
      </c>
      <c r="F47" s="48" t="s">
        <v>322</v>
      </c>
      <c r="G47" s="48" t="s">
        <v>346</v>
      </c>
    </row>
    <row r="48" spans="1:9" x14ac:dyDescent="0.2">
      <c r="A48" s="48" t="s">
        <v>14</v>
      </c>
      <c r="B48" s="48">
        <v>5</v>
      </c>
      <c r="C48" s="48" t="s">
        <v>322</v>
      </c>
      <c r="D48" s="48" t="s">
        <v>159</v>
      </c>
      <c r="E48" s="48" t="s">
        <v>159</v>
      </c>
      <c r="F48" s="48" t="s">
        <v>159</v>
      </c>
      <c r="G48" s="48" t="s">
        <v>159</v>
      </c>
    </row>
    <row r="49" spans="1:7" x14ac:dyDescent="0.2">
      <c r="A49" s="48" t="s">
        <v>14</v>
      </c>
      <c r="B49" s="48">
        <v>5</v>
      </c>
      <c r="C49" s="48" t="s">
        <v>322</v>
      </c>
      <c r="D49" s="48" t="s">
        <v>322</v>
      </c>
      <c r="E49" s="48" t="s">
        <v>322</v>
      </c>
      <c r="F49" s="48" t="s">
        <v>322</v>
      </c>
      <c r="G49" s="48" t="s">
        <v>159</v>
      </c>
    </row>
    <row r="50" spans="1:7" x14ac:dyDescent="0.2">
      <c r="A50" s="48" t="s">
        <v>14</v>
      </c>
      <c r="B50" s="48">
        <v>5</v>
      </c>
      <c r="C50" s="48" t="s">
        <v>322</v>
      </c>
      <c r="D50" s="48" t="s">
        <v>322</v>
      </c>
      <c r="E50" s="48" t="s">
        <v>322</v>
      </c>
      <c r="F50" s="48" t="s">
        <v>322</v>
      </c>
      <c r="G50" s="48" t="s">
        <v>322</v>
      </c>
    </row>
    <row r="51" spans="1:7" x14ac:dyDescent="0.2">
      <c r="A51" s="48" t="s">
        <v>14</v>
      </c>
      <c r="B51" s="48">
        <v>4.5</v>
      </c>
      <c r="C51" s="48" t="s">
        <v>347</v>
      </c>
      <c r="D51" s="48" t="s">
        <v>347</v>
      </c>
      <c r="E51" s="48" t="s">
        <v>347</v>
      </c>
      <c r="F51" s="48" t="s">
        <v>347</v>
      </c>
      <c r="G51" s="48" t="s">
        <v>347</v>
      </c>
    </row>
    <row r="52" spans="1:7" x14ac:dyDescent="0.2">
      <c r="A52" s="48" t="s">
        <v>14</v>
      </c>
      <c r="B52" s="48">
        <v>4.5</v>
      </c>
      <c r="C52" s="48" t="s">
        <v>322</v>
      </c>
      <c r="D52" s="48" t="s">
        <v>322</v>
      </c>
      <c r="E52" s="48" t="s">
        <v>322</v>
      </c>
      <c r="F52" s="48" t="s">
        <v>322</v>
      </c>
      <c r="G52" s="48" t="s">
        <v>322</v>
      </c>
    </row>
    <row r="53" spans="1:7" x14ac:dyDescent="0.2">
      <c r="A53" s="48" t="s">
        <v>14</v>
      </c>
      <c r="B53" s="48">
        <v>4</v>
      </c>
      <c r="C53" s="48" t="s">
        <v>322</v>
      </c>
      <c r="D53" s="48" t="s">
        <v>322</v>
      </c>
      <c r="E53" s="48" t="s">
        <v>322</v>
      </c>
      <c r="F53" s="48" t="s">
        <v>322</v>
      </c>
      <c r="G53" s="48" t="s">
        <v>322</v>
      </c>
    </row>
    <row r="54" spans="1:7" x14ac:dyDescent="0.2">
      <c r="A54" s="48" t="s">
        <v>14</v>
      </c>
      <c r="B54" s="48">
        <v>4</v>
      </c>
      <c r="C54" s="48" t="s">
        <v>322</v>
      </c>
      <c r="D54" s="48" t="s">
        <v>322</v>
      </c>
      <c r="E54" s="48" t="s">
        <v>322</v>
      </c>
      <c r="F54" s="48" t="s">
        <v>322</v>
      </c>
      <c r="G54" s="48" t="s">
        <v>326</v>
      </c>
    </row>
    <row r="55" spans="1:7" x14ac:dyDescent="0.2">
      <c r="A55" s="48" t="s">
        <v>14</v>
      </c>
      <c r="B55" s="48">
        <v>4</v>
      </c>
      <c r="C55" s="48" t="s">
        <v>322</v>
      </c>
      <c r="D55" s="48" t="s">
        <v>322</v>
      </c>
      <c r="E55" s="48" t="s">
        <v>322</v>
      </c>
      <c r="F55" s="48" t="s">
        <v>322</v>
      </c>
      <c r="G55" s="48" t="s">
        <v>326</v>
      </c>
    </row>
    <row r="56" spans="1:7" x14ac:dyDescent="0.2">
      <c r="A56" s="48" t="s">
        <v>14</v>
      </c>
      <c r="B56" s="48">
        <v>3.9</v>
      </c>
      <c r="C56" s="48" t="s">
        <v>322</v>
      </c>
      <c r="D56" s="48" t="s">
        <v>322</v>
      </c>
      <c r="E56" s="48" t="s">
        <v>322</v>
      </c>
      <c r="F56" s="48" t="s">
        <v>322</v>
      </c>
      <c r="G56" s="48" t="s">
        <v>322</v>
      </c>
    </row>
    <row r="57" spans="1:7" x14ac:dyDescent="0.2">
      <c r="A57" s="48" t="s">
        <v>14</v>
      </c>
      <c r="B57" s="48">
        <v>3.7</v>
      </c>
      <c r="C57" s="48" t="s">
        <v>322</v>
      </c>
      <c r="D57" s="48" t="s">
        <v>329</v>
      </c>
      <c r="E57" s="48" t="s">
        <v>329</v>
      </c>
      <c r="F57" s="48" t="s">
        <v>322</v>
      </c>
      <c r="G57" s="48" t="s">
        <v>323</v>
      </c>
    </row>
    <row r="58" spans="1:7" x14ac:dyDescent="0.2">
      <c r="A58" s="48" t="s">
        <v>14</v>
      </c>
      <c r="B58" s="48">
        <v>3.5</v>
      </c>
      <c r="C58" s="48" t="s">
        <v>347</v>
      </c>
      <c r="D58" s="48" t="s">
        <v>347</v>
      </c>
      <c r="E58" s="48" t="s">
        <v>322</v>
      </c>
      <c r="F58" s="48" t="s">
        <v>322</v>
      </c>
      <c r="G58" s="48" t="s">
        <v>322</v>
      </c>
    </row>
    <row r="59" spans="1:7" x14ac:dyDescent="0.2">
      <c r="A59" s="48" t="s">
        <v>14</v>
      </c>
      <c r="B59" s="48">
        <v>3.5</v>
      </c>
      <c r="C59" s="48" t="s">
        <v>159</v>
      </c>
      <c r="D59" s="48" t="s">
        <v>322</v>
      </c>
      <c r="E59" s="48" t="s">
        <v>322</v>
      </c>
      <c r="F59" s="48" t="s">
        <v>322</v>
      </c>
      <c r="G59" s="48" t="s">
        <v>322</v>
      </c>
    </row>
    <row r="60" spans="1:7" x14ac:dyDescent="0.2">
      <c r="A60" s="48" t="s">
        <v>14</v>
      </c>
      <c r="B60" s="48">
        <v>3</v>
      </c>
      <c r="C60" s="48" t="s">
        <v>322</v>
      </c>
      <c r="D60" s="48" t="s">
        <v>322</v>
      </c>
      <c r="E60" s="48" t="s">
        <v>322</v>
      </c>
      <c r="F60" s="48" t="s">
        <v>322</v>
      </c>
      <c r="G60" s="48" t="s">
        <v>322</v>
      </c>
    </row>
    <row r="61" spans="1:7" x14ac:dyDescent="0.2">
      <c r="A61" s="48" t="s">
        <v>14</v>
      </c>
      <c r="B61" s="48">
        <v>3</v>
      </c>
      <c r="C61" s="48" t="s">
        <v>322</v>
      </c>
      <c r="D61" s="48" t="s">
        <v>322</v>
      </c>
      <c r="E61" s="48" t="s">
        <v>322</v>
      </c>
      <c r="F61" s="48" t="s">
        <v>322</v>
      </c>
      <c r="G61" s="48" t="s">
        <v>322</v>
      </c>
    </row>
    <row r="62" spans="1:7" x14ac:dyDescent="0.2">
      <c r="A62" s="48" t="s">
        <v>14</v>
      </c>
      <c r="B62" s="48">
        <v>3</v>
      </c>
      <c r="C62" s="48" t="s">
        <v>322</v>
      </c>
      <c r="D62" s="48" t="s">
        <v>322</v>
      </c>
      <c r="E62" s="48" t="s">
        <v>322</v>
      </c>
      <c r="F62" s="48" t="s">
        <v>322</v>
      </c>
      <c r="G62" s="48" t="s">
        <v>322</v>
      </c>
    </row>
    <row r="63" spans="1:7" x14ac:dyDescent="0.2">
      <c r="A63" s="48" t="s">
        <v>14</v>
      </c>
      <c r="B63" s="48">
        <v>3</v>
      </c>
      <c r="C63" s="48" t="s">
        <v>322</v>
      </c>
      <c r="D63" s="48" t="s">
        <v>322</v>
      </c>
      <c r="E63" s="48" t="s">
        <v>159</v>
      </c>
      <c r="F63" s="48" t="s">
        <v>159</v>
      </c>
      <c r="G63" s="48" t="s">
        <v>159</v>
      </c>
    </row>
    <row r="64" spans="1:7" x14ac:dyDescent="0.2">
      <c r="A64" s="48" t="s">
        <v>14</v>
      </c>
      <c r="B64" s="48">
        <v>3</v>
      </c>
      <c r="C64" s="48" t="s">
        <v>322</v>
      </c>
      <c r="D64" s="48" t="s">
        <v>322</v>
      </c>
      <c r="E64" s="48" t="s">
        <v>322</v>
      </c>
      <c r="F64" s="48" t="s">
        <v>323</v>
      </c>
      <c r="G64" s="48" t="s">
        <v>323</v>
      </c>
    </row>
    <row r="65" spans="1:7" x14ac:dyDescent="0.2">
      <c r="A65" s="48" t="s">
        <v>14</v>
      </c>
      <c r="B65" s="48">
        <v>3</v>
      </c>
      <c r="C65" s="48" t="s">
        <v>322</v>
      </c>
      <c r="D65" s="48" t="s">
        <v>322</v>
      </c>
      <c r="E65" s="48" t="s">
        <v>322</v>
      </c>
      <c r="F65" s="48" t="s">
        <v>322</v>
      </c>
      <c r="G65" s="48" t="s">
        <v>322</v>
      </c>
    </row>
    <row r="66" spans="1:7" x14ac:dyDescent="0.2">
      <c r="A66" s="48" t="s">
        <v>14</v>
      </c>
      <c r="B66" s="48">
        <v>3</v>
      </c>
      <c r="C66" s="48" t="s">
        <v>322</v>
      </c>
      <c r="D66" s="48" t="s">
        <v>322</v>
      </c>
      <c r="E66" s="48" t="s">
        <v>322</v>
      </c>
      <c r="F66" s="48" t="s">
        <v>322</v>
      </c>
      <c r="G66" s="48" t="s">
        <v>322</v>
      </c>
    </row>
    <row r="67" spans="1:7" x14ac:dyDescent="0.2">
      <c r="A67" s="48" t="s">
        <v>14</v>
      </c>
      <c r="B67" s="48">
        <v>3</v>
      </c>
      <c r="C67" s="48" t="s">
        <v>322</v>
      </c>
      <c r="D67" s="48" t="s">
        <v>322</v>
      </c>
      <c r="E67" s="48" t="s">
        <v>328</v>
      </c>
      <c r="F67" s="48" t="s">
        <v>328</v>
      </c>
      <c r="G67" s="48" t="s">
        <v>322</v>
      </c>
    </row>
    <row r="68" spans="1:7" x14ac:dyDescent="0.2">
      <c r="A68" s="48" t="s">
        <v>14</v>
      </c>
      <c r="B68" s="48">
        <v>3</v>
      </c>
      <c r="C68" s="48" t="s">
        <v>322</v>
      </c>
      <c r="D68" s="48" t="s">
        <v>322</v>
      </c>
      <c r="E68" s="48" t="s">
        <v>322</v>
      </c>
      <c r="F68" s="48" t="s">
        <v>322</v>
      </c>
      <c r="G68" s="48" t="s">
        <v>322</v>
      </c>
    </row>
    <row r="69" spans="1:7" x14ac:dyDescent="0.2">
      <c r="A69" s="48" t="s">
        <v>14</v>
      </c>
      <c r="B69" s="48">
        <v>3</v>
      </c>
      <c r="C69" s="48" t="s">
        <v>328</v>
      </c>
      <c r="D69" s="48" t="s">
        <v>331</v>
      </c>
      <c r="E69" s="48" t="s">
        <v>328</v>
      </c>
      <c r="F69" s="48" t="s">
        <v>331</v>
      </c>
      <c r="G69" s="48" t="s">
        <v>331</v>
      </c>
    </row>
    <row r="70" spans="1:7" x14ac:dyDescent="0.2">
      <c r="A70" s="48" t="s">
        <v>14</v>
      </c>
      <c r="B70" s="48">
        <v>3</v>
      </c>
      <c r="C70" s="48" t="s">
        <v>328</v>
      </c>
      <c r="D70" s="48" t="s">
        <v>328</v>
      </c>
      <c r="E70" s="48" t="s">
        <v>328</v>
      </c>
      <c r="F70" s="48" t="s">
        <v>328</v>
      </c>
      <c r="G70" s="48" t="s">
        <v>328</v>
      </c>
    </row>
    <row r="71" spans="1:7" x14ac:dyDescent="0.2">
      <c r="A71" s="48" t="s">
        <v>14</v>
      </c>
      <c r="B71" s="48">
        <v>3</v>
      </c>
      <c r="C71" s="48" t="s">
        <v>347</v>
      </c>
      <c r="D71" s="48" t="s">
        <v>347</v>
      </c>
      <c r="E71" s="48" t="s">
        <v>347</v>
      </c>
      <c r="F71" s="48" t="s">
        <v>347</v>
      </c>
      <c r="G71" s="48" t="s">
        <v>347</v>
      </c>
    </row>
    <row r="72" spans="1:7" x14ac:dyDescent="0.2">
      <c r="A72" s="48" t="s">
        <v>14</v>
      </c>
      <c r="B72" s="48">
        <v>2.5</v>
      </c>
      <c r="C72" s="48" t="s">
        <v>323</v>
      </c>
      <c r="D72" s="48" t="s">
        <v>322</v>
      </c>
      <c r="E72" s="48" t="s">
        <v>323</v>
      </c>
      <c r="F72" s="48" t="s">
        <v>322</v>
      </c>
      <c r="G72" s="48" t="s">
        <v>323</v>
      </c>
    </row>
    <row r="73" spans="1:7" x14ac:dyDescent="0.2">
      <c r="A73" s="48" t="s">
        <v>14</v>
      </c>
      <c r="B73" s="48">
        <v>2.25</v>
      </c>
      <c r="C73" s="48" t="s">
        <v>328</v>
      </c>
      <c r="D73" s="48" t="s">
        <v>328</v>
      </c>
      <c r="E73" s="48" t="s">
        <v>322</v>
      </c>
      <c r="F73" s="48" t="s">
        <v>323</v>
      </c>
      <c r="G73" s="48" t="s">
        <v>323</v>
      </c>
    </row>
    <row r="74" spans="1:7" x14ac:dyDescent="0.2">
      <c r="A74" s="48" t="s">
        <v>14</v>
      </c>
      <c r="B74" s="48">
        <v>2</v>
      </c>
      <c r="C74" s="48" t="s">
        <v>346</v>
      </c>
      <c r="D74" s="48" t="s">
        <v>322</v>
      </c>
      <c r="E74" s="48" t="s">
        <v>346</v>
      </c>
      <c r="F74" s="48" t="s">
        <v>328</v>
      </c>
      <c r="G74" s="48" t="s">
        <v>346</v>
      </c>
    </row>
    <row r="75" spans="1:7" x14ac:dyDescent="0.2">
      <c r="A75" s="48" t="s">
        <v>14</v>
      </c>
      <c r="B75" s="48">
        <v>2</v>
      </c>
      <c r="C75" s="48" t="s">
        <v>322</v>
      </c>
      <c r="D75" s="48" t="s">
        <v>322</v>
      </c>
      <c r="E75" s="48" t="s">
        <v>322</v>
      </c>
      <c r="F75" s="48" t="s">
        <v>322</v>
      </c>
      <c r="G75" s="48" t="s">
        <v>322</v>
      </c>
    </row>
    <row r="76" spans="1:7" x14ac:dyDescent="0.2">
      <c r="A76" s="48" t="s">
        <v>14</v>
      </c>
      <c r="B76" s="48">
        <v>2</v>
      </c>
      <c r="C76" s="48" t="s">
        <v>331</v>
      </c>
      <c r="D76" s="48" t="s">
        <v>331</v>
      </c>
      <c r="E76" s="48" t="s">
        <v>331</v>
      </c>
      <c r="F76" s="48" t="s">
        <v>331</v>
      </c>
      <c r="G76" s="48" t="s">
        <v>331</v>
      </c>
    </row>
    <row r="77" spans="1:7" x14ac:dyDescent="0.2">
      <c r="A77" s="48" t="s">
        <v>14</v>
      </c>
      <c r="B77" s="48">
        <v>2</v>
      </c>
      <c r="C77" s="48" t="s">
        <v>322</v>
      </c>
      <c r="D77" s="48" t="s">
        <v>322</v>
      </c>
      <c r="E77" s="48" t="s">
        <v>322</v>
      </c>
      <c r="F77" s="48" t="s">
        <v>322</v>
      </c>
      <c r="G77" s="48" t="s">
        <v>322</v>
      </c>
    </row>
    <row r="78" spans="1:7" x14ac:dyDescent="0.2">
      <c r="A78" s="48" t="s">
        <v>14</v>
      </c>
      <c r="B78" s="48">
        <v>2</v>
      </c>
      <c r="C78" s="48" t="s">
        <v>331</v>
      </c>
      <c r="D78" s="48" t="s">
        <v>331</v>
      </c>
      <c r="E78" s="48" t="s">
        <v>331</v>
      </c>
      <c r="F78" s="48" t="s">
        <v>331</v>
      </c>
      <c r="G78" s="48" t="s">
        <v>331</v>
      </c>
    </row>
    <row r="79" spans="1:7" x14ac:dyDescent="0.2">
      <c r="A79" s="48" t="s">
        <v>14</v>
      </c>
      <c r="B79" s="48">
        <v>2</v>
      </c>
      <c r="C79" s="48" t="s">
        <v>347</v>
      </c>
      <c r="D79" s="48" t="s">
        <v>347</v>
      </c>
      <c r="E79" s="48" t="s">
        <v>347</v>
      </c>
      <c r="F79" s="48" t="s">
        <v>347</v>
      </c>
      <c r="G79" s="48" t="s">
        <v>347</v>
      </c>
    </row>
    <row r="80" spans="1:7" x14ac:dyDescent="0.2">
      <c r="A80" s="48" t="s">
        <v>14</v>
      </c>
      <c r="B80" s="48">
        <v>2</v>
      </c>
      <c r="C80" s="48" t="s">
        <v>322</v>
      </c>
      <c r="D80" s="48" t="s">
        <v>322</v>
      </c>
      <c r="E80" s="48" t="s">
        <v>322</v>
      </c>
      <c r="F80" s="48" t="s">
        <v>322</v>
      </c>
      <c r="G80" s="48" t="s">
        <v>322</v>
      </c>
    </row>
    <row r="81" spans="1:7" x14ac:dyDescent="0.2">
      <c r="A81" s="48" t="s">
        <v>14</v>
      </c>
      <c r="B81" s="48">
        <v>2</v>
      </c>
      <c r="C81" s="48" t="s">
        <v>347</v>
      </c>
      <c r="D81" s="48" t="s">
        <v>328</v>
      </c>
      <c r="E81" s="48" t="s">
        <v>328</v>
      </c>
      <c r="F81" s="48" t="s">
        <v>328</v>
      </c>
      <c r="G81" s="48" t="s">
        <v>153</v>
      </c>
    </row>
    <row r="82" spans="1:7" x14ac:dyDescent="0.2">
      <c r="A82" s="48" t="s">
        <v>14</v>
      </c>
      <c r="B82" s="48">
        <v>2</v>
      </c>
      <c r="C82" s="48" t="s">
        <v>159</v>
      </c>
      <c r="D82" s="48" t="s">
        <v>322</v>
      </c>
      <c r="E82" s="48" t="s">
        <v>159</v>
      </c>
      <c r="F82" s="48" t="s">
        <v>322</v>
      </c>
      <c r="G82" s="48" t="s">
        <v>159</v>
      </c>
    </row>
    <row r="83" spans="1:7" x14ac:dyDescent="0.2">
      <c r="A83" s="48" t="s">
        <v>14</v>
      </c>
      <c r="B83" s="48">
        <v>2</v>
      </c>
      <c r="C83" s="48" t="s">
        <v>331</v>
      </c>
      <c r="D83" s="48" t="s">
        <v>331</v>
      </c>
      <c r="E83" s="48" t="s">
        <v>331</v>
      </c>
      <c r="F83" s="48" t="s">
        <v>331</v>
      </c>
      <c r="G83" s="48" t="s">
        <v>331</v>
      </c>
    </row>
    <row r="84" spans="1:7" x14ac:dyDescent="0.2">
      <c r="A84" s="48" t="s">
        <v>14</v>
      </c>
      <c r="B84" s="48">
        <v>2</v>
      </c>
      <c r="C84" s="48" t="s">
        <v>322</v>
      </c>
      <c r="D84" s="48" t="s">
        <v>322</v>
      </c>
      <c r="E84" s="48" t="s">
        <v>322</v>
      </c>
      <c r="F84" s="48" t="s">
        <v>322</v>
      </c>
      <c r="G84" s="48" t="s">
        <v>159</v>
      </c>
    </row>
    <row r="85" spans="1:7" x14ac:dyDescent="0.2">
      <c r="A85" s="48" t="s">
        <v>14</v>
      </c>
      <c r="B85" s="48">
        <v>2</v>
      </c>
      <c r="C85" s="48" t="s">
        <v>322</v>
      </c>
      <c r="D85" s="48" t="s">
        <v>322</v>
      </c>
      <c r="E85" s="48" t="s">
        <v>322</v>
      </c>
      <c r="F85" s="48" t="s">
        <v>322</v>
      </c>
      <c r="G85" s="48" t="s">
        <v>322</v>
      </c>
    </row>
    <row r="86" spans="1:7" x14ac:dyDescent="0.2">
      <c r="A86" s="48" t="s">
        <v>14</v>
      </c>
      <c r="B86" s="48">
        <v>2</v>
      </c>
      <c r="C86" s="48" t="s">
        <v>322</v>
      </c>
      <c r="D86" s="48" t="s">
        <v>322</v>
      </c>
      <c r="E86" s="48" t="s">
        <v>322</v>
      </c>
      <c r="F86" s="48" t="s">
        <v>322</v>
      </c>
      <c r="G86" s="48" t="s">
        <v>322</v>
      </c>
    </row>
    <row r="87" spans="1:7" x14ac:dyDescent="0.2">
      <c r="A87" s="48" t="s">
        <v>14</v>
      </c>
      <c r="B87" s="48">
        <v>2</v>
      </c>
      <c r="C87" s="48" t="s">
        <v>347</v>
      </c>
      <c r="D87" s="48" t="s">
        <v>322</v>
      </c>
      <c r="E87" s="48" t="s">
        <v>346</v>
      </c>
      <c r="F87" s="48" t="s">
        <v>323</v>
      </c>
      <c r="G87" s="48" t="s">
        <v>346</v>
      </c>
    </row>
    <row r="88" spans="1:7" x14ac:dyDescent="0.2">
      <c r="A88" s="48" t="s">
        <v>14</v>
      </c>
      <c r="B88" s="48">
        <v>2</v>
      </c>
      <c r="C88" s="48" t="s">
        <v>346</v>
      </c>
      <c r="D88" s="48" t="s">
        <v>346</v>
      </c>
      <c r="E88" s="48" t="s">
        <v>346</v>
      </c>
      <c r="F88" s="48" t="s">
        <v>346</v>
      </c>
      <c r="G88" s="48" t="s">
        <v>346</v>
      </c>
    </row>
    <row r="89" spans="1:7" x14ac:dyDescent="0.2">
      <c r="A89" s="48" t="s">
        <v>14</v>
      </c>
      <c r="B89" s="48">
        <v>2</v>
      </c>
      <c r="C89" s="48" t="s">
        <v>326</v>
      </c>
      <c r="D89" s="48" t="s">
        <v>326</v>
      </c>
      <c r="E89" s="48" t="s">
        <v>326</v>
      </c>
      <c r="F89" s="48" t="s">
        <v>326</v>
      </c>
      <c r="G89" s="48" t="s">
        <v>326</v>
      </c>
    </row>
    <row r="90" spans="1:7" x14ac:dyDescent="0.2">
      <c r="A90" s="48" t="s">
        <v>14</v>
      </c>
      <c r="B90" s="48">
        <v>2</v>
      </c>
      <c r="C90" s="48" t="s">
        <v>322</v>
      </c>
      <c r="D90" s="48" t="s">
        <v>322</v>
      </c>
      <c r="E90" s="48" t="s">
        <v>322</v>
      </c>
      <c r="F90" s="48" t="s">
        <v>322</v>
      </c>
      <c r="G90" s="48" t="s">
        <v>322</v>
      </c>
    </row>
    <row r="91" spans="1:7" x14ac:dyDescent="0.2">
      <c r="A91" s="48" t="s">
        <v>14</v>
      </c>
      <c r="B91" s="48">
        <v>1.5</v>
      </c>
      <c r="C91" s="48" t="s">
        <v>347</v>
      </c>
      <c r="D91" s="48" t="s">
        <v>347</v>
      </c>
      <c r="E91" s="48" t="s">
        <v>347</v>
      </c>
      <c r="F91" s="48" t="s">
        <v>347</v>
      </c>
      <c r="G91" s="48" t="s">
        <v>347</v>
      </c>
    </row>
    <row r="92" spans="1:7" x14ac:dyDescent="0.2">
      <c r="A92" s="48" t="s">
        <v>14</v>
      </c>
      <c r="B92" s="48">
        <v>1.5</v>
      </c>
      <c r="C92" s="48" t="s">
        <v>159</v>
      </c>
      <c r="D92" s="48" t="s">
        <v>347</v>
      </c>
      <c r="E92" s="48" t="s">
        <v>159</v>
      </c>
      <c r="F92" s="48" t="s">
        <v>347</v>
      </c>
      <c r="G92" s="48" t="s">
        <v>159</v>
      </c>
    </row>
    <row r="93" spans="1:7" x14ac:dyDescent="0.2">
      <c r="A93" s="48" t="s">
        <v>14</v>
      </c>
      <c r="B93" s="48">
        <v>1.5</v>
      </c>
      <c r="C93" s="48" t="s">
        <v>346</v>
      </c>
      <c r="D93" s="48" t="s">
        <v>346</v>
      </c>
      <c r="E93" s="48" t="s">
        <v>346</v>
      </c>
      <c r="F93" s="48" t="s">
        <v>346</v>
      </c>
      <c r="G93" s="48" t="s">
        <v>322</v>
      </c>
    </row>
    <row r="94" spans="1:7" x14ac:dyDescent="0.2">
      <c r="A94" s="48" t="s">
        <v>14</v>
      </c>
      <c r="B94" s="48">
        <v>1.5</v>
      </c>
      <c r="C94" s="48" t="s">
        <v>347</v>
      </c>
      <c r="D94" s="48" t="s">
        <v>347</v>
      </c>
      <c r="E94" s="48" t="s">
        <v>347</v>
      </c>
      <c r="F94" s="48" t="s">
        <v>347</v>
      </c>
      <c r="G94" s="48" t="s">
        <v>331</v>
      </c>
    </row>
    <row r="95" spans="1:7" x14ac:dyDescent="0.2">
      <c r="A95" s="48" t="s">
        <v>14</v>
      </c>
      <c r="B95" s="48">
        <v>1.5</v>
      </c>
      <c r="C95" s="48" t="s">
        <v>322</v>
      </c>
      <c r="D95" s="48" t="s">
        <v>322</v>
      </c>
      <c r="E95" s="48" t="s">
        <v>322</v>
      </c>
      <c r="F95" s="48" t="s">
        <v>322</v>
      </c>
      <c r="G95" s="48" t="s">
        <v>322</v>
      </c>
    </row>
    <row r="96" spans="1:7" x14ac:dyDescent="0.2">
      <c r="A96" s="48" t="s">
        <v>14</v>
      </c>
      <c r="B96" s="48">
        <v>1.5</v>
      </c>
      <c r="C96" s="48" t="s">
        <v>322</v>
      </c>
      <c r="D96" s="48" t="s">
        <v>322</v>
      </c>
      <c r="E96" s="48" t="s">
        <v>322</v>
      </c>
      <c r="F96" s="48" t="s">
        <v>322</v>
      </c>
      <c r="G96" s="48" t="s">
        <v>322</v>
      </c>
    </row>
    <row r="97" spans="1:7" x14ac:dyDescent="0.2">
      <c r="A97" s="48" t="s">
        <v>14</v>
      </c>
      <c r="B97" s="48">
        <v>1.5</v>
      </c>
      <c r="C97" s="48" t="s">
        <v>322</v>
      </c>
      <c r="D97" s="48" t="s">
        <v>322</v>
      </c>
      <c r="E97" s="48" t="s">
        <v>346</v>
      </c>
      <c r="F97" s="48" t="s">
        <v>322</v>
      </c>
      <c r="G97" s="48" t="s">
        <v>326</v>
      </c>
    </row>
    <row r="98" spans="1:7" x14ac:dyDescent="0.2">
      <c r="A98" s="48" t="s">
        <v>14</v>
      </c>
      <c r="B98" s="48">
        <v>1.5</v>
      </c>
      <c r="C98" s="48" t="s">
        <v>322</v>
      </c>
      <c r="D98" s="48" t="s">
        <v>322</v>
      </c>
      <c r="E98" s="48" t="s">
        <v>322</v>
      </c>
      <c r="F98" s="48" t="s">
        <v>322</v>
      </c>
      <c r="G98" s="48" t="s">
        <v>322</v>
      </c>
    </row>
    <row r="99" spans="1:7" x14ac:dyDescent="0.2">
      <c r="A99" s="48" t="s">
        <v>14</v>
      </c>
      <c r="B99" s="48">
        <v>1.5</v>
      </c>
      <c r="C99" s="48" t="s">
        <v>322</v>
      </c>
      <c r="D99" s="48" t="s">
        <v>322</v>
      </c>
      <c r="E99" s="48" t="s">
        <v>322</v>
      </c>
      <c r="F99" s="48" t="s">
        <v>322</v>
      </c>
      <c r="G99" s="48" t="s">
        <v>322</v>
      </c>
    </row>
    <row r="100" spans="1:7" x14ac:dyDescent="0.2">
      <c r="A100" s="48" t="s">
        <v>14</v>
      </c>
      <c r="B100" s="48">
        <v>1.25</v>
      </c>
      <c r="C100" s="48" t="s">
        <v>322</v>
      </c>
      <c r="D100" s="48" t="s">
        <v>322</v>
      </c>
      <c r="E100" s="48" t="s">
        <v>322</v>
      </c>
      <c r="F100" s="48" t="s">
        <v>322</v>
      </c>
      <c r="G100" s="48" t="s">
        <v>322</v>
      </c>
    </row>
    <row r="101" spans="1:7" x14ac:dyDescent="0.2">
      <c r="A101" s="48" t="s">
        <v>14</v>
      </c>
      <c r="B101" s="48">
        <v>1.2</v>
      </c>
      <c r="C101" s="48" t="s">
        <v>328</v>
      </c>
      <c r="D101" s="48" t="s">
        <v>328</v>
      </c>
      <c r="E101" s="48" t="s">
        <v>328</v>
      </c>
      <c r="F101" s="48" t="s">
        <v>328</v>
      </c>
      <c r="G101" s="48" t="s">
        <v>328</v>
      </c>
    </row>
    <row r="102" spans="1:7" x14ac:dyDescent="0.2">
      <c r="A102" s="48" t="s">
        <v>14</v>
      </c>
      <c r="B102" s="48">
        <v>1</v>
      </c>
      <c r="C102" s="48" t="s">
        <v>347</v>
      </c>
      <c r="D102" s="48" t="s">
        <v>347</v>
      </c>
      <c r="E102" s="48" t="s">
        <v>347</v>
      </c>
      <c r="F102" s="48" t="s">
        <v>347</v>
      </c>
      <c r="G102" s="48" t="s">
        <v>347</v>
      </c>
    </row>
    <row r="103" spans="1:7" x14ac:dyDescent="0.2">
      <c r="A103" s="48" t="s">
        <v>14</v>
      </c>
      <c r="B103" s="48">
        <v>1</v>
      </c>
      <c r="C103" s="48" t="s">
        <v>346</v>
      </c>
      <c r="D103" s="48" t="s">
        <v>346</v>
      </c>
      <c r="E103" s="48" t="s">
        <v>346</v>
      </c>
      <c r="F103" s="48" t="s">
        <v>346</v>
      </c>
      <c r="G103" s="48" t="s">
        <v>346</v>
      </c>
    </row>
    <row r="104" spans="1:7" x14ac:dyDescent="0.2">
      <c r="A104" s="48" t="s">
        <v>14</v>
      </c>
      <c r="B104" s="48">
        <v>1</v>
      </c>
      <c r="C104" s="48" t="s">
        <v>346</v>
      </c>
      <c r="D104" s="48" t="s">
        <v>346</v>
      </c>
      <c r="E104" s="48" t="s">
        <v>346</v>
      </c>
      <c r="F104" s="48" t="s">
        <v>322</v>
      </c>
      <c r="G104" s="48" t="s">
        <v>346</v>
      </c>
    </row>
    <row r="105" spans="1:7" x14ac:dyDescent="0.2">
      <c r="A105" s="48" t="s">
        <v>14</v>
      </c>
      <c r="B105" s="48">
        <v>1</v>
      </c>
      <c r="C105" s="48" t="s">
        <v>347</v>
      </c>
      <c r="D105" s="48" t="s">
        <v>347</v>
      </c>
      <c r="E105" s="48" t="s">
        <v>347</v>
      </c>
      <c r="F105" s="48" t="s">
        <v>347</v>
      </c>
      <c r="G105" s="48" t="s">
        <v>347</v>
      </c>
    </row>
    <row r="106" spans="1:7" x14ac:dyDescent="0.2">
      <c r="A106" s="48" t="s">
        <v>14</v>
      </c>
      <c r="B106" s="48">
        <v>1</v>
      </c>
      <c r="C106" s="48" t="s">
        <v>347</v>
      </c>
      <c r="D106" s="48" t="s">
        <v>347</v>
      </c>
      <c r="E106" s="48" t="s">
        <v>347</v>
      </c>
      <c r="F106" s="48" t="s">
        <v>347</v>
      </c>
      <c r="G106" s="48" t="s">
        <v>347</v>
      </c>
    </row>
    <row r="107" spans="1:7" x14ac:dyDescent="0.2">
      <c r="A107" s="48" t="s">
        <v>14</v>
      </c>
      <c r="B107" s="48">
        <v>1</v>
      </c>
      <c r="C107" s="48" t="s">
        <v>346</v>
      </c>
      <c r="D107" s="48" t="s">
        <v>346</v>
      </c>
      <c r="E107" s="48" t="s">
        <v>346</v>
      </c>
      <c r="F107" s="48" t="s">
        <v>346</v>
      </c>
      <c r="G107" s="48" t="s">
        <v>346</v>
      </c>
    </row>
    <row r="108" spans="1:7" x14ac:dyDescent="0.2">
      <c r="A108" s="48" t="s">
        <v>14</v>
      </c>
      <c r="B108" s="48">
        <v>1</v>
      </c>
      <c r="C108" s="48" t="s">
        <v>346</v>
      </c>
      <c r="D108" s="48" t="s">
        <v>346</v>
      </c>
      <c r="E108" s="48" t="s">
        <v>346</v>
      </c>
      <c r="F108" s="48" t="s">
        <v>346</v>
      </c>
      <c r="G108" s="48" t="s">
        <v>346</v>
      </c>
    </row>
    <row r="109" spans="1:7" x14ac:dyDescent="0.2">
      <c r="A109" s="48" t="s">
        <v>14</v>
      </c>
      <c r="B109" s="48">
        <v>1</v>
      </c>
      <c r="C109" s="48" t="s">
        <v>346</v>
      </c>
      <c r="D109" s="48" t="s">
        <v>328</v>
      </c>
      <c r="E109" s="48" t="s">
        <v>346</v>
      </c>
      <c r="F109" s="48" t="s">
        <v>346</v>
      </c>
      <c r="G109" s="48" t="s">
        <v>328</v>
      </c>
    </row>
    <row r="110" spans="1:7" x14ac:dyDescent="0.2">
      <c r="A110" s="48" t="s">
        <v>14</v>
      </c>
      <c r="B110" s="48">
        <v>1</v>
      </c>
      <c r="C110" s="48" t="s">
        <v>346</v>
      </c>
      <c r="D110" s="48" t="s">
        <v>346</v>
      </c>
      <c r="E110" s="48" t="s">
        <v>346</v>
      </c>
      <c r="F110" s="48" t="s">
        <v>346</v>
      </c>
      <c r="G110" s="48" t="s">
        <v>346</v>
      </c>
    </row>
    <row r="111" spans="1:7" x14ac:dyDescent="0.2">
      <c r="A111" s="48" t="s">
        <v>14</v>
      </c>
      <c r="B111" s="48">
        <v>1</v>
      </c>
      <c r="C111" s="48" t="s">
        <v>347</v>
      </c>
      <c r="D111" s="48" t="s">
        <v>347</v>
      </c>
      <c r="E111" s="48" t="s">
        <v>347</v>
      </c>
      <c r="F111" s="48" t="s">
        <v>347</v>
      </c>
      <c r="G111" s="48" t="s">
        <v>347</v>
      </c>
    </row>
    <row r="112" spans="1:7" x14ac:dyDescent="0.2">
      <c r="A112" s="48" t="s">
        <v>14</v>
      </c>
      <c r="B112" s="48">
        <v>1</v>
      </c>
      <c r="C112" s="48" t="s">
        <v>346</v>
      </c>
      <c r="D112" s="48" t="s">
        <v>346</v>
      </c>
      <c r="E112" s="48" t="s">
        <v>346</v>
      </c>
      <c r="F112" s="48" t="s">
        <v>346</v>
      </c>
      <c r="G112" s="48" t="s">
        <v>346</v>
      </c>
    </row>
    <row r="113" spans="1:7" x14ac:dyDescent="0.2">
      <c r="A113" s="48" t="s">
        <v>14</v>
      </c>
      <c r="B113" s="48">
        <v>1</v>
      </c>
      <c r="C113" s="48" t="s">
        <v>159</v>
      </c>
      <c r="D113" s="48" t="s">
        <v>159</v>
      </c>
      <c r="E113" s="48" t="s">
        <v>159</v>
      </c>
      <c r="F113" s="48" t="s">
        <v>328</v>
      </c>
      <c r="G113" s="48" t="s">
        <v>328</v>
      </c>
    </row>
    <row r="114" spans="1:7" x14ac:dyDescent="0.2">
      <c r="A114" s="48" t="s">
        <v>14</v>
      </c>
      <c r="B114" s="48">
        <v>1</v>
      </c>
      <c r="C114" s="48" t="s">
        <v>346</v>
      </c>
      <c r="D114" s="48" t="s">
        <v>346</v>
      </c>
      <c r="E114" s="48" t="s">
        <v>346</v>
      </c>
      <c r="F114" s="48" t="s">
        <v>346</v>
      </c>
      <c r="G114" s="48" t="s">
        <v>346</v>
      </c>
    </row>
    <row r="115" spans="1:7" x14ac:dyDescent="0.2">
      <c r="A115" s="48" t="s">
        <v>14</v>
      </c>
      <c r="B115" s="48">
        <v>1</v>
      </c>
      <c r="C115" s="48" t="s">
        <v>328</v>
      </c>
      <c r="D115" s="48" t="s">
        <v>328</v>
      </c>
      <c r="E115" s="48" t="s">
        <v>328</v>
      </c>
      <c r="F115" s="48" t="s">
        <v>328</v>
      </c>
      <c r="G115" s="48" t="s">
        <v>328</v>
      </c>
    </row>
    <row r="116" spans="1:7" x14ac:dyDescent="0.2">
      <c r="A116" s="48" t="s">
        <v>14</v>
      </c>
      <c r="B116" s="48">
        <v>1</v>
      </c>
      <c r="C116" s="48" t="s">
        <v>347</v>
      </c>
      <c r="D116" s="48" t="s">
        <v>347</v>
      </c>
      <c r="E116" s="48" t="s">
        <v>347</v>
      </c>
      <c r="F116" s="48" t="s">
        <v>347</v>
      </c>
      <c r="G116" s="48" t="s">
        <v>347</v>
      </c>
    </row>
    <row r="117" spans="1:7" x14ac:dyDescent="0.2">
      <c r="A117" s="48" t="s">
        <v>14</v>
      </c>
      <c r="B117" s="48">
        <v>1</v>
      </c>
      <c r="C117" s="48" t="s">
        <v>346</v>
      </c>
      <c r="D117" s="48" t="s">
        <v>346</v>
      </c>
      <c r="E117" s="48" t="s">
        <v>322</v>
      </c>
      <c r="F117" s="48" t="s">
        <v>346</v>
      </c>
      <c r="G117" s="48" t="s">
        <v>322</v>
      </c>
    </row>
    <row r="118" spans="1:7" x14ac:dyDescent="0.2">
      <c r="A118" s="48" t="s">
        <v>14</v>
      </c>
      <c r="B118" s="48">
        <v>1</v>
      </c>
      <c r="C118" s="48" t="s">
        <v>322</v>
      </c>
      <c r="D118" s="48" t="s">
        <v>322</v>
      </c>
      <c r="E118" s="48" t="s">
        <v>322</v>
      </c>
      <c r="F118" s="48" t="s">
        <v>322</v>
      </c>
      <c r="G118" s="48" t="s">
        <v>322</v>
      </c>
    </row>
    <row r="119" spans="1:7" x14ac:dyDescent="0.2">
      <c r="A119" s="48" t="s">
        <v>14</v>
      </c>
      <c r="B119" s="48">
        <v>1</v>
      </c>
      <c r="C119" s="48" t="s">
        <v>346</v>
      </c>
      <c r="D119" s="48" t="s">
        <v>155</v>
      </c>
      <c r="E119" s="48" t="s">
        <v>155</v>
      </c>
      <c r="F119" s="48" t="s">
        <v>155</v>
      </c>
      <c r="G119" s="48" t="s">
        <v>322</v>
      </c>
    </row>
    <row r="120" spans="1:7" x14ac:dyDescent="0.2">
      <c r="A120" s="48" t="s">
        <v>14</v>
      </c>
      <c r="B120" s="48">
        <v>1</v>
      </c>
      <c r="C120" s="48" t="s">
        <v>159</v>
      </c>
      <c r="D120" s="48" t="s">
        <v>159</v>
      </c>
      <c r="E120" s="48" t="s">
        <v>346</v>
      </c>
      <c r="F120" s="48" t="s">
        <v>346</v>
      </c>
      <c r="G120" s="48" t="s">
        <v>159</v>
      </c>
    </row>
    <row r="121" spans="1:7" x14ac:dyDescent="0.2">
      <c r="A121" s="48" t="s">
        <v>14</v>
      </c>
      <c r="B121" s="48">
        <v>1</v>
      </c>
      <c r="C121" s="48" t="s">
        <v>331</v>
      </c>
      <c r="D121" s="48" t="s">
        <v>331</v>
      </c>
      <c r="E121" s="48" t="s">
        <v>331</v>
      </c>
      <c r="F121" s="48" t="s">
        <v>331</v>
      </c>
      <c r="G121" s="48" t="s">
        <v>331</v>
      </c>
    </row>
    <row r="122" spans="1:7" x14ac:dyDescent="0.2">
      <c r="A122" s="48" t="s">
        <v>14</v>
      </c>
      <c r="B122" s="48">
        <v>1</v>
      </c>
      <c r="C122" s="48" t="s">
        <v>346</v>
      </c>
      <c r="D122" s="48" t="s">
        <v>346</v>
      </c>
      <c r="E122" s="48" t="s">
        <v>346</v>
      </c>
      <c r="F122" s="48" t="s">
        <v>346</v>
      </c>
      <c r="G122" s="48" t="s">
        <v>346</v>
      </c>
    </row>
    <row r="123" spans="1:7" x14ac:dyDescent="0.2">
      <c r="A123" s="48" t="s">
        <v>14</v>
      </c>
      <c r="B123" s="48">
        <v>1</v>
      </c>
      <c r="C123" s="48" t="s">
        <v>347</v>
      </c>
      <c r="D123" s="48" t="s">
        <v>322</v>
      </c>
      <c r="E123" s="48" t="s">
        <v>323</v>
      </c>
      <c r="F123" s="48" t="s">
        <v>347</v>
      </c>
      <c r="G123" s="48" t="s">
        <v>347</v>
      </c>
    </row>
    <row r="124" spans="1:7" x14ac:dyDescent="0.2">
      <c r="A124" s="48" t="s">
        <v>14</v>
      </c>
      <c r="B124" s="48">
        <v>1</v>
      </c>
      <c r="C124" s="48" t="s">
        <v>322</v>
      </c>
      <c r="D124" s="48" t="s">
        <v>322</v>
      </c>
      <c r="E124" s="48" t="s">
        <v>328</v>
      </c>
      <c r="F124" s="48" t="s">
        <v>322</v>
      </c>
      <c r="G124" s="48" t="s">
        <v>322</v>
      </c>
    </row>
    <row r="125" spans="1:7" x14ac:dyDescent="0.2">
      <c r="A125" s="48" t="s">
        <v>14</v>
      </c>
      <c r="B125" s="48">
        <v>1</v>
      </c>
      <c r="C125" s="48" t="s">
        <v>331</v>
      </c>
      <c r="D125" s="48" t="s">
        <v>331</v>
      </c>
      <c r="E125" s="48" t="s">
        <v>322</v>
      </c>
      <c r="F125" s="48" t="s">
        <v>322</v>
      </c>
      <c r="G125" s="48" t="s">
        <v>328</v>
      </c>
    </row>
    <row r="126" spans="1:7" x14ac:dyDescent="0.2">
      <c r="A126" s="48" t="s">
        <v>14</v>
      </c>
      <c r="B126" s="48">
        <v>1</v>
      </c>
      <c r="C126" s="48" t="s">
        <v>347</v>
      </c>
      <c r="D126" s="48" t="s">
        <v>347</v>
      </c>
      <c r="E126" s="48" t="s">
        <v>347</v>
      </c>
      <c r="F126" s="48" t="s">
        <v>347</v>
      </c>
      <c r="G126" s="48" t="s">
        <v>347</v>
      </c>
    </row>
    <row r="127" spans="1:7" x14ac:dyDescent="0.2">
      <c r="A127" s="48" t="s">
        <v>14</v>
      </c>
      <c r="B127" s="48">
        <v>1</v>
      </c>
      <c r="C127" s="48" t="s">
        <v>326</v>
      </c>
      <c r="D127" s="48" t="s">
        <v>322</v>
      </c>
      <c r="E127" s="48" t="s">
        <v>322</v>
      </c>
      <c r="F127" s="48" t="s">
        <v>322</v>
      </c>
      <c r="G127" s="48" t="s">
        <v>326</v>
      </c>
    </row>
    <row r="128" spans="1:7" x14ac:dyDescent="0.2">
      <c r="A128" s="48" t="s">
        <v>14</v>
      </c>
      <c r="B128" s="48">
        <v>1</v>
      </c>
      <c r="C128" s="48" t="s">
        <v>346</v>
      </c>
      <c r="D128" s="48" t="s">
        <v>346</v>
      </c>
      <c r="E128" s="48" t="s">
        <v>346</v>
      </c>
      <c r="F128" s="48" t="s">
        <v>346</v>
      </c>
      <c r="G128" s="48" t="s">
        <v>347</v>
      </c>
    </row>
    <row r="129" spans="1:7" x14ac:dyDescent="0.2">
      <c r="A129" s="48" t="s">
        <v>14</v>
      </c>
      <c r="B129" s="48">
        <v>1</v>
      </c>
      <c r="C129" s="48" t="s">
        <v>159</v>
      </c>
      <c r="D129" s="48" t="s">
        <v>159</v>
      </c>
      <c r="E129" s="48" t="s">
        <v>159</v>
      </c>
      <c r="F129" s="48" t="s">
        <v>159</v>
      </c>
      <c r="G129" s="48" t="s">
        <v>159</v>
      </c>
    </row>
    <row r="130" spans="1:7" x14ac:dyDescent="0.2">
      <c r="A130" s="48" t="s">
        <v>14</v>
      </c>
      <c r="B130" s="48">
        <v>1</v>
      </c>
      <c r="C130" s="48" t="s">
        <v>347</v>
      </c>
      <c r="D130" s="48" t="s">
        <v>347</v>
      </c>
      <c r="E130" s="48" t="s">
        <v>347</v>
      </c>
      <c r="F130" s="48" t="s">
        <v>153</v>
      </c>
      <c r="G130" s="48" t="s">
        <v>153</v>
      </c>
    </row>
    <row r="131" spans="1:7" x14ac:dyDescent="0.2">
      <c r="A131" s="48" t="s">
        <v>14</v>
      </c>
      <c r="B131" s="48">
        <v>1</v>
      </c>
      <c r="C131" s="48" t="s">
        <v>322</v>
      </c>
      <c r="D131" s="48" t="s">
        <v>322</v>
      </c>
      <c r="E131" s="48" t="s">
        <v>322</v>
      </c>
      <c r="F131" s="48" t="s">
        <v>347</v>
      </c>
      <c r="G131" s="48" t="s">
        <v>347</v>
      </c>
    </row>
    <row r="132" spans="1:7" x14ac:dyDescent="0.2">
      <c r="A132" s="48" t="s">
        <v>14</v>
      </c>
      <c r="B132" s="48">
        <v>1</v>
      </c>
      <c r="C132" s="48" t="s">
        <v>159</v>
      </c>
      <c r="D132" s="48" t="s">
        <v>346</v>
      </c>
      <c r="E132" s="48" t="s">
        <v>346</v>
      </c>
      <c r="F132" s="48" t="s">
        <v>346</v>
      </c>
      <c r="G132" s="48" t="s">
        <v>347</v>
      </c>
    </row>
    <row r="133" spans="1:7" x14ac:dyDescent="0.2">
      <c r="A133" s="48" t="s">
        <v>14</v>
      </c>
      <c r="B133" s="48">
        <v>1</v>
      </c>
      <c r="C133" s="48" t="s">
        <v>322</v>
      </c>
      <c r="D133" s="48" t="s">
        <v>322</v>
      </c>
      <c r="E133" s="48" t="s">
        <v>322</v>
      </c>
      <c r="F133" s="48" t="s">
        <v>159</v>
      </c>
      <c r="G133" s="48" t="s">
        <v>322</v>
      </c>
    </row>
    <row r="134" spans="1:7" x14ac:dyDescent="0.2">
      <c r="A134" s="48" t="s">
        <v>14</v>
      </c>
      <c r="B134" s="48">
        <v>1</v>
      </c>
      <c r="C134" s="48" t="s">
        <v>346</v>
      </c>
      <c r="D134" s="48" t="s">
        <v>328</v>
      </c>
      <c r="E134" s="48" t="s">
        <v>346</v>
      </c>
      <c r="F134" s="48" t="s">
        <v>328</v>
      </c>
      <c r="G134" s="48" t="s">
        <v>346</v>
      </c>
    </row>
    <row r="135" spans="1:7" x14ac:dyDescent="0.2">
      <c r="A135" s="48" t="s">
        <v>14</v>
      </c>
      <c r="B135" s="48">
        <v>1</v>
      </c>
      <c r="C135" s="48" t="s">
        <v>347</v>
      </c>
      <c r="D135" s="48" t="s">
        <v>347</v>
      </c>
      <c r="E135" s="48" t="s">
        <v>347</v>
      </c>
      <c r="F135" s="48" t="s">
        <v>347</v>
      </c>
      <c r="G135" s="48" t="s">
        <v>347</v>
      </c>
    </row>
    <row r="136" spans="1:7" x14ac:dyDescent="0.2">
      <c r="A136" s="48" t="s">
        <v>14</v>
      </c>
      <c r="B136" s="48">
        <v>1</v>
      </c>
      <c r="C136" s="48" t="s">
        <v>347</v>
      </c>
      <c r="D136" s="48" t="s">
        <v>347</v>
      </c>
      <c r="E136" s="48" t="s">
        <v>347</v>
      </c>
      <c r="F136" s="48" t="s">
        <v>347</v>
      </c>
      <c r="G136" s="48" t="s">
        <v>347</v>
      </c>
    </row>
    <row r="137" spans="1:7" x14ac:dyDescent="0.2">
      <c r="A137" s="48" t="s">
        <v>14</v>
      </c>
      <c r="B137" s="48">
        <v>1</v>
      </c>
      <c r="C137" s="48" t="s">
        <v>322</v>
      </c>
      <c r="D137" s="48" t="s">
        <v>322</v>
      </c>
      <c r="E137" s="48" t="s">
        <v>322</v>
      </c>
      <c r="F137" s="48" t="s">
        <v>346</v>
      </c>
      <c r="G137" s="48" t="s">
        <v>322</v>
      </c>
    </row>
    <row r="138" spans="1:7" x14ac:dyDescent="0.2">
      <c r="A138" s="48" t="s">
        <v>14</v>
      </c>
      <c r="B138" s="48">
        <v>1</v>
      </c>
      <c r="C138" s="48" t="s">
        <v>346</v>
      </c>
      <c r="D138" s="48" t="s">
        <v>346</v>
      </c>
      <c r="E138" s="48" t="s">
        <v>159</v>
      </c>
      <c r="F138" s="48" t="s">
        <v>346</v>
      </c>
      <c r="G138" s="48" t="s">
        <v>157</v>
      </c>
    </row>
    <row r="139" spans="1:7" x14ac:dyDescent="0.2">
      <c r="A139" s="48" t="s">
        <v>14</v>
      </c>
      <c r="B139" s="48">
        <v>1</v>
      </c>
      <c r="C139" s="48" t="s">
        <v>346</v>
      </c>
      <c r="D139" s="48" t="s">
        <v>331</v>
      </c>
      <c r="E139" s="48" t="s">
        <v>331</v>
      </c>
      <c r="F139" s="48" t="s">
        <v>331</v>
      </c>
      <c r="G139" s="48" t="s">
        <v>331</v>
      </c>
    </row>
    <row r="140" spans="1:7" x14ac:dyDescent="0.2">
      <c r="A140" s="48" t="s">
        <v>14</v>
      </c>
      <c r="B140" s="48">
        <v>1</v>
      </c>
      <c r="C140" s="48" t="s">
        <v>346</v>
      </c>
      <c r="D140" s="48" t="s">
        <v>346</v>
      </c>
      <c r="E140" s="48" t="s">
        <v>346</v>
      </c>
      <c r="F140" s="48" t="s">
        <v>346</v>
      </c>
      <c r="G140" s="48" t="s">
        <v>346</v>
      </c>
    </row>
    <row r="141" spans="1:7" x14ac:dyDescent="0.2">
      <c r="A141" s="48" t="s">
        <v>14</v>
      </c>
      <c r="B141" s="48">
        <v>1</v>
      </c>
      <c r="C141" s="48" t="s">
        <v>346</v>
      </c>
      <c r="D141" s="48" t="s">
        <v>346</v>
      </c>
      <c r="E141" s="48" t="s">
        <v>346</v>
      </c>
      <c r="F141" s="48" t="s">
        <v>346</v>
      </c>
      <c r="G141" s="48" t="s">
        <v>346</v>
      </c>
    </row>
    <row r="142" spans="1:7" x14ac:dyDescent="0.2">
      <c r="A142" s="48" t="s">
        <v>14</v>
      </c>
      <c r="B142" s="48">
        <v>1</v>
      </c>
      <c r="C142" s="48" t="s">
        <v>322</v>
      </c>
      <c r="D142" s="48" t="s">
        <v>322</v>
      </c>
      <c r="E142" s="48" t="s">
        <v>322</v>
      </c>
      <c r="F142" s="48" t="s">
        <v>322</v>
      </c>
      <c r="G142" s="48" t="s">
        <v>322</v>
      </c>
    </row>
    <row r="143" spans="1:7" x14ac:dyDescent="0.2">
      <c r="A143" s="48" t="s">
        <v>14</v>
      </c>
      <c r="B143" s="48">
        <v>1</v>
      </c>
      <c r="C143" s="48" t="s">
        <v>329</v>
      </c>
      <c r="D143" s="48" t="s">
        <v>329</v>
      </c>
      <c r="E143" s="48" t="s">
        <v>329</v>
      </c>
      <c r="F143" s="48" t="s">
        <v>329</v>
      </c>
      <c r="G143" s="48" t="s">
        <v>329</v>
      </c>
    </row>
    <row r="144" spans="1:7" x14ac:dyDescent="0.2">
      <c r="A144" s="48" t="s">
        <v>14</v>
      </c>
      <c r="B144" s="48">
        <v>1</v>
      </c>
      <c r="C144" s="48" t="s">
        <v>346</v>
      </c>
      <c r="D144" s="48" t="s">
        <v>346</v>
      </c>
      <c r="E144" s="48" t="s">
        <v>346</v>
      </c>
      <c r="F144" s="48" t="s">
        <v>346</v>
      </c>
      <c r="G144" s="48" t="s">
        <v>336</v>
      </c>
    </row>
    <row r="145" spans="1:7" x14ac:dyDescent="0.2">
      <c r="A145" s="48" t="s">
        <v>14</v>
      </c>
      <c r="B145" s="48">
        <v>0.8</v>
      </c>
      <c r="C145" s="48" t="s">
        <v>331</v>
      </c>
      <c r="D145" s="48" t="s">
        <v>331</v>
      </c>
      <c r="E145" s="48" t="s">
        <v>331</v>
      </c>
      <c r="F145" s="48" t="s">
        <v>331</v>
      </c>
      <c r="G145" s="48" t="s">
        <v>331</v>
      </c>
    </row>
    <row r="146" spans="1:7" x14ac:dyDescent="0.2">
      <c r="A146" s="48" t="s">
        <v>14</v>
      </c>
      <c r="B146" s="48">
        <v>0.75</v>
      </c>
      <c r="C146" s="48" t="s">
        <v>347</v>
      </c>
      <c r="D146" s="48" t="s">
        <v>346</v>
      </c>
      <c r="E146" s="48" t="s">
        <v>347</v>
      </c>
      <c r="F146" s="48" t="s">
        <v>346</v>
      </c>
      <c r="G146" s="48" t="s">
        <v>347</v>
      </c>
    </row>
    <row r="147" spans="1:7" x14ac:dyDescent="0.2">
      <c r="A147" s="48" t="s">
        <v>14</v>
      </c>
      <c r="B147" s="48">
        <v>0.75</v>
      </c>
      <c r="C147" s="48" t="s">
        <v>322</v>
      </c>
      <c r="D147" s="48" t="s">
        <v>322</v>
      </c>
      <c r="E147" s="48" t="s">
        <v>322</v>
      </c>
      <c r="F147" s="48" t="s">
        <v>322</v>
      </c>
      <c r="G147" s="48" t="s">
        <v>322</v>
      </c>
    </row>
    <row r="148" spans="1:7" x14ac:dyDescent="0.2">
      <c r="A148" s="48" t="s">
        <v>14</v>
      </c>
      <c r="B148" s="48">
        <v>0.74</v>
      </c>
      <c r="C148" s="48" t="s">
        <v>322</v>
      </c>
      <c r="D148" s="48" t="s">
        <v>322</v>
      </c>
      <c r="E148" s="48" t="s">
        <v>322</v>
      </c>
      <c r="F148" s="48" t="s">
        <v>346</v>
      </c>
      <c r="G148" s="48" t="s">
        <v>322</v>
      </c>
    </row>
    <row r="149" spans="1:7" x14ac:dyDescent="0.2">
      <c r="A149" s="48" t="s">
        <v>14</v>
      </c>
      <c r="B149" s="48">
        <v>0.7</v>
      </c>
      <c r="C149" s="48" t="s">
        <v>346</v>
      </c>
      <c r="D149" s="48" t="s">
        <v>346</v>
      </c>
      <c r="E149" s="48" t="s">
        <v>346</v>
      </c>
      <c r="F149" s="48" t="s">
        <v>346</v>
      </c>
      <c r="G149" s="48" t="s">
        <v>346</v>
      </c>
    </row>
    <row r="150" spans="1:7" x14ac:dyDescent="0.2">
      <c r="A150" s="48" t="s">
        <v>14</v>
      </c>
      <c r="B150" s="48">
        <v>0.66</v>
      </c>
      <c r="C150" s="48" t="s">
        <v>346</v>
      </c>
      <c r="D150" s="48" t="s">
        <v>346</v>
      </c>
      <c r="E150" s="48" t="s">
        <v>346</v>
      </c>
      <c r="F150" s="48" t="s">
        <v>346</v>
      </c>
      <c r="G150" s="48" t="s">
        <v>346</v>
      </c>
    </row>
    <row r="151" spans="1:7" x14ac:dyDescent="0.2">
      <c r="A151" s="48" t="s">
        <v>14</v>
      </c>
      <c r="B151" s="48">
        <v>0.6</v>
      </c>
      <c r="C151" s="48" t="s">
        <v>346</v>
      </c>
      <c r="D151" s="48" t="s">
        <v>346</v>
      </c>
      <c r="E151" s="48" t="s">
        <v>346</v>
      </c>
      <c r="F151" s="48" t="s">
        <v>346</v>
      </c>
      <c r="G151" s="48" t="s">
        <v>346</v>
      </c>
    </row>
    <row r="152" spans="1:7" x14ac:dyDescent="0.2">
      <c r="A152" s="48" t="s">
        <v>14</v>
      </c>
      <c r="B152" s="48">
        <v>0.5</v>
      </c>
      <c r="C152" s="48" t="s">
        <v>347</v>
      </c>
      <c r="D152" s="48" t="s">
        <v>347</v>
      </c>
      <c r="E152" s="48" t="s">
        <v>347</v>
      </c>
      <c r="F152" s="48" t="s">
        <v>347</v>
      </c>
      <c r="G152" s="48" t="s">
        <v>347</v>
      </c>
    </row>
    <row r="153" spans="1:7" x14ac:dyDescent="0.2">
      <c r="A153" s="48" t="s">
        <v>14</v>
      </c>
      <c r="B153" s="48">
        <v>0.5</v>
      </c>
      <c r="C153" s="48" t="s">
        <v>322</v>
      </c>
      <c r="D153" s="48" t="s">
        <v>322</v>
      </c>
      <c r="E153" s="48" t="s">
        <v>322</v>
      </c>
      <c r="F153" s="48" t="s">
        <v>322</v>
      </c>
      <c r="G153" s="48" t="s">
        <v>322</v>
      </c>
    </row>
    <row r="154" spans="1:7" x14ac:dyDescent="0.2">
      <c r="A154" s="48" t="s">
        <v>14</v>
      </c>
      <c r="B154" s="48">
        <v>0.5</v>
      </c>
      <c r="C154" s="48" t="s">
        <v>322</v>
      </c>
      <c r="D154" s="48" t="s">
        <v>322</v>
      </c>
      <c r="E154" s="48" t="s">
        <v>322</v>
      </c>
      <c r="F154" s="48" t="s">
        <v>322</v>
      </c>
      <c r="G154" s="48" t="s">
        <v>322</v>
      </c>
    </row>
    <row r="155" spans="1:7" x14ac:dyDescent="0.2">
      <c r="A155" s="48" t="s">
        <v>14</v>
      </c>
      <c r="B155" s="48">
        <v>0.5</v>
      </c>
      <c r="C155" s="48" t="s">
        <v>322</v>
      </c>
      <c r="D155" s="48" t="s">
        <v>322</v>
      </c>
      <c r="E155" s="48" t="s">
        <v>322</v>
      </c>
      <c r="F155" s="48" t="s">
        <v>322</v>
      </c>
      <c r="G155" s="48" t="s">
        <v>322</v>
      </c>
    </row>
    <row r="156" spans="1:7" x14ac:dyDescent="0.2">
      <c r="A156" s="48" t="s">
        <v>14</v>
      </c>
      <c r="B156" s="48">
        <v>0.5</v>
      </c>
      <c r="C156" s="48" t="s">
        <v>159</v>
      </c>
      <c r="D156" s="48" t="s">
        <v>159</v>
      </c>
      <c r="E156" s="48" t="s">
        <v>322</v>
      </c>
      <c r="F156" s="48" t="s">
        <v>159</v>
      </c>
      <c r="G156" s="48" t="s">
        <v>322</v>
      </c>
    </row>
    <row r="157" spans="1:7" x14ac:dyDescent="0.2">
      <c r="A157" s="48" t="s">
        <v>14</v>
      </c>
      <c r="B157" s="48">
        <v>0.5</v>
      </c>
      <c r="C157" s="48" t="s">
        <v>346</v>
      </c>
      <c r="D157" s="48" t="s">
        <v>346</v>
      </c>
      <c r="E157" s="48" t="s">
        <v>346</v>
      </c>
      <c r="F157" s="48" t="s">
        <v>346</v>
      </c>
      <c r="G157" s="48" t="s">
        <v>159</v>
      </c>
    </row>
    <row r="158" spans="1:7" x14ac:dyDescent="0.2">
      <c r="A158" s="48" t="s">
        <v>14</v>
      </c>
      <c r="B158" s="48">
        <v>0.5</v>
      </c>
      <c r="C158" s="48" t="s">
        <v>346</v>
      </c>
      <c r="D158" s="48" t="s">
        <v>346</v>
      </c>
      <c r="E158" s="48" t="s">
        <v>346</v>
      </c>
      <c r="F158" s="48" t="s">
        <v>346</v>
      </c>
      <c r="G158" s="48" t="s">
        <v>346</v>
      </c>
    </row>
    <row r="159" spans="1:7" x14ac:dyDescent="0.2">
      <c r="A159" s="48" t="s">
        <v>14</v>
      </c>
      <c r="B159" s="48">
        <v>0.5</v>
      </c>
      <c r="C159" s="48" t="s">
        <v>322</v>
      </c>
      <c r="D159" s="48" t="s">
        <v>347</v>
      </c>
      <c r="E159" s="48" t="s">
        <v>322</v>
      </c>
      <c r="F159" s="48" t="s">
        <v>347</v>
      </c>
      <c r="G159" s="48" t="s">
        <v>322</v>
      </c>
    </row>
    <row r="160" spans="1:7" x14ac:dyDescent="0.2">
      <c r="A160" s="48" t="s">
        <v>14</v>
      </c>
      <c r="B160" s="48">
        <v>0.5</v>
      </c>
      <c r="C160" s="48" t="s">
        <v>347</v>
      </c>
      <c r="D160" s="48" t="s">
        <v>347</v>
      </c>
      <c r="E160" s="48" t="s">
        <v>347</v>
      </c>
      <c r="F160" s="48" t="s">
        <v>347</v>
      </c>
      <c r="G160" s="48" t="s">
        <v>347</v>
      </c>
    </row>
    <row r="161" spans="1:7" x14ac:dyDescent="0.2">
      <c r="A161" s="48" t="s">
        <v>14</v>
      </c>
      <c r="B161" s="48">
        <v>0.4</v>
      </c>
      <c r="C161" s="48" t="s">
        <v>346</v>
      </c>
      <c r="D161" s="48" t="s">
        <v>346</v>
      </c>
      <c r="E161" s="48" t="s">
        <v>346</v>
      </c>
      <c r="F161" s="48" t="s">
        <v>346</v>
      </c>
      <c r="G161" s="48" t="s">
        <v>346</v>
      </c>
    </row>
    <row r="162" spans="1:7" x14ac:dyDescent="0.2">
      <c r="A162" s="48" t="s">
        <v>14</v>
      </c>
      <c r="B162" s="48">
        <v>0.3</v>
      </c>
      <c r="C162" s="48" t="s">
        <v>346</v>
      </c>
      <c r="D162" s="48" t="s">
        <v>346</v>
      </c>
      <c r="E162" s="48" t="s">
        <v>346</v>
      </c>
      <c r="F162" s="48" t="s">
        <v>346</v>
      </c>
      <c r="G162" s="48" t="s">
        <v>346</v>
      </c>
    </row>
    <row r="163" spans="1:7" x14ac:dyDescent="0.2">
      <c r="A163" s="48" t="s">
        <v>14</v>
      </c>
      <c r="B163" s="48">
        <v>0.3</v>
      </c>
      <c r="C163" s="48" t="s">
        <v>347</v>
      </c>
      <c r="D163" s="48" t="s">
        <v>347</v>
      </c>
      <c r="E163" s="48" t="s">
        <v>347</v>
      </c>
      <c r="F163" s="48" t="s">
        <v>347</v>
      </c>
      <c r="G163" s="48" t="s">
        <v>347</v>
      </c>
    </row>
    <row r="164" spans="1:7" x14ac:dyDescent="0.2">
      <c r="A164" s="48" t="s">
        <v>14</v>
      </c>
      <c r="B164" s="48">
        <v>0.2</v>
      </c>
      <c r="C164" s="48" t="s">
        <v>346</v>
      </c>
      <c r="D164" s="48" t="s">
        <v>346</v>
      </c>
      <c r="E164" s="48" t="s">
        <v>346</v>
      </c>
      <c r="F164" s="48" t="s">
        <v>346</v>
      </c>
      <c r="G164" s="48" t="s">
        <v>346</v>
      </c>
    </row>
    <row r="165" spans="1:7" x14ac:dyDescent="0.2">
      <c r="A165" s="48" t="s">
        <v>14</v>
      </c>
      <c r="B165" s="48">
        <v>0.2</v>
      </c>
      <c r="C165" s="48" t="s">
        <v>346</v>
      </c>
      <c r="D165" s="48" t="s">
        <v>346</v>
      </c>
      <c r="E165" s="48" t="s">
        <v>346</v>
      </c>
      <c r="F165" s="48" t="s">
        <v>346</v>
      </c>
      <c r="G165" s="48" t="s">
        <v>346</v>
      </c>
    </row>
    <row r="166" spans="1:7" x14ac:dyDescent="0.2">
      <c r="A166" s="48" t="s">
        <v>14</v>
      </c>
      <c r="B166" s="48">
        <v>0.2</v>
      </c>
      <c r="C166" s="48" t="s">
        <v>346</v>
      </c>
      <c r="D166" s="48" t="s">
        <v>346</v>
      </c>
      <c r="E166" s="48" t="s">
        <v>346</v>
      </c>
      <c r="F166" s="48" t="s">
        <v>346</v>
      </c>
      <c r="G166" s="48" t="s">
        <v>346</v>
      </c>
    </row>
    <row r="167" spans="1:7" x14ac:dyDescent="0.2">
      <c r="A167" s="48" t="s">
        <v>14</v>
      </c>
      <c r="B167" s="48">
        <v>0.1</v>
      </c>
      <c r="C167" s="48" t="s">
        <v>346</v>
      </c>
      <c r="D167" s="48" t="s">
        <v>346</v>
      </c>
      <c r="E167" s="48" t="s">
        <v>346</v>
      </c>
      <c r="F167" s="48" t="s">
        <v>346</v>
      </c>
      <c r="G167" s="48" t="s">
        <v>346</v>
      </c>
    </row>
    <row r="168" spans="1:7" x14ac:dyDescent="0.2">
      <c r="A168" s="48" t="s">
        <v>14</v>
      </c>
      <c r="B168" s="48">
        <v>0</v>
      </c>
      <c r="C168" s="48" t="s">
        <v>346</v>
      </c>
      <c r="D168" s="48" t="s">
        <v>346</v>
      </c>
      <c r="E168" s="48" t="s">
        <v>346</v>
      </c>
      <c r="F168" s="48" t="s">
        <v>346</v>
      </c>
      <c r="G168" s="48" t="s">
        <v>346</v>
      </c>
    </row>
    <row r="169" spans="1:7" x14ac:dyDescent="0.2">
      <c r="A169" s="48" t="s">
        <v>14</v>
      </c>
      <c r="B169" s="48">
        <v>0</v>
      </c>
      <c r="C169" s="48" t="s">
        <v>159</v>
      </c>
      <c r="D169" s="48" t="s">
        <v>346</v>
      </c>
      <c r="E169" s="48" t="s">
        <v>159</v>
      </c>
      <c r="F169" s="48" t="s">
        <v>159</v>
      </c>
      <c r="G169" s="48" t="s">
        <v>159</v>
      </c>
    </row>
  </sheetData>
  <mergeCells count="13">
    <mergeCell ref="L21:M21"/>
    <mergeCell ref="L15:M15"/>
    <mergeCell ref="L16:M16"/>
    <mergeCell ref="L17:M17"/>
    <mergeCell ref="L18:M18"/>
    <mergeCell ref="L19:M19"/>
    <mergeCell ref="L20:M20"/>
    <mergeCell ref="L14:M14"/>
    <mergeCell ref="I1:S1"/>
    <mergeCell ref="I8:T8"/>
    <mergeCell ref="I12:J12"/>
    <mergeCell ref="L12:N12"/>
    <mergeCell ref="L13:M1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8453B622C6434B9C1FC3980BC0FCCB" ma:contentTypeVersion="13" ma:contentTypeDescription="Create a new document." ma:contentTypeScope="" ma:versionID="f4291e15311a32e843ee44de2916bb74">
  <xsd:schema xmlns:xsd="http://www.w3.org/2001/XMLSchema" xmlns:xs="http://www.w3.org/2001/XMLSchema" xmlns:p="http://schemas.microsoft.com/office/2006/metadata/properties" xmlns:ns2="b1c7ae98-977d-4a76-b89e-024dbe577fde" xmlns:ns3="8e8f7400-d615-4b09-be76-78f518059851" targetNamespace="http://schemas.microsoft.com/office/2006/metadata/properties" ma:root="true" ma:fieldsID="5bdf036b83b824c4f5d9556782012e19" ns2:_="" ns3:_="">
    <xsd:import namespace="b1c7ae98-977d-4a76-b89e-024dbe577fde"/>
    <xsd:import namespace="8e8f7400-d615-4b09-be76-78f518059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7ae98-977d-4a76-b89e-024dbe577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2543a41-8d99-4241-8456-4ef53fc29b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f7400-d615-4b09-be76-78f51805985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edbe4d-eed4-4629-9daa-1e570f33e9a7}" ma:internalName="TaxCatchAll" ma:showField="CatchAllData" ma:web="8e8f7400-d615-4b09-be76-78f518059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c7ae98-977d-4a76-b89e-024dbe577fde">
      <Terms xmlns="http://schemas.microsoft.com/office/infopath/2007/PartnerControls"/>
    </lcf76f155ced4ddcb4097134ff3c332f>
    <TaxCatchAll xmlns="8e8f7400-d615-4b09-be76-78f518059851" xsi:nil="true"/>
  </documentManagement>
</p:properties>
</file>

<file path=customXml/itemProps1.xml><?xml version="1.0" encoding="utf-8"?>
<ds:datastoreItem xmlns:ds="http://schemas.openxmlformats.org/officeDocument/2006/customXml" ds:itemID="{7FCDBF04-BDE4-4956-B320-506FEEE2B1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BB7360-DF65-4179-8ABD-C4F956054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7ae98-977d-4a76-b89e-024dbe577fde"/>
    <ds:schemaRef ds:uri="8e8f7400-d615-4b09-be76-78f518059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31F98A-43D0-4125-BB3D-A2E2F38DA6F1}">
  <ds:schemaRefs>
    <ds:schemaRef ds:uri="http://schemas.microsoft.com/office/2006/metadata/properties"/>
    <ds:schemaRef ds:uri="http://schemas.microsoft.com/office/infopath/2007/PartnerControls"/>
    <ds:schemaRef ds:uri="b1c7ae98-977d-4a76-b89e-024dbe577fde"/>
    <ds:schemaRef ds:uri="8e8f7400-d615-4b09-be76-78f5180598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FY26</vt:lpstr>
      <vt:lpstr>FY25</vt:lpstr>
      <vt:lpstr>FY24</vt:lpstr>
      <vt:lpstr>FY23</vt:lpstr>
      <vt:lpstr>FY22</vt:lpstr>
      <vt:lpstr>FY21</vt:lpstr>
      <vt:lpstr>FY20</vt:lpstr>
      <vt:lpstr>FY19</vt:lpstr>
      <vt:lpstr>FY18</vt:lpstr>
      <vt:lpstr>FY17</vt:lpstr>
      <vt:lpstr>FY16</vt:lpstr>
      <vt:lpstr>FY15</vt:lpstr>
      <vt:lpstr>FY14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Alexis Reyes</cp:lastModifiedBy>
  <cp:revision/>
  <dcterms:created xsi:type="dcterms:W3CDTF">2025-06-11T21:25:59Z</dcterms:created>
  <dcterms:modified xsi:type="dcterms:W3CDTF">2026-09-10T19:02:06Z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0x010100D98453B622C6434B9C1FC3980BC0FCCB</vt:lpwstr>
  </property>
  <property fmtid="{D5CDD505-2E9C-101B-9397-08002B2CF9AE}" pid="3" name="MediaServiceImageTags">
    <vt:lpwstr/>
  </property>
</Properties>
</file>