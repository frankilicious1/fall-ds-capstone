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04747/Library/CloudStorage/Box-Box/SO/Data - Shared/Transportation/Faculty Staff Commute/"/>
    </mc:Choice>
  </mc:AlternateContent>
  <xr:revisionPtr revIDLastSave="0" documentId="13_ncr:1_{10EC5C46-2850-714A-8CA8-0732FD994D72}" xr6:coauthVersionLast="47" xr6:coauthVersionMax="47" xr10:uidLastSave="{00000000-0000-0000-0000-000000000000}"/>
  <bookViews>
    <workbookView xWindow="3860" yWindow="760" windowWidth="21600" windowHeight="14400" xr2:uid="{926E7536-4006-453B-9FEC-3C6DC61177B8}"/>
  </bookViews>
  <sheets>
    <sheet name="FY26" sheetId="16" r:id="rId1"/>
    <sheet name="FY25" sheetId="17" r:id="rId2"/>
    <sheet name="FY24" sheetId="4" r:id="rId3"/>
    <sheet name="FY23" sheetId="5" r:id="rId4"/>
    <sheet name="FY22" sheetId="6" r:id="rId5"/>
    <sheet name="FY21" sheetId="10" r:id="rId6"/>
    <sheet name="FY20" sheetId="11" r:id="rId7"/>
    <sheet name="FY19" sheetId="12" r:id="rId8"/>
    <sheet name="FY18" sheetId="7" r:id="rId9"/>
    <sheet name="FY17" sheetId="8" r:id="rId10"/>
    <sheet name="FY16" sheetId="9" r:id="rId11"/>
    <sheet name="FY15" sheetId="13" r:id="rId12"/>
    <sheet name="FY14" sheetId="14" r:id="rId13"/>
    <sheet name="FY24 Raw Survey Results" sheetId="1" r:id="rId14"/>
    <sheet name="FY24 Survey Results Table" sheetId="3" r:id="rId15"/>
  </sheets>
  <definedNames>
    <definedName name="_xlnm._FilterDatabase" localSheetId="8" hidden="1">'FY18'!$A$1:$H$1</definedName>
    <definedName name="_xlnm._FilterDatabase" localSheetId="4" hidden="1">'FY23'!$A$1:$K$473</definedName>
    <definedName name="_xlnm._FilterDatabase" localSheetId="3" hidden="1">'FY23'!$A$1:$K$473</definedName>
    <definedName name="_xlnm._FilterDatabase" localSheetId="2" hidden="1">'FY24'!$A$1:$K$1</definedName>
    <definedName name="_xlnm._FilterDatabase" localSheetId="1" hidden="1">'FY24'!$A$1:$K$1</definedName>
    <definedName name="_xlnm._FilterDatabase" localSheetId="0" hidden="1">'FY24'!$A$1:$K$1</definedName>
    <definedName name="Miles_to_work" localSheetId="4">Table3[Miles To Work (one way)]</definedName>
    <definedName name="Miles_to_work" localSheetId="3">Table3[Miles To Work (one way)]</definedName>
    <definedName name="Miles_to_work" localSheetId="1">Table3[Miles To Work (one way)]</definedName>
    <definedName name="Miles_to_work" localSheetId="0">Table3[Miles To Work (one way)]</definedName>
    <definedName name="Miles_to_work">Table3[Miles To Work (one way)]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6" l="1"/>
  <c r="T18" i="16"/>
  <c r="Q19" i="17"/>
  <c r="Q18" i="17"/>
  <c r="Q15" i="17"/>
  <c r="X10" i="17"/>
  <c r="V10" i="17"/>
  <c r="U10" i="17"/>
  <c r="T10" i="17"/>
  <c r="R10" i="17"/>
  <c r="Q10" i="17"/>
  <c r="P10" i="17" a="1"/>
  <c r="P10" i="17" s="1"/>
  <c r="O10" i="17"/>
  <c r="N10" i="17" a="1"/>
  <c r="N10" i="17" s="1"/>
  <c r="W10" i="17" s="1"/>
  <c r="Q13" i="17" s="1"/>
  <c r="P5" i="17" a="1"/>
  <c r="P5" i="17" s="1"/>
  <c r="V4" i="17" a="1"/>
  <c r="V4" i="17" s="1"/>
  <c r="T4" i="17" a="1"/>
  <c r="T4" i="17" s="1"/>
  <c r="R4" i="17" a="1"/>
  <c r="R4" i="17" s="1"/>
  <c r="Q4" i="17" a="1"/>
  <c r="Q4" i="17" s="1"/>
  <c r="P4" i="17" a="1"/>
  <c r="P4" i="17" s="1"/>
  <c r="O4" i="17" a="1"/>
  <c r="O4" i="17" s="1"/>
  <c r="N4" i="17" a="1"/>
  <c r="N4" i="17" s="1"/>
  <c r="V3" i="17"/>
  <c r="U3" i="17"/>
  <c r="T3" i="17"/>
  <c r="R3" i="17"/>
  <c r="Q3" i="17"/>
  <c r="P3" i="17" a="1"/>
  <c r="P3" i="17" s="1"/>
  <c r="O3" i="17"/>
  <c r="N3" i="17" a="1"/>
  <c r="N3" i="17" s="1"/>
  <c r="W3" i="17" s="1"/>
  <c r="V4" i="16" a="1"/>
  <c r="V4" i="16"/>
  <c r="T4" i="16" a="1"/>
  <c r="T4" i="16"/>
  <c r="R4" i="16" a="1"/>
  <c r="R4" i="16"/>
  <c r="Q4" i="16" a="1"/>
  <c r="Q4" i="16"/>
  <c r="P4" i="16" a="1"/>
  <c r="P4" i="16"/>
  <c r="O4" i="16" a="1"/>
  <c r="O4" i="16"/>
  <c r="N4" i="16" a="1"/>
  <c r="N4" i="16"/>
  <c r="O3" i="16"/>
  <c r="P3" i="16" a="1"/>
  <c r="P3" i="16"/>
  <c r="Q3" i="16"/>
  <c r="R3" i="16"/>
  <c r="T3" i="16"/>
  <c r="U3" i="16"/>
  <c r="V3" i="16"/>
  <c r="V10" i="16"/>
  <c r="U10" i="16"/>
  <c r="T10" i="16"/>
  <c r="R10" i="16"/>
  <c r="Q10" i="16"/>
  <c r="P10" i="16" a="1"/>
  <c r="P10" i="16"/>
  <c r="O10" i="16"/>
  <c r="N10" i="16" a="1"/>
  <c r="N10" i="16"/>
  <c r="Q19" i="16"/>
  <c r="Q18" i="16"/>
  <c r="Q15" i="16"/>
  <c r="Q21" i="16" s="1"/>
  <c r="X10" i="16"/>
  <c r="W10" i="16"/>
  <c r="P5" i="16" a="1"/>
  <c r="P5" i="16" s="1"/>
  <c r="N18" i="14"/>
  <c r="N18" i="11"/>
  <c r="Q18" i="10"/>
  <c r="R18" i="14"/>
  <c r="Q18" i="14"/>
  <c r="S18" i="14"/>
  <c r="T23" i="4"/>
  <c r="T18" i="4"/>
  <c r="Q18" i="4"/>
  <c r="Q19" i="4"/>
  <c r="N20" i="14"/>
  <c r="N19" i="14"/>
  <c r="N15" i="14"/>
  <c r="N13" i="14"/>
  <c r="N21" i="11"/>
  <c r="N21" i="7"/>
  <c r="N21" i="8"/>
  <c r="M21" i="9"/>
  <c r="M21" i="13"/>
  <c r="M20" i="13"/>
  <c r="M19" i="13"/>
  <c r="M18" i="13"/>
  <c r="M15" i="13"/>
  <c r="M15" i="9"/>
  <c r="M13" i="9"/>
  <c r="N13" i="8"/>
  <c r="M20" i="9"/>
  <c r="M19" i="9"/>
  <c r="M18" i="9"/>
  <c r="N20" i="8"/>
  <c r="N19" i="8"/>
  <c r="N18" i="8"/>
  <c r="N15" i="8"/>
  <c r="N20" i="7"/>
  <c r="N19" i="7"/>
  <c r="N18" i="7"/>
  <c r="N15" i="7"/>
  <c r="N13" i="7"/>
  <c r="N20" i="11"/>
  <c r="N19" i="11"/>
  <c r="N15" i="11"/>
  <c r="N13" i="11"/>
  <c r="N16" i="11"/>
  <c r="Q13" i="10"/>
  <c r="Q15" i="10"/>
  <c r="Q16" i="10" s="1"/>
  <c r="Q19" i="10"/>
  <c r="Q20" i="10"/>
  <c r="Q15" i="6"/>
  <c r="Q16" i="6" s="1"/>
  <c r="Q18" i="6"/>
  <c r="Q19" i="6"/>
  <c r="Q20" i="6"/>
  <c r="Q13" i="5"/>
  <c r="Q15" i="5"/>
  <c r="Q16" i="5" s="1"/>
  <c r="Q18" i="5"/>
  <c r="Q19" i="5"/>
  <c r="Q20" i="5"/>
  <c r="Q15" i="4"/>
  <c r="U23" i="4" s="1"/>
  <c r="V23" i="4" s="1"/>
  <c r="N10" i="4" a="1"/>
  <c r="N10" i="4" s="1"/>
  <c r="N4" i="4" s="1" a="1"/>
  <c r="N4" i="4" s="1"/>
  <c r="S13" i="14"/>
  <c r="R13" i="9"/>
  <c r="T10" i="13"/>
  <c r="L10" i="13"/>
  <c r="K10" i="13"/>
  <c r="K4" i="13" a="1"/>
  <c r="K4" i="13"/>
  <c r="P10" i="13"/>
  <c r="N10" i="13"/>
  <c r="M10" i="13"/>
  <c r="J10" i="13" a="1"/>
  <c r="J10" i="13" s="1"/>
  <c r="S10" i="13" s="1"/>
  <c r="P4" i="13" a="1"/>
  <c r="P4" i="13" s="1"/>
  <c r="M4" i="13" a="1"/>
  <c r="M4" i="13" s="1"/>
  <c r="J4" i="13" a="1"/>
  <c r="J4" i="13" s="1"/>
  <c r="P3" i="13"/>
  <c r="M3" i="13"/>
  <c r="J3" i="13" a="1"/>
  <c r="J3" i="13" s="1"/>
  <c r="J10" i="14" a="1"/>
  <c r="J10" i="14"/>
  <c r="J4" i="14" a="1"/>
  <c r="J4" i="14"/>
  <c r="T10" i="14"/>
  <c r="K4" i="9" a="1"/>
  <c r="K4" i="9"/>
  <c r="S10" i="9"/>
  <c r="I10" i="9" a="1"/>
  <c r="I10" i="9"/>
  <c r="I4" i="9" a="1"/>
  <c r="I4" i="9"/>
  <c r="U10" i="8"/>
  <c r="K10" i="8" a="1"/>
  <c r="K10" i="8"/>
  <c r="K4" i="8" a="1"/>
  <c r="K4" i="8"/>
  <c r="M5" i="8" a="1"/>
  <c r="M5" i="8"/>
  <c r="Q4" i="8" a="1"/>
  <c r="Q4" i="8"/>
  <c r="O4" i="8" a="1"/>
  <c r="O4" i="8"/>
  <c r="N4" i="8" a="1"/>
  <c r="N4" i="8"/>
  <c r="M4" i="8" a="1"/>
  <c r="M4" i="8"/>
  <c r="L4" i="8" a="1"/>
  <c r="L4" i="8"/>
  <c r="M10" i="8" a="1"/>
  <c r="M10" i="8" s="1"/>
  <c r="U10" i="7"/>
  <c r="K10" i="7" a="1"/>
  <c r="K10" i="7"/>
  <c r="K4" i="7" a="1"/>
  <c r="K4" i="7"/>
  <c r="K10" i="11" a="1"/>
  <c r="K10" i="11"/>
  <c r="K4" i="11" a="1"/>
  <c r="K4" i="11"/>
  <c r="N10" i="5" a="1"/>
  <c r="N10" i="5"/>
  <c r="N4" i="5" a="1"/>
  <c r="N4" i="5"/>
  <c r="N10" i="6" a="1"/>
  <c r="N10" i="6" s="1"/>
  <c r="N4" i="6" a="1"/>
  <c r="N4" i="6" s="1"/>
  <c r="N4" i="10" a="1"/>
  <c r="N4" i="10"/>
  <c r="N3" i="10" a="1"/>
  <c r="N3" i="10"/>
  <c r="N10" i="10" a="1"/>
  <c r="N10" i="10"/>
  <c r="X10" i="6"/>
  <c r="X10" i="4"/>
  <c r="X10" i="5"/>
  <c r="U10" i="11"/>
  <c r="X10" i="10"/>
  <c r="R10" i="14"/>
  <c r="Q10" i="14"/>
  <c r="P10" i="14"/>
  <c r="N10" i="14"/>
  <c r="M10" i="14"/>
  <c r="L10" i="14" a="1"/>
  <c r="L10" i="14" s="1"/>
  <c r="K10" i="14"/>
  <c r="S10" i="14"/>
  <c r="J3" i="14" s="1" a="1"/>
  <c r="J3" i="14" s="1"/>
  <c r="L5" i="14" a="1"/>
  <c r="L5" i="14" s="1"/>
  <c r="R4" i="14" a="1"/>
  <c r="R4" i="14" s="1"/>
  <c r="P4" i="14" a="1"/>
  <c r="P4" i="14" s="1"/>
  <c r="N4" i="14" a="1"/>
  <c r="N4" i="14" s="1"/>
  <c r="M4" i="14" a="1"/>
  <c r="M4" i="14" s="1"/>
  <c r="L4" i="14" a="1"/>
  <c r="L4" i="14" s="1"/>
  <c r="K4" i="14" a="1"/>
  <c r="K4" i="14" s="1"/>
  <c r="S4" i="14"/>
  <c r="R3" i="14"/>
  <c r="Q3" i="14"/>
  <c r="P3" i="14"/>
  <c r="N3" i="14"/>
  <c r="M3" i="14"/>
  <c r="L3" i="14" a="1"/>
  <c r="L3" i="14" s="1"/>
  <c r="K3" i="14"/>
  <c r="S3" i="14"/>
  <c r="S10" i="11"/>
  <c r="R10" i="11"/>
  <c r="Q10" i="11"/>
  <c r="O10" i="11"/>
  <c r="N10" i="11"/>
  <c r="M10" i="11" a="1"/>
  <c r="M10" i="11" s="1"/>
  <c r="L10" i="11"/>
  <c r="T10" i="11"/>
  <c r="M5" i="11" a="1"/>
  <c r="M5" i="11" s="1"/>
  <c r="S4" i="11" a="1"/>
  <c r="S4" i="11" s="1"/>
  <c r="O4" i="11" a="1"/>
  <c r="O4" i="11" s="1"/>
  <c r="N4" i="11" a="1"/>
  <c r="N4" i="11" s="1"/>
  <c r="M4" i="11" a="1"/>
  <c r="M4" i="11" s="1"/>
  <c r="L4" i="11" a="1"/>
  <c r="L4" i="11" s="1"/>
  <c r="T4" i="11"/>
  <c r="S3" i="11"/>
  <c r="R3" i="11"/>
  <c r="Q3" i="11"/>
  <c r="O3" i="11"/>
  <c r="N3" i="11"/>
  <c r="M3" i="11" a="1"/>
  <c r="M3" i="11" s="1"/>
  <c r="L3" i="11"/>
  <c r="V10" i="10"/>
  <c r="U10" i="10"/>
  <c r="T10" i="10"/>
  <c r="R10" i="10"/>
  <c r="Q10" i="10"/>
  <c r="P10" i="10" a="1"/>
  <c r="P10" i="10" s="1"/>
  <c r="O10" i="10"/>
  <c r="W10" i="10"/>
  <c r="P5" i="10" a="1"/>
  <c r="P5" i="10" s="1"/>
  <c r="V4" i="10" a="1"/>
  <c r="V4" i="10" s="1"/>
  <c r="T4" i="10" a="1"/>
  <c r="T4" i="10" s="1"/>
  <c r="R4" i="10" a="1"/>
  <c r="R4" i="10" s="1"/>
  <c r="Q4" i="10" a="1"/>
  <c r="Q4" i="10" s="1"/>
  <c r="P4" i="10" a="1"/>
  <c r="P4" i="10" s="1"/>
  <c r="O4" i="10" a="1"/>
  <c r="O4" i="10" s="1"/>
  <c r="W4" i="10"/>
  <c r="V3" i="10"/>
  <c r="U3" i="10"/>
  <c r="T3" i="10"/>
  <c r="R3" i="10"/>
  <c r="Q3" i="10"/>
  <c r="P3" i="10" a="1"/>
  <c r="P3" i="10" s="1"/>
  <c r="O3" i="10"/>
  <c r="W3" i="10"/>
  <c r="K10" i="9" a="1"/>
  <c r="K10" i="9"/>
  <c r="P10" i="6" a="1"/>
  <c r="P10" i="6"/>
  <c r="K5" i="9" a="1"/>
  <c r="K5" i="9"/>
  <c r="Q10" i="9"/>
  <c r="P10" i="9"/>
  <c r="O10" i="9"/>
  <c r="O4" i="9" s="1" a="1"/>
  <c r="O4" i="9" s="1"/>
  <c r="M10" i="9"/>
  <c r="M4" i="9" s="1" a="1"/>
  <c r="M4" i="9" s="1"/>
  <c r="L10" i="9"/>
  <c r="L4" i="9" s="1" a="1"/>
  <c r="L4" i="9" s="1"/>
  <c r="J10" i="9"/>
  <c r="J4" i="9" s="1" a="1"/>
  <c r="J4" i="9" s="1"/>
  <c r="S10" i="8"/>
  <c r="R10" i="8"/>
  <c r="Q10" i="8"/>
  <c r="O10" i="8"/>
  <c r="N10" i="8"/>
  <c r="L10" i="8"/>
  <c r="S10" i="7"/>
  <c r="R10" i="7"/>
  <c r="Q10" i="7"/>
  <c r="N10" i="7"/>
  <c r="M10" i="7" a="1"/>
  <c r="M10" i="7"/>
  <c r="O10" i="7"/>
  <c r="L10" i="7"/>
  <c r="L4" i="7" s="1" a="1"/>
  <c r="L4" i="7" s="1"/>
  <c r="V10" i="6"/>
  <c r="U10" i="6"/>
  <c r="T10" i="6"/>
  <c r="T4" i="6" s="1" a="1"/>
  <c r="T4" i="6" s="1"/>
  <c r="R10" i="6"/>
  <c r="R4" i="6" s="1" a="1"/>
  <c r="R4" i="6" s="1"/>
  <c r="Q10" i="6"/>
  <c r="Q4" i="6" s="1" a="1"/>
  <c r="Q4" i="6" s="1"/>
  <c r="O10" i="6"/>
  <c r="O4" i="6" a="1"/>
  <c r="O4" i="6" s="1"/>
  <c r="V10" i="5"/>
  <c r="U10" i="5"/>
  <c r="T10" i="5"/>
  <c r="R10" i="5"/>
  <c r="Q10" i="5"/>
  <c r="P10" i="5" a="1"/>
  <c r="P10" i="5" s="1"/>
  <c r="P4" i="5" s="1" a="1"/>
  <c r="P4" i="5" s="1"/>
  <c r="O10" i="5"/>
  <c r="W10" i="5"/>
  <c r="P5" i="5" a="1"/>
  <c r="P5" i="5" s="1"/>
  <c r="T4" i="5" a="1"/>
  <c r="T4" i="5" s="1"/>
  <c r="R4" i="5" a="1"/>
  <c r="R4" i="5" s="1"/>
  <c r="Q4" i="5" a="1"/>
  <c r="Q4" i="5" s="1"/>
  <c r="O4" i="5" a="1"/>
  <c r="O4" i="5" s="1"/>
  <c r="V3" i="5"/>
  <c r="U3" i="5"/>
  <c r="T3" i="5"/>
  <c r="R3" i="5"/>
  <c r="Q3" i="5"/>
  <c r="P3" i="5" a="1"/>
  <c r="P3" i="5" s="1"/>
  <c r="O3" i="5"/>
  <c r="V10" i="4"/>
  <c r="U10" i="4"/>
  <c r="T10" i="4"/>
  <c r="T4" i="4" s="1" a="1"/>
  <c r="T4" i="4" s="1"/>
  <c r="R10" i="4"/>
  <c r="R4" i="4" s="1" a="1"/>
  <c r="R4" i="4" s="1"/>
  <c r="Q10" i="4"/>
  <c r="Q4" i="4" s="1" a="1"/>
  <c r="Q4" i="4" s="1"/>
  <c r="P10" i="4" a="1"/>
  <c r="P10" i="4"/>
  <c r="P4" i="4" s="1" a="1"/>
  <c r="P4" i="4" s="1"/>
  <c r="O10" i="4"/>
  <c r="O4" i="4" s="1" a="1"/>
  <c r="O4" i="4" s="1"/>
  <c r="W10" i="4"/>
  <c r="Q21" i="10" l="1"/>
  <c r="Q21" i="6"/>
  <c r="Q21" i="5"/>
  <c r="Q20" i="16"/>
  <c r="Q16" i="16"/>
  <c r="T23" i="17"/>
  <c r="U23" i="17" s="1"/>
  <c r="V23" i="17" s="1"/>
  <c r="T18" i="17"/>
  <c r="T19" i="17" s="1"/>
  <c r="T20" i="17" s="1"/>
  <c r="W4" i="17"/>
  <c r="P6" i="17"/>
  <c r="Q21" i="17"/>
  <c r="Q20" i="17"/>
  <c r="Q16" i="17"/>
  <c r="Q13" i="16"/>
  <c r="N3" i="16" a="1"/>
  <c r="N3" i="16" s="1"/>
  <c r="W3" i="16" s="1"/>
  <c r="T23" i="16"/>
  <c r="U23" i="16" s="1"/>
  <c r="V23" i="16" s="1"/>
  <c r="T20" i="16"/>
  <c r="W4" i="16"/>
  <c r="P6" i="16"/>
  <c r="Q20" i="4"/>
  <c r="Q13" i="4"/>
  <c r="O3" i="4"/>
  <c r="Q16" i="4"/>
  <c r="Q21" i="4"/>
  <c r="N21" i="14"/>
  <c r="N16" i="14"/>
  <c r="M13" i="13"/>
  <c r="L5" i="13" a="1"/>
  <c r="L5" i="13" s="1"/>
  <c r="L4" i="13" a="1"/>
  <c r="L4" i="13" s="1"/>
  <c r="S4" i="13" s="1"/>
  <c r="M16" i="13"/>
  <c r="M16" i="9"/>
  <c r="N16" i="8"/>
  <c r="N16" i="7"/>
  <c r="N3" i="4" a="1"/>
  <c r="N3" i="4" s="1"/>
  <c r="K3" i="13"/>
  <c r="L3" i="13"/>
  <c r="L6" i="13"/>
  <c r="T10" i="8"/>
  <c r="M6" i="8"/>
  <c r="K3" i="11" a="1"/>
  <c r="K3" i="11" s="1"/>
  <c r="N3" i="5" a="1"/>
  <c r="N3" i="5" s="1"/>
  <c r="W3" i="5" s="1"/>
  <c r="L6" i="14"/>
  <c r="M6" i="11"/>
  <c r="P6" i="10"/>
  <c r="K6" i="9"/>
  <c r="R10" i="9"/>
  <c r="P5" i="6" a="1"/>
  <c r="P5" i="6" s="1"/>
  <c r="P4" i="6" a="1"/>
  <c r="P4" i="6" s="1"/>
  <c r="T10" i="7"/>
  <c r="K3" i="7" s="1" a="1"/>
  <c r="K3" i="7" s="1"/>
  <c r="V4" i="6" a="1"/>
  <c r="V4" i="6" s="1"/>
  <c r="W4" i="6" s="1"/>
  <c r="V4" i="4" a="1"/>
  <c r="V4" i="4" s="1"/>
  <c r="T19" i="4" s="1"/>
  <c r="T20" i="4" s="1"/>
  <c r="V4" i="5" a="1"/>
  <c r="V4" i="5" s="1"/>
  <c r="W4" i="5" s="1"/>
  <c r="W10" i="6"/>
  <c r="P6" i="6"/>
  <c r="P6" i="5"/>
  <c r="V3" i="4"/>
  <c r="U3" i="4"/>
  <c r="T3" i="4"/>
  <c r="R3" i="4"/>
  <c r="Q3" i="4"/>
  <c r="P3" i="4" a="1"/>
  <c r="P3" i="4" s="1"/>
  <c r="W3" i="4"/>
  <c r="W4" i="4"/>
  <c r="P5" i="4" a="1"/>
  <c r="P5" i="4" s="1"/>
  <c r="P6" i="4" s="1"/>
  <c r="N3" i="6" l="1" a="1"/>
  <c r="N3" i="6" s="1"/>
  <c r="Q13" i="6"/>
  <c r="S3" i="13"/>
  <c r="K3" i="9" a="1"/>
  <c r="K3" i="9" s="1"/>
  <c r="I3" i="9" a="1"/>
  <c r="I3" i="9" s="1"/>
  <c r="K3" i="8" a="1"/>
  <c r="K3" i="8" s="1"/>
  <c r="S4" i="8" a="1"/>
  <c r="S4" i="8" s="1"/>
  <c r="M3" i="8" a="1"/>
  <c r="M3" i="8" s="1"/>
  <c r="T4" i="8"/>
  <c r="S3" i="8"/>
  <c r="R3" i="8"/>
  <c r="Q3" i="8"/>
  <c r="O3" i="8"/>
  <c r="N3" i="8"/>
  <c r="L3" i="8"/>
  <c r="T3" i="8"/>
  <c r="T3" i="11"/>
  <c r="P3" i="6" a="1"/>
  <c r="P3" i="6" s="1"/>
  <c r="Q4" i="9" a="1"/>
  <c r="Q4" i="9" s="1"/>
  <c r="R4" i="9" s="1"/>
  <c r="Q3" i="9"/>
  <c r="P3" i="9"/>
  <c r="O3" i="9"/>
  <c r="M3" i="9"/>
  <c r="L3" i="9"/>
  <c r="J3" i="9"/>
  <c r="R3" i="9"/>
  <c r="Q3" i="7"/>
  <c r="M3" i="7" a="1"/>
  <c r="M3" i="7" s="1"/>
  <c r="T3" i="6"/>
  <c r="V3" i="6"/>
  <c r="U3" i="6"/>
  <c r="R3" i="6"/>
  <c r="Q3" i="6"/>
  <c r="O3" i="6"/>
  <c r="W3" i="6"/>
  <c r="O4" i="7" a="1"/>
  <c r="O4" i="7" s="1"/>
  <c r="M4" i="7" a="1"/>
  <c r="M4" i="7" s="1"/>
  <c r="M5" i="7" a="1"/>
  <c r="M5" i="7" s="1"/>
  <c r="M6" i="7"/>
  <c r="N4" i="7" a="1"/>
  <c r="N4" i="7" s="1"/>
  <c r="Q4" i="7" a="1"/>
  <c r="Q4" i="7" s="1"/>
  <c r="S4" i="7" a="1"/>
  <c r="S4" i="7" s="1"/>
  <c r="T4" i="7" l="1"/>
  <c r="S3" i="7"/>
  <c r="R3" i="7"/>
  <c r="N3" i="7"/>
  <c r="O3" i="7"/>
  <c r="L3" i="7"/>
  <c r="T3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<sst xmlns="http://schemas.openxmlformats.org/spreadsheetml/2006/main" count="40781" uniqueCount="2233">
  <si>
    <t>FirstName</t>
  </si>
  <si>
    <t>LastName</t>
  </si>
  <si>
    <t>Zip</t>
  </si>
  <si>
    <t>Miles To Work (one way)</t>
  </si>
  <si>
    <t>Employee ID</t>
  </si>
  <si>
    <t>Employee Type</t>
  </si>
  <si>
    <t>MonMode</t>
  </si>
  <si>
    <t>TueMode</t>
  </si>
  <si>
    <t>WedMode</t>
  </si>
  <si>
    <t>ThuMode</t>
  </si>
  <si>
    <t>FriMode</t>
  </si>
  <si>
    <t xml:space="preserve">SIMAP Final Inputs </t>
  </si>
  <si>
    <t>Eric</t>
  </si>
  <si>
    <t>92708</t>
  </si>
  <si>
    <t>010378489-2</t>
  </si>
  <si>
    <t>Staff</t>
  </si>
  <si>
    <t xml:space="preserve">A </t>
  </si>
  <si>
    <t>Automobile</t>
  </si>
  <si>
    <t>Bike</t>
  </si>
  <si>
    <t>Carpool</t>
  </si>
  <si>
    <t>Commuter Rail</t>
  </si>
  <si>
    <t>Electric Vehicle</t>
  </si>
  <si>
    <t>Light Rail</t>
  </si>
  <si>
    <t>Public Bus</t>
  </si>
  <si>
    <t>Telecommuting</t>
  </si>
  <si>
    <t>Walk</t>
  </si>
  <si>
    <t>TOTAL</t>
  </si>
  <si>
    <t>Acevedo</t>
  </si>
  <si>
    <t>Jose</t>
  </si>
  <si>
    <t>92376</t>
  </si>
  <si>
    <t>100406</t>
  </si>
  <si>
    <t xml:space="preserve">C </t>
  </si>
  <si>
    <t>% of trips</t>
  </si>
  <si>
    <t>Michael</t>
  </si>
  <si>
    <t>91706</t>
  </si>
  <si>
    <t>100900</t>
  </si>
  <si>
    <t xml:space="preserve">F </t>
  </si>
  <si>
    <t xml:space="preserve">H </t>
  </si>
  <si>
    <t>Vehicle miles per trip</t>
  </si>
  <si>
    <t>n/a</t>
  </si>
  <si>
    <t>Aguilar</t>
  </si>
  <si>
    <t>92411</t>
  </si>
  <si>
    <t>105059</t>
  </si>
  <si>
    <t xml:space="preserve">K </t>
  </si>
  <si>
    <t>Passenger miles per trip</t>
  </si>
  <si>
    <t>92407</t>
  </si>
  <si>
    <t>113315</t>
  </si>
  <si>
    <t>Average passengers per vehicle</t>
  </si>
  <si>
    <t>Aguirre</t>
  </si>
  <si>
    <t>Roxana</t>
  </si>
  <si>
    <t>92337</t>
  </si>
  <si>
    <t>010351475</t>
  </si>
  <si>
    <t>91791</t>
  </si>
  <si>
    <t>117608</t>
  </si>
  <si>
    <t>Extra Info</t>
  </si>
  <si>
    <t>Alonso</t>
  </si>
  <si>
    <t>Pablo</t>
  </si>
  <si>
    <t>91761</t>
  </si>
  <si>
    <t>113978</t>
  </si>
  <si>
    <t>Alternative Total</t>
  </si>
  <si>
    <t>adan</t>
  </si>
  <si>
    <t>92405</t>
  </si>
  <si>
    <t>01023O725-3</t>
  </si>
  <si>
    <t># of trips</t>
  </si>
  <si>
    <t>91767</t>
  </si>
  <si>
    <t>126477</t>
  </si>
  <si>
    <t>92504</t>
  </si>
  <si>
    <t>010368508</t>
  </si>
  <si>
    <t>Survey Responce Key (since FY23)</t>
  </si>
  <si>
    <t>More Extra Info</t>
  </si>
  <si>
    <t>Arias</t>
  </si>
  <si>
    <t>Lindsey</t>
  </si>
  <si>
    <t>92506</t>
  </si>
  <si>
    <t>107879</t>
  </si>
  <si>
    <t>A. Zero Emission Vehicle</t>
  </si>
  <si>
    <t>One way trips/week</t>
  </si>
  <si>
    <t>Arvizu</t>
  </si>
  <si>
    <t>Georgina</t>
  </si>
  <si>
    <t>91762</t>
  </si>
  <si>
    <t>121010</t>
  </si>
  <si>
    <t xml:space="preserve">J </t>
  </si>
  <si>
    <t>B. Bus</t>
  </si>
  <si>
    <t>Total staff count</t>
  </si>
  <si>
    <t>91711</t>
  </si>
  <si>
    <t>109432</t>
  </si>
  <si>
    <t>C. Rail / Plane</t>
  </si>
  <si>
    <t>Staff responding</t>
  </si>
  <si>
    <t>Austin</t>
  </si>
  <si>
    <t>Kevin</t>
  </si>
  <si>
    <t>92646</t>
  </si>
  <si>
    <t>113694</t>
  </si>
  <si>
    <t>AA</t>
  </si>
  <si>
    <t>D. Walk</t>
  </si>
  <si>
    <t>Staff response rate</t>
  </si>
  <si>
    <t>Avant</t>
  </si>
  <si>
    <t>Tricia</t>
  </si>
  <si>
    <t>92373</t>
  </si>
  <si>
    <t>100881</t>
  </si>
  <si>
    <t>E. Bicycle</t>
  </si>
  <si>
    <t>Staff weeks/year</t>
  </si>
  <si>
    <t>Staff FY26</t>
  </si>
  <si>
    <t>92346</t>
  </si>
  <si>
    <t>0103755397</t>
  </si>
  <si>
    <t>F. Telecommute</t>
  </si>
  <si>
    <t>Staff mean distance</t>
  </si>
  <si>
    <t>Miles traveled per week</t>
  </si>
  <si>
    <t>91750</t>
  </si>
  <si>
    <t>80001</t>
  </si>
  <si>
    <t>G. Noncommuting</t>
  </si>
  <si>
    <t>Staff median distance</t>
  </si>
  <si>
    <t>miles traveled per year</t>
  </si>
  <si>
    <t>126723</t>
  </si>
  <si>
    <t xml:space="preserve">D </t>
  </si>
  <si>
    <t>H. Drive Alone</t>
  </si>
  <si>
    <t>Staff total miles/day</t>
  </si>
  <si>
    <t>carbon intensity of each mile traveled</t>
  </si>
  <si>
    <t>91701</t>
  </si>
  <si>
    <t>117569</t>
  </si>
  <si>
    <t>I. Motorcycle</t>
  </si>
  <si>
    <t>% staff &lt;=5 miles</t>
  </si>
  <si>
    <t>Banh</t>
  </si>
  <si>
    <t>Dan</t>
  </si>
  <si>
    <t>91786</t>
  </si>
  <si>
    <t>100604</t>
  </si>
  <si>
    <t xml:space="preserve">E </t>
  </si>
  <si>
    <t>J. 2 persons in vehicle</t>
  </si>
  <si>
    <t>Per week (survey)</t>
  </si>
  <si>
    <t>Per week (pop)</t>
  </si>
  <si>
    <t>Per year (pop)</t>
  </si>
  <si>
    <t>Barraza</t>
  </si>
  <si>
    <t>Emily</t>
  </si>
  <si>
    <t>117236</t>
  </si>
  <si>
    <t>K. 3 persons in vehicle</t>
  </si>
  <si>
    <t>SOV miles</t>
  </si>
  <si>
    <t>Bastida</t>
  </si>
  <si>
    <t>Mireya</t>
  </si>
  <si>
    <t>92316</t>
  </si>
  <si>
    <t>010151951</t>
  </si>
  <si>
    <t>L. 4 persons in vehicle</t>
  </si>
  <si>
    <t>Beardslee</t>
  </si>
  <si>
    <t>Joseph</t>
  </si>
  <si>
    <t>104782</t>
  </si>
  <si>
    <t>M. 5 persons in vehicle</t>
  </si>
  <si>
    <t>Beck</t>
  </si>
  <si>
    <t>Kerry</t>
  </si>
  <si>
    <t>91784</t>
  </si>
  <si>
    <t>108847</t>
  </si>
  <si>
    <t>N. 6 persons in vehicle</t>
  </si>
  <si>
    <t>David</t>
  </si>
  <si>
    <t>100037</t>
  </si>
  <si>
    <t>CC</t>
  </si>
  <si>
    <t>BB</t>
  </si>
  <si>
    <t>O. 7 persons in vehicle</t>
  </si>
  <si>
    <t>100038</t>
  </si>
  <si>
    <t>P. 8 persons in vehicle</t>
  </si>
  <si>
    <t>Bell</t>
  </si>
  <si>
    <t>91709</t>
  </si>
  <si>
    <t>115970</t>
  </si>
  <si>
    <t>Q. 9 persons in vehicle</t>
  </si>
  <si>
    <t>Lauri</t>
  </si>
  <si>
    <t>91763</t>
  </si>
  <si>
    <t>100254</t>
  </si>
  <si>
    <t>R. 10 persons in vehicle</t>
  </si>
  <si>
    <t>91024</t>
  </si>
  <si>
    <t>128971</t>
  </si>
  <si>
    <t>S. 11 persons in vehicle</t>
  </si>
  <si>
    <t>119508</t>
  </si>
  <si>
    <t>T. 12 persons in vehicle</t>
  </si>
  <si>
    <t>100525</t>
  </si>
  <si>
    <t>U. 13 persons in vehicle</t>
  </si>
  <si>
    <t>Bradley</t>
  </si>
  <si>
    <t>Angel</t>
  </si>
  <si>
    <t>92880</t>
  </si>
  <si>
    <t>104707</t>
  </si>
  <si>
    <t>V. 14 persons in vehicle</t>
  </si>
  <si>
    <t>126689</t>
  </si>
  <si>
    <t>W. 15 persons in vehicle</t>
  </si>
  <si>
    <t>Brennan</t>
  </si>
  <si>
    <t>100240</t>
  </si>
  <si>
    <t>X. 3/36 Work Week Days Off</t>
  </si>
  <si>
    <t>Britt</t>
  </si>
  <si>
    <t>Brittney</t>
  </si>
  <si>
    <t>114213</t>
  </si>
  <si>
    <t>Y. 4/40 Work Week Day Off</t>
  </si>
  <si>
    <t>Gina</t>
  </si>
  <si>
    <t>91722</t>
  </si>
  <si>
    <t>100278</t>
  </si>
  <si>
    <t>Z. 9/80 Work Week Day Off</t>
  </si>
  <si>
    <t>Bustamante</t>
  </si>
  <si>
    <t>92377</t>
  </si>
  <si>
    <t>100587</t>
  </si>
  <si>
    <t>AA. Vacation</t>
  </si>
  <si>
    <t>Bustos</t>
  </si>
  <si>
    <t>Adriana</t>
  </si>
  <si>
    <t>010366613</t>
  </si>
  <si>
    <t>BB. Sick</t>
  </si>
  <si>
    <t>Caballero</t>
  </si>
  <si>
    <t>90302</t>
  </si>
  <si>
    <t>107922</t>
  </si>
  <si>
    <t>CC. Other</t>
  </si>
  <si>
    <t>Calderon</t>
  </si>
  <si>
    <t>010042223-4</t>
  </si>
  <si>
    <t>OFF. Not scheduled to work</t>
  </si>
  <si>
    <t>126818</t>
  </si>
  <si>
    <t>Carrillo</t>
  </si>
  <si>
    <t>Arianna</t>
  </si>
  <si>
    <t>117462</t>
  </si>
  <si>
    <t>122734</t>
  </si>
  <si>
    <t>119381</t>
  </si>
  <si>
    <t>Castillo</t>
  </si>
  <si>
    <t>Norma</t>
  </si>
  <si>
    <t>90250</t>
  </si>
  <si>
    <t>113979</t>
  </si>
  <si>
    <t>125454</t>
  </si>
  <si>
    <t>Chalfant</t>
  </si>
  <si>
    <t>Kathy</t>
  </si>
  <si>
    <t>92336</t>
  </si>
  <si>
    <t>100212</t>
  </si>
  <si>
    <t>Chavez</t>
  </si>
  <si>
    <t>Rosie</t>
  </si>
  <si>
    <t>11835</t>
  </si>
  <si>
    <t>Socorro</t>
  </si>
  <si>
    <t>111312</t>
  </si>
  <si>
    <t>Colleen</t>
  </si>
  <si>
    <t>111659</t>
  </si>
  <si>
    <t>92821</t>
  </si>
  <si>
    <t>126356</t>
  </si>
  <si>
    <t xml:space="preserve">X </t>
  </si>
  <si>
    <t>91306</t>
  </si>
  <si>
    <t>128913</t>
  </si>
  <si>
    <t>Christina</t>
  </si>
  <si>
    <t>104583</t>
  </si>
  <si>
    <t>Cocke</t>
  </si>
  <si>
    <t>Jasa</t>
  </si>
  <si>
    <t>91101</t>
  </si>
  <si>
    <t>100373</t>
  </si>
  <si>
    <t>Comba</t>
  </si>
  <si>
    <t>Steve</t>
  </si>
  <si>
    <t>100050</t>
  </si>
  <si>
    <t>Elizabeth</t>
  </si>
  <si>
    <t>109357</t>
  </si>
  <si>
    <t>127606</t>
  </si>
  <si>
    <t>Coronado</t>
  </si>
  <si>
    <t>Sara</t>
  </si>
  <si>
    <t>116154</t>
  </si>
  <si>
    <t>Cotton</t>
  </si>
  <si>
    <t>Christopher</t>
  </si>
  <si>
    <t>113600</t>
  </si>
  <si>
    <t>Crawford</t>
  </si>
  <si>
    <t>Andrew</t>
  </si>
  <si>
    <t>91766</t>
  </si>
  <si>
    <t>100342</t>
  </si>
  <si>
    <t>109319</t>
  </si>
  <si>
    <t>128766</t>
  </si>
  <si>
    <t>Davalos</t>
  </si>
  <si>
    <t>Juanita</t>
  </si>
  <si>
    <t>100402</t>
  </si>
  <si>
    <t>Davis</t>
  </si>
  <si>
    <t>Kyle</t>
  </si>
  <si>
    <t>91103</t>
  </si>
  <si>
    <t>119646</t>
  </si>
  <si>
    <t>128351</t>
  </si>
  <si>
    <t>Derrico</t>
  </si>
  <si>
    <t>Courtney</t>
  </si>
  <si>
    <t>10366859</t>
  </si>
  <si>
    <t>Desjardins Gowdy</t>
  </si>
  <si>
    <t>Nicole</t>
  </si>
  <si>
    <t>10341303</t>
  </si>
  <si>
    <t>Dieken</t>
  </si>
  <si>
    <t>Paul</t>
  </si>
  <si>
    <t>117554</t>
  </si>
  <si>
    <t>Cheryl</t>
  </si>
  <si>
    <t>122521</t>
  </si>
  <si>
    <t>125776</t>
  </si>
  <si>
    <t>Dunn Greenspan</t>
  </si>
  <si>
    <t>Jennifer</t>
  </si>
  <si>
    <t>91708</t>
  </si>
  <si>
    <t>116584</t>
  </si>
  <si>
    <t>124522</t>
  </si>
  <si>
    <t>92507</t>
  </si>
  <si>
    <t>114612</t>
  </si>
  <si>
    <t>91764</t>
  </si>
  <si>
    <t>125198</t>
  </si>
  <si>
    <t>122072</t>
  </si>
  <si>
    <t>Easley</t>
  </si>
  <si>
    <t>Julia</t>
  </si>
  <si>
    <t>117167</t>
  </si>
  <si>
    <t>Eisenberg</t>
  </si>
  <si>
    <t>Brian</t>
  </si>
  <si>
    <t>92648</t>
  </si>
  <si>
    <t>104614</t>
  </si>
  <si>
    <t>Josh</t>
  </si>
  <si>
    <t>109472</t>
  </si>
  <si>
    <t>Elhai</t>
  </si>
  <si>
    <t>126090</t>
  </si>
  <si>
    <t>Ellerman</t>
  </si>
  <si>
    <t>Destiney</t>
  </si>
  <si>
    <t>91730</t>
  </si>
  <si>
    <t>117506</t>
  </si>
  <si>
    <t>Travis</t>
  </si>
  <si>
    <t>91773</t>
  </si>
  <si>
    <t>100981</t>
  </si>
  <si>
    <t>Enriquez</t>
  </si>
  <si>
    <t>Hilda</t>
  </si>
  <si>
    <t>91739</t>
  </si>
  <si>
    <t>113298</t>
  </si>
  <si>
    <t>Escamilla</t>
  </si>
  <si>
    <t>100280</t>
  </si>
  <si>
    <t>Estrada</t>
  </si>
  <si>
    <t>92509</t>
  </si>
  <si>
    <t>115965</t>
  </si>
  <si>
    <t>Wendy</t>
  </si>
  <si>
    <t>121771</t>
  </si>
  <si>
    <t>faber</t>
  </si>
  <si>
    <t>brian</t>
  </si>
  <si>
    <t>91740</t>
  </si>
  <si>
    <t>010315938</t>
  </si>
  <si>
    <t>Fagan</t>
  </si>
  <si>
    <t>Karen</t>
  </si>
  <si>
    <t>100854</t>
  </si>
  <si>
    <t>Feliciano</t>
  </si>
  <si>
    <t>Nilda</t>
  </si>
  <si>
    <t>100475</t>
  </si>
  <si>
    <t>Erick</t>
  </si>
  <si>
    <t>122122</t>
  </si>
  <si>
    <t>126473</t>
  </si>
  <si>
    <t>91104</t>
  </si>
  <si>
    <t>100533</t>
  </si>
  <si>
    <t>Filek</t>
  </si>
  <si>
    <t>Mike</t>
  </si>
  <si>
    <t>115969</t>
  </si>
  <si>
    <t>104160</t>
  </si>
  <si>
    <t>Fitzhugh</t>
  </si>
  <si>
    <t>Jonathan</t>
  </si>
  <si>
    <t>100985</t>
  </si>
  <si>
    <t>120938</t>
  </si>
  <si>
    <t>Flores</t>
  </si>
  <si>
    <t>Irma</t>
  </si>
  <si>
    <t>10092419</t>
  </si>
  <si>
    <t>Janncarlo</t>
  </si>
  <si>
    <t>120074</t>
  </si>
  <si>
    <t>Flynn</t>
  </si>
  <si>
    <t>Robin</t>
  </si>
  <si>
    <t>91105</t>
  </si>
  <si>
    <t>010144513-1</t>
  </si>
  <si>
    <t>106472</t>
  </si>
  <si>
    <t>124092</t>
  </si>
  <si>
    <t>128970</t>
  </si>
  <si>
    <t>Gallardo</t>
  </si>
  <si>
    <t>Adan</t>
  </si>
  <si>
    <t>90242</t>
  </si>
  <si>
    <t>100596</t>
  </si>
  <si>
    <t>Gammon</t>
  </si>
  <si>
    <t>Crystal</t>
  </si>
  <si>
    <t>121158</t>
  </si>
  <si>
    <t>Garcia</t>
  </si>
  <si>
    <t>Luis</t>
  </si>
  <si>
    <t>Claremont University Consortium</t>
  </si>
  <si>
    <t>Garrido</t>
  </si>
  <si>
    <t>92570</t>
  </si>
  <si>
    <t>115156</t>
  </si>
  <si>
    <t>Gaugh</t>
  </si>
  <si>
    <t>Catherine</t>
  </si>
  <si>
    <t>92831</t>
  </si>
  <si>
    <t>113637</t>
  </si>
  <si>
    <t>Alejandra</t>
  </si>
  <si>
    <t>123933</t>
  </si>
  <si>
    <t>Sarah</t>
  </si>
  <si>
    <t>125171</t>
  </si>
  <si>
    <t>Taylor</t>
  </si>
  <si>
    <t>123281</t>
  </si>
  <si>
    <t>Gerstein</t>
  </si>
  <si>
    <t>Dean</t>
  </si>
  <si>
    <t>010358767</t>
  </si>
  <si>
    <t>Gibson</t>
  </si>
  <si>
    <t>Wanda</t>
  </si>
  <si>
    <t>100489</t>
  </si>
  <si>
    <t>123990</t>
  </si>
  <si>
    <t>90605</t>
  </si>
  <si>
    <t>120599</t>
  </si>
  <si>
    <t>Gonzalez</t>
  </si>
  <si>
    <t>Michelle</t>
  </si>
  <si>
    <t>100779</t>
  </si>
  <si>
    <t>010144676</t>
  </si>
  <si>
    <t>Erica</t>
  </si>
  <si>
    <t>90042</t>
  </si>
  <si>
    <t>10379246</t>
  </si>
  <si>
    <t>Gosiaco</t>
  </si>
  <si>
    <t>Madeline</t>
  </si>
  <si>
    <t>100371</t>
  </si>
  <si>
    <t>Graham</t>
  </si>
  <si>
    <t>100386</t>
  </si>
  <si>
    <t>Kris</t>
  </si>
  <si>
    <t>100067</t>
  </si>
  <si>
    <t>Grant</t>
  </si>
  <si>
    <t>126361</t>
  </si>
  <si>
    <t xml:space="preserve">I </t>
  </si>
  <si>
    <t>Green</t>
  </si>
  <si>
    <t>100391</t>
  </si>
  <si>
    <t>120573</t>
  </si>
  <si>
    <t>Guevara</t>
  </si>
  <si>
    <t>90017</t>
  </si>
  <si>
    <t>120184</t>
  </si>
  <si>
    <t>Theresa</t>
  </si>
  <si>
    <t>100219</t>
  </si>
  <si>
    <t>Guglielmo-Larson</t>
  </si>
  <si>
    <t>Melissa</t>
  </si>
  <si>
    <t>105961</t>
  </si>
  <si>
    <t>128837</t>
  </si>
  <si>
    <t>diA</t>
  </si>
  <si>
    <t>101025</t>
  </si>
  <si>
    <t>Hammond</t>
  </si>
  <si>
    <t>Charles</t>
  </si>
  <si>
    <t>108281</t>
  </si>
  <si>
    <t xml:space="preserve">G </t>
  </si>
  <si>
    <t>Hanchana</t>
  </si>
  <si>
    <t>118949</t>
  </si>
  <si>
    <t>Harley</t>
  </si>
  <si>
    <t>Gecole</t>
  </si>
  <si>
    <t>92610</t>
  </si>
  <si>
    <t>119787</t>
  </si>
  <si>
    <t>100674</t>
  </si>
  <si>
    <t>113882</t>
  </si>
  <si>
    <t>Hart</t>
  </si>
  <si>
    <t>Joel</t>
  </si>
  <si>
    <t>90065</t>
  </si>
  <si>
    <t>100597</t>
  </si>
  <si>
    <t>100515</t>
  </si>
  <si>
    <t>91775</t>
  </si>
  <si>
    <t>121264</t>
  </si>
  <si>
    <t>Hazlett</t>
  </si>
  <si>
    <t>100809</t>
  </si>
  <si>
    <t>Henry</t>
  </si>
  <si>
    <t>Donna</t>
  </si>
  <si>
    <t>91737</t>
  </si>
  <si>
    <t>100183</t>
  </si>
  <si>
    <t>Hernandez</t>
  </si>
  <si>
    <t>Janet</t>
  </si>
  <si>
    <t>91744</t>
  </si>
  <si>
    <t>109578</t>
  </si>
  <si>
    <t>Gloria</t>
  </si>
  <si>
    <t>121098</t>
  </si>
  <si>
    <t>92335</t>
  </si>
  <si>
    <t>100297</t>
  </si>
  <si>
    <t>Hill</t>
  </si>
  <si>
    <t>010380176</t>
  </si>
  <si>
    <t>staff</t>
  </si>
  <si>
    <t>100228</t>
  </si>
  <si>
    <t>Huang</t>
  </si>
  <si>
    <t>Annie</t>
  </si>
  <si>
    <t>121335</t>
  </si>
  <si>
    <t>100777</t>
  </si>
  <si>
    <t>Hurtado</t>
  </si>
  <si>
    <t>Steven</t>
  </si>
  <si>
    <t>100368</t>
  </si>
  <si>
    <t>Ibanez</t>
  </si>
  <si>
    <t>104585</t>
  </si>
  <si>
    <t>Scott</t>
  </si>
  <si>
    <t>123282</t>
  </si>
  <si>
    <t>106034</t>
  </si>
  <si>
    <t>126182</t>
  </si>
  <si>
    <t>Jaimes</t>
  </si>
  <si>
    <t>Maria</t>
  </si>
  <si>
    <t>122074</t>
  </si>
  <si>
    <t>128820</t>
  </si>
  <si>
    <t>Jeffrey</t>
  </si>
  <si>
    <t>109354</t>
  </si>
  <si>
    <t>Jimenez</t>
  </si>
  <si>
    <t>Marilu</t>
  </si>
  <si>
    <t>122940</t>
  </si>
  <si>
    <t>91723</t>
  </si>
  <si>
    <t>128165</t>
  </si>
  <si>
    <t>Johnson</t>
  </si>
  <si>
    <t>128287</t>
  </si>
  <si>
    <t>100851</t>
  </si>
  <si>
    <t>110467</t>
  </si>
  <si>
    <t>107743</t>
  </si>
  <si>
    <t>Johnson-Lister</t>
  </si>
  <si>
    <t>Adrienne</t>
  </si>
  <si>
    <t>119809</t>
  </si>
  <si>
    <t>Johnston</t>
  </si>
  <si>
    <t>92807</t>
  </si>
  <si>
    <t>100744</t>
  </si>
  <si>
    <t>92583</t>
  </si>
  <si>
    <t>127467</t>
  </si>
  <si>
    <t>92358</t>
  </si>
  <si>
    <t>113130</t>
  </si>
  <si>
    <t>Keala</t>
  </si>
  <si>
    <t>Kelly</t>
  </si>
  <si>
    <t>100395</t>
  </si>
  <si>
    <t>Keener</t>
  </si>
  <si>
    <t>10373043</t>
  </si>
  <si>
    <t>Keil</t>
  </si>
  <si>
    <t>Katrina</t>
  </si>
  <si>
    <t>100631</t>
  </si>
  <si>
    <t>111492</t>
  </si>
  <si>
    <t>Kolter</t>
  </si>
  <si>
    <t>Ryan</t>
  </si>
  <si>
    <t>119480</t>
  </si>
  <si>
    <t>126715</t>
  </si>
  <si>
    <t>Kwok</t>
  </si>
  <si>
    <t>Carmen</t>
  </si>
  <si>
    <t>91765</t>
  </si>
  <si>
    <t>113721</t>
  </si>
  <si>
    <t>121204</t>
  </si>
  <si>
    <t xml:space="preserve">Y </t>
  </si>
  <si>
    <t>Lam</t>
  </si>
  <si>
    <t>91010</t>
  </si>
  <si>
    <t>117746</t>
  </si>
  <si>
    <t>Lamb</t>
  </si>
  <si>
    <t>100323</t>
  </si>
  <si>
    <t>Landerholm</t>
  </si>
  <si>
    <t>100085</t>
  </si>
  <si>
    <t>LEBLANC</t>
  </si>
  <si>
    <t>COREY</t>
  </si>
  <si>
    <t>100850</t>
  </si>
  <si>
    <t>Leichter</t>
  </si>
  <si>
    <t>Fred</t>
  </si>
  <si>
    <t>010351831-2</t>
  </si>
  <si>
    <t>126593</t>
  </si>
  <si>
    <t>125087</t>
  </si>
  <si>
    <t>125463</t>
  </si>
  <si>
    <t>128963</t>
  </si>
  <si>
    <t>Lewis</t>
  </si>
  <si>
    <t>Chauncey</t>
  </si>
  <si>
    <t>119120</t>
  </si>
  <si>
    <t>Linker</t>
  </si>
  <si>
    <t>Tina</t>
  </si>
  <si>
    <t>010042458</t>
  </si>
  <si>
    <t>92505</t>
  </si>
  <si>
    <t>109404</t>
  </si>
  <si>
    <t>Lockhart</t>
  </si>
  <si>
    <t>Jasmine</t>
  </si>
  <si>
    <t>010378007</t>
  </si>
  <si>
    <t>Lokar</t>
  </si>
  <si>
    <t>Shawn</t>
  </si>
  <si>
    <t>010266238</t>
  </si>
  <si>
    <t>Lopez</t>
  </si>
  <si>
    <t>Jessica</t>
  </si>
  <si>
    <t>100750</t>
  </si>
  <si>
    <t>Lozano</t>
  </si>
  <si>
    <t>100223</t>
  </si>
  <si>
    <t>Lunberg</t>
  </si>
  <si>
    <t>Jo</t>
  </si>
  <si>
    <t>123353</t>
  </si>
  <si>
    <t>Lunde</t>
  </si>
  <si>
    <t>Warron</t>
  </si>
  <si>
    <t>108052</t>
  </si>
  <si>
    <t>92866</t>
  </si>
  <si>
    <t>113763</t>
  </si>
  <si>
    <t>103729</t>
  </si>
  <si>
    <t>Madrid</t>
  </si>
  <si>
    <t>119660</t>
  </si>
  <si>
    <t>100439</t>
  </si>
  <si>
    <t>90032</t>
  </si>
  <si>
    <t>0103703011</t>
  </si>
  <si>
    <t>Martin</t>
  </si>
  <si>
    <t>010087164</t>
  </si>
  <si>
    <t>Martinez</t>
  </si>
  <si>
    <t>116139</t>
  </si>
  <si>
    <t xml:space="preserve">L </t>
  </si>
  <si>
    <t>115801</t>
  </si>
  <si>
    <t>106021</t>
  </si>
  <si>
    <t>92404</t>
  </si>
  <si>
    <t>104147</t>
  </si>
  <si>
    <t>Stacy</t>
  </si>
  <si>
    <t>100504</t>
  </si>
  <si>
    <t>100764</t>
  </si>
  <si>
    <t>Matsumoto</t>
  </si>
  <si>
    <t>Mark</t>
  </si>
  <si>
    <t>91107</t>
  </si>
  <si>
    <t>100458</t>
  </si>
  <si>
    <t>Maynard</t>
  </si>
  <si>
    <t>Christine</t>
  </si>
  <si>
    <t>91710</t>
  </si>
  <si>
    <t>10042946</t>
  </si>
  <si>
    <t>Dolores</t>
  </si>
  <si>
    <t>93505</t>
  </si>
  <si>
    <t>100272</t>
  </si>
  <si>
    <t>117909</t>
  </si>
  <si>
    <t>Kristen</t>
  </si>
  <si>
    <t>010085156</t>
  </si>
  <si>
    <t>McFadden</t>
  </si>
  <si>
    <t>100989</t>
  </si>
  <si>
    <t>William</t>
  </si>
  <si>
    <t>107933</t>
  </si>
  <si>
    <t>128693</t>
  </si>
  <si>
    <t>120983</t>
  </si>
  <si>
    <t>122675</t>
  </si>
  <si>
    <t>117908</t>
  </si>
  <si>
    <t>119122</t>
  </si>
  <si>
    <t>Mojaverian</t>
  </si>
  <si>
    <t>Kourosh</t>
  </si>
  <si>
    <t>106043</t>
  </si>
  <si>
    <t>Moore</t>
  </si>
  <si>
    <t>Amelia</t>
  </si>
  <si>
    <t>100104</t>
  </si>
  <si>
    <t>112905</t>
  </si>
  <si>
    <t>Marilyn</t>
  </si>
  <si>
    <t>106484</t>
  </si>
  <si>
    <t>126704</t>
  </si>
  <si>
    <t>Moreno</t>
  </si>
  <si>
    <t>Ashlee</t>
  </si>
  <si>
    <t>112175</t>
  </si>
  <si>
    <t>100225</t>
  </si>
  <si>
    <t>Muñoz-Rubalcava</t>
  </si>
  <si>
    <t>Josi</t>
  </si>
  <si>
    <t>104293</t>
  </si>
  <si>
    <t>Muzikar</t>
  </si>
  <si>
    <t>Katy</t>
  </si>
  <si>
    <t>100614</t>
  </si>
  <si>
    <t>127877</t>
  </si>
  <si>
    <t>010025853</t>
  </si>
  <si>
    <t>10366713</t>
  </si>
  <si>
    <t>90026</t>
  </si>
  <si>
    <t>123857</t>
  </si>
  <si>
    <t>91030</t>
  </si>
  <si>
    <t>128439</t>
  </si>
  <si>
    <t>Nemo</t>
  </si>
  <si>
    <t>Ronald</t>
  </si>
  <si>
    <t>100109</t>
  </si>
  <si>
    <t>Ngo</t>
  </si>
  <si>
    <t>Tran</t>
  </si>
  <si>
    <t>122711</t>
  </si>
  <si>
    <t>117031</t>
  </si>
  <si>
    <t>104216</t>
  </si>
  <si>
    <t>Offner</t>
  </si>
  <si>
    <t>Tamsin</t>
  </si>
  <si>
    <t>100853</t>
  </si>
  <si>
    <t>Jeremy</t>
  </si>
  <si>
    <t>92677</t>
  </si>
  <si>
    <t>104007</t>
  </si>
  <si>
    <t>James</t>
  </si>
  <si>
    <t>125733</t>
  </si>
  <si>
    <t>95503</t>
  </si>
  <si>
    <t>115184</t>
  </si>
  <si>
    <t>Susan</t>
  </si>
  <si>
    <t>92868</t>
  </si>
  <si>
    <t>112040</t>
  </si>
  <si>
    <t>Pereida</t>
  </si>
  <si>
    <t>Kaye</t>
  </si>
  <si>
    <t>100310</t>
  </si>
  <si>
    <t>Perez</t>
  </si>
  <si>
    <t>Julio</t>
  </si>
  <si>
    <t>115855</t>
  </si>
  <si>
    <t>Peterson</t>
  </si>
  <si>
    <t>Mary</t>
  </si>
  <si>
    <t>92835</t>
  </si>
  <si>
    <t>119648</t>
  </si>
  <si>
    <t>101039</t>
  </si>
  <si>
    <t>Phillips</t>
  </si>
  <si>
    <t>Curt</t>
  </si>
  <si>
    <t>116117</t>
  </si>
  <si>
    <t>Pickett</t>
  </si>
  <si>
    <t>Edward</t>
  </si>
  <si>
    <t>116171</t>
  </si>
  <si>
    <t>115268</t>
  </si>
  <si>
    <t>Pollock</t>
  </si>
  <si>
    <t>Jaquelin</t>
  </si>
  <si>
    <t>100537</t>
  </si>
  <si>
    <t>Pringle</t>
  </si>
  <si>
    <t>Ross</t>
  </si>
  <si>
    <t>108096</t>
  </si>
  <si>
    <t>Putnam</t>
  </si>
  <si>
    <t>Candie</t>
  </si>
  <si>
    <t>010165618-2</t>
  </si>
  <si>
    <t>Quick</t>
  </si>
  <si>
    <t>Lori</t>
  </si>
  <si>
    <t>92883</t>
  </si>
  <si>
    <t>121425</t>
  </si>
  <si>
    <t>Quigley</t>
  </si>
  <si>
    <t>Adeline</t>
  </si>
  <si>
    <t>91007</t>
  </si>
  <si>
    <t>100906</t>
  </si>
  <si>
    <t>111132</t>
  </si>
  <si>
    <t>Ramirez</t>
  </si>
  <si>
    <t>120412</t>
  </si>
  <si>
    <t>Ramsey</t>
  </si>
  <si>
    <t>10257033</t>
  </si>
  <si>
    <t>Randolph</t>
  </si>
  <si>
    <t>Shannon</t>
  </si>
  <si>
    <t>104704</t>
  </si>
  <si>
    <t>Recendez</t>
  </si>
  <si>
    <t>Denis</t>
  </si>
  <si>
    <t>91702</t>
  </si>
  <si>
    <t>100118</t>
  </si>
  <si>
    <t>Reid</t>
  </si>
  <si>
    <t>90275</t>
  </si>
  <si>
    <t>123833</t>
  </si>
  <si>
    <t>Reyes</t>
  </si>
  <si>
    <t>Alexis</t>
  </si>
  <si>
    <t>91768</t>
  </si>
  <si>
    <t>100882</t>
  </si>
  <si>
    <t>117757</t>
  </si>
  <si>
    <t>Rigor</t>
  </si>
  <si>
    <t>Lariza</t>
  </si>
  <si>
    <t>121356</t>
  </si>
  <si>
    <t>RIOS</t>
  </si>
  <si>
    <t>WENDY</t>
  </si>
  <si>
    <t>92345</t>
  </si>
  <si>
    <t>100571</t>
  </si>
  <si>
    <t>Rivera</t>
  </si>
  <si>
    <t>Ralph</t>
  </si>
  <si>
    <t>100810</t>
  </si>
  <si>
    <t>127925</t>
  </si>
  <si>
    <t>129059</t>
  </si>
  <si>
    <t>Roberts</t>
  </si>
  <si>
    <t>Vickie</t>
  </si>
  <si>
    <t>92562</t>
  </si>
  <si>
    <t>100761</t>
  </si>
  <si>
    <t>Robinson</t>
  </si>
  <si>
    <t>Pharalyn</t>
  </si>
  <si>
    <t>104722</t>
  </si>
  <si>
    <t>Robles</t>
  </si>
  <si>
    <t>123361</t>
  </si>
  <si>
    <t>Rodriguez</t>
  </si>
  <si>
    <t>116084</t>
  </si>
  <si>
    <t>118877</t>
  </si>
  <si>
    <t>127208</t>
  </si>
  <si>
    <t>125944</t>
  </si>
  <si>
    <t>Rosales</t>
  </si>
  <si>
    <t>115033</t>
  </si>
  <si>
    <t>Rosas</t>
  </si>
  <si>
    <t>Celina</t>
  </si>
  <si>
    <t>102279</t>
  </si>
  <si>
    <t>90041</t>
  </si>
  <si>
    <t>118346</t>
  </si>
  <si>
    <t>125266</t>
  </si>
  <si>
    <t>Roybal</t>
  </si>
  <si>
    <t>100197</t>
  </si>
  <si>
    <t>Rubio</t>
  </si>
  <si>
    <t>Gabriela</t>
  </si>
  <si>
    <t>117087</t>
  </si>
  <si>
    <t>92833</t>
  </si>
  <si>
    <t>125194</t>
  </si>
  <si>
    <t>Ruiz</t>
  </si>
  <si>
    <t>92324</t>
  </si>
  <si>
    <t>126244</t>
  </si>
  <si>
    <t>Ruvalcaba</t>
  </si>
  <si>
    <t>111918</t>
  </si>
  <si>
    <t>Pedro</t>
  </si>
  <si>
    <t>121027</t>
  </si>
  <si>
    <t>92706</t>
  </si>
  <si>
    <t>100126</t>
  </si>
  <si>
    <t>119438</t>
  </si>
  <si>
    <t>Saenz</t>
  </si>
  <si>
    <t>Natasha</t>
  </si>
  <si>
    <t>118123</t>
  </si>
  <si>
    <t>Salam</t>
  </si>
  <si>
    <t>Quamrun</t>
  </si>
  <si>
    <t>90004</t>
  </si>
  <si>
    <t>122423</t>
  </si>
  <si>
    <t>128440</t>
  </si>
  <si>
    <t>Sauri</t>
  </si>
  <si>
    <t>Lauren</t>
  </si>
  <si>
    <t>112009</t>
  </si>
  <si>
    <t>Scacco</t>
  </si>
  <si>
    <t>120207</t>
  </si>
  <si>
    <t>Schmit</t>
  </si>
  <si>
    <t>Brenda</t>
  </si>
  <si>
    <t>010031840</t>
  </si>
  <si>
    <t>126705</t>
  </si>
  <si>
    <t>Schneider</t>
  </si>
  <si>
    <t>Nikhil</t>
  </si>
  <si>
    <t>91676</t>
  </si>
  <si>
    <t>117756</t>
  </si>
  <si>
    <t>Schuessler</t>
  </si>
  <si>
    <t>Samantha</t>
  </si>
  <si>
    <t>92627</t>
  </si>
  <si>
    <t>109509</t>
  </si>
  <si>
    <t>125271</t>
  </si>
  <si>
    <t>116824</t>
  </si>
  <si>
    <t>Sellons</t>
  </si>
  <si>
    <t>10043333</t>
  </si>
  <si>
    <t>Serrano</t>
  </si>
  <si>
    <t>Bri</t>
  </si>
  <si>
    <t>119406</t>
  </si>
  <si>
    <t>Sevilla</t>
  </si>
  <si>
    <t>Don</t>
  </si>
  <si>
    <t>104721</t>
  </si>
  <si>
    <t>Monica</t>
  </si>
  <si>
    <t>010378169-2</t>
  </si>
  <si>
    <t>Shah</t>
  </si>
  <si>
    <t>Priyanjali</t>
  </si>
  <si>
    <t>117026</t>
  </si>
  <si>
    <t>100218</t>
  </si>
  <si>
    <t>116621</t>
  </si>
  <si>
    <t>Sisneros</t>
  </si>
  <si>
    <t>Melanie</t>
  </si>
  <si>
    <t>100133</t>
  </si>
  <si>
    <t>125458</t>
  </si>
  <si>
    <t>Smith</t>
  </si>
  <si>
    <t>Julie</t>
  </si>
  <si>
    <t>115864</t>
  </si>
  <si>
    <t>91104-2946</t>
  </si>
  <si>
    <t>118439</t>
  </si>
  <si>
    <t>123659</t>
  </si>
  <si>
    <t>Stadler</t>
  </si>
  <si>
    <t>Lindsay</t>
  </si>
  <si>
    <t>117237</t>
  </si>
  <si>
    <t>104474</t>
  </si>
  <si>
    <t>100689</t>
  </si>
  <si>
    <t>Stewart</t>
  </si>
  <si>
    <t>Anne</t>
  </si>
  <si>
    <t>113916</t>
  </si>
  <si>
    <t>Stoermer</t>
  </si>
  <si>
    <t>Vern</t>
  </si>
  <si>
    <t>100605</t>
  </si>
  <si>
    <t>91436</t>
  </si>
  <si>
    <t>010380372-1</t>
  </si>
  <si>
    <t>Suuck</t>
  </si>
  <si>
    <t>Fadia</t>
  </si>
  <si>
    <t>120020</t>
  </si>
  <si>
    <t>Swick</t>
  </si>
  <si>
    <t>Lesley</t>
  </si>
  <si>
    <t>122624</t>
  </si>
  <si>
    <t>Tan</t>
  </si>
  <si>
    <t>91792</t>
  </si>
  <si>
    <t>117161</t>
  </si>
  <si>
    <t>108076</t>
  </si>
  <si>
    <t>Thomas</t>
  </si>
  <si>
    <t>Greg</t>
  </si>
  <si>
    <t>112593</t>
  </si>
  <si>
    <t>Thomsen</t>
  </si>
  <si>
    <t>112885</t>
  </si>
  <si>
    <t>Tjia</t>
  </si>
  <si>
    <t>Narita</t>
  </si>
  <si>
    <t>121320</t>
  </si>
  <si>
    <t>Tng</t>
  </si>
  <si>
    <t>Sok</t>
  </si>
  <si>
    <t>123186</t>
  </si>
  <si>
    <t>128544</t>
  </si>
  <si>
    <t>Torres</t>
  </si>
  <si>
    <t>127658</t>
  </si>
  <si>
    <t>Victoria</t>
  </si>
  <si>
    <t>010042683-8</t>
  </si>
  <si>
    <t>Tu</t>
  </si>
  <si>
    <t>Fanny</t>
  </si>
  <si>
    <t>91780</t>
  </si>
  <si>
    <t>106256</t>
  </si>
  <si>
    <t>Tyron</t>
  </si>
  <si>
    <t>10042755</t>
  </si>
  <si>
    <t>115286</t>
  </si>
  <si>
    <t>10379124</t>
  </si>
  <si>
    <t>Vasquez</t>
  </si>
  <si>
    <t>116072</t>
  </si>
  <si>
    <t>127883</t>
  </si>
  <si>
    <t>Walker</t>
  </si>
  <si>
    <t>91729</t>
  </si>
  <si>
    <t>116760</t>
  </si>
  <si>
    <t>Wallace</t>
  </si>
  <si>
    <t>91741</t>
  </si>
  <si>
    <t>100737</t>
  </si>
  <si>
    <t>Zachary</t>
  </si>
  <si>
    <t>125503</t>
  </si>
  <si>
    <t>100733</t>
  </si>
  <si>
    <t>Warren</t>
  </si>
  <si>
    <t>Melinda</t>
  </si>
  <si>
    <t>114701</t>
  </si>
  <si>
    <t>Watson</t>
  </si>
  <si>
    <t>111109</t>
  </si>
  <si>
    <t>91752</t>
  </si>
  <si>
    <t>125345</t>
  </si>
  <si>
    <t>Weber</t>
  </si>
  <si>
    <t>Nick</t>
  </si>
  <si>
    <t>92374</t>
  </si>
  <si>
    <t>100736</t>
  </si>
  <si>
    <t>Laura</t>
  </si>
  <si>
    <t>115252</t>
  </si>
  <si>
    <t>Robert</t>
  </si>
  <si>
    <t>100876</t>
  </si>
  <si>
    <t>117543</t>
  </si>
  <si>
    <t>Williams</t>
  </si>
  <si>
    <t>123836</t>
  </si>
  <si>
    <t>Wilson</t>
  </si>
  <si>
    <t>112326</t>
  </si>
  <si>
    <t>Matthew</t>
  </si>
  <si>
    <t>100484.</t>
  </si>
  <si>
    <t>Gary</t>
  </si>
  <si>
    <t>90015</t>
  </si>
  <si>
    <t>128955</t>
  </si>
  <si>
    <t>Woods</t>
  </si>
  <si>
    <t>100615</t>
  </si>
  <si>
    <t>Woodward</t>
  </si>
  <si>
    <t>Maddy</t>
  </si>
  <si>
    <t>104672</t>
  </si>
  <si>
    <t>Worcester</t>
  </si>
  <si>
    <t>Dylan</t>
  </si>
  <si>
    <t>104129</t>
  </si>
  <si>
    <t>Wunner</t>
  </si>
  <si>
    <t>Kimberly</t>
  </si>
  <si>
    <t>100645</t>
  </si>
  <si>
    <t>Wurzer</t>
  </si>
  <si>
    <t>John</t>
  </si>
  <si>
    <t>106574</t>
  </si>
  <si>
    <t>126533</t>
  </si>
  <si>
    <t>Yeager-Farfan</t>
  </si>
  <si>
    <t>120137</t>
  </si>
  <si>
    <t>111410</t>
  </si>
  <si>
    <t>Sean</t>
  </si>
  <si>
    <t>92503</t>
  </si>
  <si>
    <t>117821</t>
  </si>
  <si>
    <t>Natalia</t>
  </si>
  <si>
    <t>91506</t>
  </si>
  <si>
    <t>121176</t>
  </si>
  <si>
    <t>Zaldana</t>
  </si>
  <si>
    <t>113616</t>
  </si>
  <si>
    <t>Zamora</t>
  </si>
  <si>
    <t>Efren</t>
  </si>
  <si>
    <t>114078</t>
  </si>
  <si>
    <t>Zepeda</t>
  </si>
  <si>
    <t>116988</t>
  </si>
  <si>
    <t>Ziska</t>
  </si>
  <si>
    <t>122358</t>
  </si>
  <si>
    <t>Regular Staff</t>
  </si>
  <si>
    <t>Avis</t>
  </si>
  <si>
    <t>Hinkson</t>
  </si>
  <si>
    <t xml:space="preserve">Deborah </t>
  </si>
  <si>
    <t xml:space="preserve">De Escobar </t>
  </si>
  <si>
    <t>Temporary Staff</t>
  </si>
  <si>
    <t>010126965-1</t>
  </si>
  <si>
    <t>Sasha</t>
  </si>
  <si>
    <t>Matthews</t>
  </si>
  <si>
    <t xml:space="preserve">Zoë </t>
  </si>
  <si>
    <t xml:space="preserve">Kelly </t>
  </si>
  <si>
    <t xml:space="preserve">Raye </t>
  </si>
  <si>
    <t>Angie</t>
  </si>
  <si>
    <t>Wang</t>
  </si>
  <si>
    <t>Tray</t>
  </si>
  <si>
    <t>hakinna</t>
  </si>
  <si>
    <t>Staff FY25</t>
  </si>
  <si>
    <t>Tamara</t>
  </si>
  <si>
    <t>Olivos</t>
  </si>
  <si>
    <t>J. 2 Persons in vehicle</t>
  </si>
  <si>
    <t>Marisela</t>
  </si>
  <si>
    <t>Burciaga</t>
  </si>
  <si>
    <t>Cynthia</t>
  </si>
  <si>
    <t>Madrigal</t>
  </si>
  <si>
    <t>Rebekah</t>
  </si>
  <si>
    <t>Warner</t>
  </si>
  <si>
    <t>Esperanza</t>
  </si>
  <si>
    <t>Polanco</t>
  </si>
  <si>
    <t>Cecilia</t>
  </si>
  <si>
    <t>Owen</t>
  </si>
  <si>
    <t>Beth</t>
  </si>
  <si>
    <t>Hubbard</t>
  </si>
  <si>
    <t>Stephan</t>
  </si>
  <si>
    <t>Moss</t>
  </si>
  <si>
    <t>JOHNNY</t>
  </si>
  <si>
    <t>SALAZAR</t>
  </si>
  <si>
    <t>Murphy</t>
  </si>
  <si>
    <t>Hilary</t>
  </si>
  <si>
    <t>LaConte</t>
  </si>
  <si>
    <t xml:space="preserve">Ruben </t>
  </si>
  <si>
    <t>Pei</t>
  </si>
  <si>
    <t>Qin</t>
  </si>
  <si>
    <t>Malcolm</t>
  </si>
  <si>
    <t>Oliver II</t>
  </si>
  <si>
    <t>Herminio</t>
  </si>
  <si>
    <t xml:space="preserve">Johnson </t>
  </si>
  <si>
    <t>Emmanuel</t>
  </si>
  <si>
    <t>Martinez-Camarena</t>
  </si>
  <si>
    <t>Verdin</t>
  </si>
  <si>
    <t>Julius</t>
  </si>
  <si>
    <t>Melendrez</t>
  </si>
  <si>
    <t>Nora</t>
  </si>
  <si>
    <t>Evelyn</t>
  </si>
  <si>
    <t>Khalili</t>
  </si>
  <si>
    <t>Olivia</t>
  </si>
  <si>
    <t>Marquez</t>
  </si>
  <si>
    <t>Berenice</t>
  </si>
  <si>
    <t>Lamas</t>
  </si>
  <si>
    <t>Art</t>
  </si>
  <si>
    <t>Eva</t>
  </si>
  <si>
    <t>Salazar Cermeno</t>
  </si>
  <si>
    <t>Carol</t>
  </si>
  <si>
    <t>Saldivar</t>
  </si>
  <si>
    <t>010373071-1</t>
  </si>
  <si>
    <t>Diana</t>
  </si>
  <si>
    <t>Avalos Alcantara</t>
  </si>
  <si>
    <t>Villanueva</t>
  </si>
  <si>
    <t>Vianette</t>
  </si>
  <si>
    <t>Gomez</t>
  </si>
  <si>
    <t>Hector</t>
  </si>
  <si>
    <t>Diaz</t>
  </si>
  <si>
    <t>010042293-2</t>
  </si>
  <si>
    <t xml:space="preserve">Dalia </t>
  </si>
  <si>
    <t xml:space="preserve">Vasquez </t>
  </si>
  <si>
    <t>Stephanie</t>
  </si>
  <si>
    <t>Navarro</t>
  </si>
  <si>
    <t>Manalo-Pedro</t>
  </si>
  <si>
    <t>Antonio</t>
  </si>
  <si>
    <t>Urenda</t>
  </si>
  <si>
    <t>Towns</t>
  </si>
  <si>
    <t>Noah</t>
  </si>
  <si>
    <t>SHIREEN</t>
  </si>
  <si>
    <t>ASLAN</t>
  </si>
  <si>
    <t>Alfonso</t>
  </si>
  <si>
    <t>Herminio Jr</t>
  </si>
  <si>
    <t>Felipa</t>
  </si>
  <si>
    <t>Sanchez</t>
  </si>
  <si>
    <t>jairo</t>
  </si>
  <si>
    <t>ramirez</t>
  </si>
  <si>
    <t>Alberto</t>
  </si>
  <si>
    <t>Pena mesdina</t>
  </si>
  <si>
    <t>010370088-1</t>
  </si>
  <si>
    <t xml:space="preserve">Jenesis </t>
  </si>
  <si>
    <t>Mary T</t>
  </si>
  <si>
    <t>Rosier</t>
  </si>
  <si>
    <t>Desirre</t>
  </si>
  <si>
    <t>Delaware</t>
  </si>
  <si>
    <t>Aolani</t>
  </si>
  <si>
    <t>Miranda</t>
  </si>
  <si>
    <t>010368507-1</t>
  </si>
  <si>
    <t>Murillo</t>
  </si>
  <si>
    <t>010373799-1</t>
  </si>
  <si>
    <t>K. 3 Persons in vehicle</t>
  </si>
  <si>
    <t>Shedd-Thompson</t>
  </si>
  <si>
    <t>Linda</t>
  </si>
  <si>
    <t>Shimoda</t>
  </si>
  <si>
    <t>Champion</t>
  </si>
  <si>
    <t>Gavin</t>
  </si>
  <si>
    <t>Rosa</t>
  </si>
  <si>
    <t>Ortega</t>
  </si>
  <si>
    <t>010086568-5</t>
  </si>
  <si>
    <t>Rocio</t>
  </si>
  <si>
    <t>Guerrero-Rodruguez</t>
  </si>
  <si>
    <t>Romero</t>
  </si>
  <si>
    <t>Edith</t>
  </si>
  <si>
    <t>Mrilyna</t>
  </si>
  <si>
    <t>Monterroso</t>
  </si>
  <si>
    <t>Cassandra</t>
  </si>
  <si>
    <t>Godinez</t>
  </si>
  <si>
    <t>Mary Lou</t>
  </si>
  <si>
    <t>KJ</t>
  </si>
  <si>
    <t>Kenneth</t>
  </si>
  <si>
    <t>Bowen</t>
  </si>
  <si>
    <t xml:space="preserve">Domecillo </t>
  </si>
  <si>
    <t>Roccia</t>
  </si>
  <si>
    <t>Mac</t>
  </si>
  <si>
    <t>Hardy</t>
  </si>
  <si>
    <t>Richardson</t>
  </si>
  <si>
    <t>Juan Carlos</t>
  </si>
  <si>
    <t>Alicia</t>
  </si>
  <si>
    <t>Lily</t>
  </si>
  <si>
    <t>Gutknecht</t>
  </si>
  <si>
    <t>010373104-3</t>
  </si>
  <si>
    <t>Rolando</t>
  </si>
  <si>
    <t>araiza</t>
  </si>
  <si>
    <t xml:space="preserve">Gonzalez </t>
  </si>
  <si>
    <t>Lorraine</t>
  </si>
  <si>
    <t>Irene</t>
  </si>
  <si>
    <t>010043604-7</t>
  </si>
  <si>
    <t xml:space="preserve">Eric </t>
  </si>
  <si>
    <t>Landa</t>
  </si>
  <si>
    <t>Soto</t>
  </si>
  <si>
    <t>Yesenia</t>
  </si>
  <si>
    <t>010360907-2</t>
  </si>
  <si>
    <t xml:space="preserve">Steven </t>
  </si>
  <si>
    <t>010043008-5</t>
  </si>
  <si>
    <t>Fabiola</t>
  </si>
  <si>
    <t>Caldera</t>
  </si>
  <si>
    <t xml:space="preserve">Erick </t>
  </si>
  <si>
    <t xml:space="preserve">Felix </t>
  </si>
  <si>
    <t>Harris</t>
  </si>
  <si>
    <t>Patricia</t>
  </si>
  <si>
    <t>Vest</t>
  </si>
  <si>
    <t>Shelby</t>
  </si>
  <si>
    <t>Yung</t>
  </si>
  <si>
    <t>Gerry</t>
  </si>
  <si>
    <t>Connie</t>
  </si>
  <si>
    <t>Boon</t>
  </si>
  <si>
    <t>Armida</t>
  </si>
  <si>
    <t>Lamanda</t>
  </si>
  <si>
    <t>Darby</t>
  </si>
  <si>
    <t xml:space="preserve">Justine </t>
  </si>
  <si>
    <t>Bias</t>
  </si>
  <si>
    <t>Nearhoff</t>
  </si>
  <si>
    <t>Janel</t>
  </si>
  <si>
    <t>Hastings</t>
  </si>
  <si>
    <t>Aaron</t>
  </si>
  <si>
    <t>Archer</t>
  </si>
  <si>
    <t xml:space="preserve">Gregory </t>
  </si>
  <si>
    <t xml:space="preserve">GroverG </t>
  </si>
  <si>
    <t>Paulina</t>
  </si>
  <si>
    <t>Pimentel-Mora</t>
  </si>
  <si>
    <t>Rhonda</t>
  </si>
  <si>
    <t>Fonseca</t>
  </si>
  <si>
    <t>kristen</t>
  </si>
  <si>
    <t>mccoy</t>
  </si>
  <si>
    <t xml:space="preserve">Michael </t>
  </si>
  <si>
    <t xml:space="preserve">Binney </t>
  </si>
  <si>
    <t xml:space="preserve">Guevara </t>
  </si>
  <si>
    <t xml:space="preserve">Kevin </t>
  </si>
  <si>
    <t xml:space="preserve">Lacey </t>
  </si>
  <si>
    <t>L10282893</t>
  </si>
  <si>
    <t>phuong</t>
  </si>
  <si>
    <t>thai</t>
  </si>
  <si>
    <t xml:space="preserve">Garrison </t>
  </si>
  <si>
    <t xml:space="preserve">Brown-Pettay </t>
  </si>
  <si>
    <t>Sandra</t>
  </si>
  <si>
    <t>Lundergan Price</t>
  </si>
  <si>
    <t>Benny</t>
  </si>
  <si>
    <t xml:space="preserve">Vargas </t>
  </si>
  <si>
    <t>010043568-4</t>
  </si>
  <si>
    <t>Brendan</t>
  </si>
  <si>
    <t>Fitzgerald</t>
  </si>
  <si>
    <t>Goddess</t>
  </si>
  <si>
    <t>Pono</t>
  </si>
  <si>
    <t xml:space="preserve">Juarez </t>
  </si>
  <si>
    <t>010344488-4</t>
  </si>
  <si>
    <t xml:space="preserve">Patricia </t>
  </si>
  <si>
    <t xml:space="preserve">Montano </t>
  </si>
  <si>
    <t>010374117-1</t>
  </si>
  <si>
    <t>010366654-1</t>
  </si>
  <si>
    <t>Augustine</t>
  </si>
  <si>
    <t>Marvin</t>
  </si>
  <si>
    <t>Love</t>
  </si>
  <si>
    <t>Roth</t>
  </si>
  <si>
    <t xml:space="preserve">White </t>
  </si>
  <si>
    <t>Carballo</t>
  </si>
  <si>
    <t>010042376-1</t>
  </si>
  <si>
    <t>Villegas</t>
  </si>
  <si>
    <t xml:space="preserve">Victoria </t>
  </si>
  <si>
    <t xml:space="preserve">Trejo </t>
  </si>
  <si>
    <t>Dillon</t>
  </si>
  <si>
    <t>Beatriz</t>
  </si>
  <si>
    <t>Tovar</t>
  </si>
  <si>
    <t>Kristi</t>
  </si>
  <si>
    <t>Sanghyun</t>
  </si>
  <si>
    <t>Jeon</t>
  </si>
  <si>
    <t>Rosalinda</t>
  </si>
  <si>
    <t>Gonzales</t>
  </si>
  <si>
    <t>Kylie</t>
  </si>
  <si>
    <t>Almada</t>
  </si>
  <si>
    <t>Monika</t>
  </si>
  <si>
    <t>Johanna</t>
  </si>
  <si>
    <t>Viet</t>
  </si>
  <si>
    <t>Pham</t>
  </si>
  <si>
    <t>Mackenzie</t>
  </si>
  <si>
    <t>Rojer</t>
  </si>
  <si>
    <t>YINYING</t>
  </si>
  <si>
    <t>TSE</t>
  </si>
  <si>
    <t>Tessier</t>
  </si>
  <si>
    <t>Joey</t>
  </si>
  <si>
    <t>Metzinger</t>
  </si>
  <si>
    <t>010373088-2</t>
  </si>
  <si>
    <t xml:space="preserve">David </t>
  </si>
  <si>
    <t>Liesenfelt</t>
  </si>
  <si>
    <t>Ceara</t>
  </si>
  <si>
    <t>Rodriquez</t>
  </si>
  <si>
    <t>Mariebeth</t>
  </si>
  <si>
    <t>Ocampo</t>
  </si>
  <si>
    <t>Dana</t>
  </si>
  <si>
    <t>Wood</t>
  </si>
  <si>
    <t>010097482-1</t>
  </si>
  <si>
    <t>0103562288-5</t>
  </si>
  <si>
    <t>Sharon</t>
  </si>
  <si>
    <t>Kuhn</t>
  </si>
  <si>
    <t xml:space="preserve">Araceli </t>
  </si>
  <si>
    <t>Uribe</t>
  </si>
  <si>
    <t>010366794-6</t>
  </si>
  <si>
    <t>Alejandro</t>
  </si>
  <si>
    <t>Gonzalez-uribe</t>
  </si>
  <si>
    <t>010372005-1</t>
  </si>
  <si>
    <t>Frank</t>
  </si>
  <si>
    <t>Castrejon</t>
  </si>
  <si>
    <t xml:space="preserve">Teddy </t>
  </si>
  <si>
    <t xml:space="preserve">Delaware </t>
  </si>
  <si>
    <t>Longe</t>
  </si>
  <si>
    <t>Roderico</t>
  </si>
  <si>
    <t>Meono</t>
  </si>
  <si>
    <t>010284832-4</t>
  </si>
  <si>
    <t xml:space="preserve">Francisca </t>
  </si>
  <si>
    <t xml:space="preserve">Reyes </t>
  </si>
  <si>
    <t>T. 12 Persons in vehicle</t>
  </si>
  <si>
    <t>L. 4 Persons in vehicle</t>
  </si>
  <si>
    <t>Patrick</t>
  </si>
  <si>
    <t>Flannery</t>
  </si>
  <si>
    <t>catherine</t>
  </si>
  <si>
    <t>hicks</t>
  </si>
  <si>
    <t>macy</t>
  </si>
  <si>
    <t>spell</t>
  </si>
  <si>
    <t>Rudy</t>
  </si>
  <si>
    <t>Velasquez</t>
  </si>
  <si>
    <t xml:space="preserve">Rebecca </t>
  </si>
  <si>
    <t>Roark</t>
  </si>
  <si>
    <t>Jean</t>
  </si>
  <si>
    <t>Saito</t>
  </si>
  <si>
    <t>Mejia</t>
  </si>
  <si>
    <t>Rigo</t>
  </si>
  <si>
    <t>Zavala</t>
  </si>
  <si>
    <t>010372971-1</t>
  </si>
  <si>
    <t>Chris</t>
  </si>
  <si>
    <t>Schabow</t>
  </si>
  <si>
    <t>Orlando</t>
  </si>
  <si>
    <t>Maribel</t>
  </si>
  <si>
    <t>Nava</t>
  </si>
  <si>
    <t xml:space="preserve">Yvonne </t>
  </si>
  <si>
    <t>010042600-4</t>
  </si>
  <si>
    <t>Ally</t>
  </si>
  <si>
    <t>Olga</t>
  </si>
  <si>
    <t>Valdez</t>
  </si>
  <si>
    <t>Beron</t>
  </si>
  <si>
    <t>Marty</t>
  </si>
  <si>
    <t>Black</t>
  </si>
  <si>
    <t>Carolina</t>
  </si>
  <si>
    <t>Serl</t>
  </si>
  <si>
    <t>Alecza</t>
  </si>
  <si>
    <t>Abary</t>
  </si>
  <si>
    <t>LAWRENCE</t>
  </si>
  <si>
    <t>YOUHANNA</t>
  </si>
  <si>
    <t>Kelsea</t>
  </si>
  <si>
    <t>Andrade</t>
  </si>
  <si>
    <t>Eddie</t>
  </si>
  <si>
    <t>Chims</t>
  </si>
  <si>
    <t>JERE</t>
  </si>
  <si>
    <t xml:space="preserve">Jose </t>
  </si>
  <si>
    <t>Castro</t>
  </si>
  <si>
    <t>Gleason</t>
  </si>
  <si>
    <t>010042344-3</t>
  </si>
  <si>
    <t>Dequan</t>
  </si>
  <si>
    <t>Foreman</t>
  </si>
  <si>
    <t>010370113-1</t>
  </si>
  <si>
    <t xml:space="preserve">Margarita </t>
  </si>
  <si>
    <t>D10143996</t>
  </si>
  <si>
    <t xml:space="preserve">Lozano </t>
  </si>
  <si>
    <t xml:space="preserve">Dennys </t>
  </si>
  <si>
    <t xml:space="preserve">Bustamante </t>
  </si>
  <si>
    <t>Merial</t>
  </si>
  <si>
    <t xml:space="preserve">Hernandez </t>
  </si>
  <si>
    <t>Ariel</t>
  </si>
  <si>
    <t>Paredes</t>
  </si>
  <si>
    <t>Haith</t>
  </si>
  <si>
    <t>Denisse</t>
  </si>
  <si>
    <t>Escobar</t>
  </si>
  <si>
    <t>010347849-3</t>
  </si>
  <si>
    <t>Jorge</t>
  </si>
  <si>
    <t>Montoya</t>
  </si>
  <si>
    <t xml:space="preserve">Giorgi </t>
  </si>
  <si>
    <t>adaly</t>
  </si>
  <si>
    <t>martinez</t>
  </si>
  <si>
    <t>Marco</t>
  </si>
  <si>
    <t>Uvaldo</t>
  </si>
  <si>
    <t xml:space="preserve">María </t>
  </si>
  <si>
    <t>Danielle</t>
  </si>
  <si>
    <t>Welsh</t>
  </si>
  <si>
    <t>010358117-1</t>
  </si>
  <si>
    <t xml:space="preserve">Mirna </t>
  </si>
  <si>
    <t xml:space="preserve">Ruvalcaba </t>
  </si>
  <si>
    <t>010254071-2</t>
  </si>
  <si>
    <t>Oscar</t>
  </si>
  <si>
    <t>Thompson</t>
  </si>
  <si>
    <t>Milton</t>
  </si>
  <si>
    <t>010354551-3</t>
  </si>
  <si>
    <t>Phoebe</t>
  </si>
  <si>
    <t>Oelheim</t>
  </si>
  <si>
    <t xml:space="preserve">Angelica </t>
  </si>
  <si>
    <t>Dominguez</t>
  </si>
  <si>
    <t>Cabrera</t>
  </si>
  <si>
    <t>Ana</t>
  </si>
  <si>
    <t>Ahumada</t>
  </si>
  <si>
    <t xml:space="preserve">Estrada </t>
  </si>
  <si>
    <t>010368531-3</t>
  </si>
  <si>
    <t>Doreen</t>
  </si>
  <si>
    <t>Thode</t>
  </si>
  <si>
    <t>Hines</t>
  </si>
  <si>
    <t>Galindo</t>
  </si>
  <si>
    <t xml:space="preserve">Jesus </t>
  </si>
  <si>
    <t xml:space="preserve">Galindo </t>
  </si>
  <si>
    <t>910042335-5</t>
  </si>
  <si>
    <t>Andres</t>
  </si>
  <si>
    <t xml:space="preserve">Maura </t>
  </si>
  <si>
    <t>Rojas</t>
  </si>
  <si>
    <t>Jacob</t>
  </si>
  <si>
    <t>theresa maria</t>
  </si>
  <si>
    <t>liwanag</t>
  </si>
  <si>
    <t>Jenny</t>
  </si>
  <si>
    <t>Monge</t>
  </si>
  <si>
    <t xml:space="preserve">Olga </t>
  </si>
  <si>
    <t>Rios</t>
  </si>
  <si>
    <t>Mari</t>
  </si>
  <si>
    <t>Ruben</t>
  </si>
  <si>
    <t xml:space="preserve">Samuel </t>
  </si>
  <si>
    <t>Salvador</t>
  </si>
  <si>
    <t>Shalonda</t>
  </si>
  <si>
    <t>Melgosa</t>
  </si>
  <si>
    <t>010355891-1</t>
  </si>
  <si>
    <t>010373419-1</t>
  </si>
  <si>
    <t>Liz</t>
  </si>
  <si>
    <t>Aimee</t>
  </si>
  <si>
    <t>010374118-B</t>
  </si>
  <si>
    <t xml:space="preserve">Calvin </t>
  </si>
  <si>
    <t>Derrick</t>
  </si>
  <si>
    <t>Fang</t>
  </si>
  <si>
    <t xml:space="preserve">Amber </t>
  </si>
  <si>
    <t xml:space="preserve">Fletcher </t>
  </si>
  <si>
    <t>010372677-1</t>
  </si>
  <si>
    <t>Allen</t>
  </si>
  <si>
    <t>Lu</t>
  </si>
  <si>
    <t>Blaisdell</t>
  </si>
  <si>
    <t>Castaneda</t>
  </si>
  <si>
    <t>Omar</t>
  </si>
  <si>
    <t xml:space="preserve">Maria </t>
  </si>
  <si>
    <t xml:space="preserve">Alvarez </t>
  </si>
  <si>
    <t>010163323-7</t>
  </si>
  <si>
    <t>Khachatoorian</t>
  </si>
  <si>
    <t>Marissa</t>
  </si>
  <si>
    <t>Plati</t>
  </si>
  <si>
    <t>Leslie</t>
  </si>
  <si>
    <t>Nunez</t>
  </si>
  <si>
    <t>010375229-1</t>
  </si>
  <si>
    <t>Nathalie</t>
  </si>
  <si>
    <t>Robyn</t>
  </si>
  <si>
    <t>Norwood</t>
  </si>
  <si>
    <t>Wilkins</t>
  </si>
  <si>
    <t>Josephine</t>
  </si>
  <si>
    <t>Lo</t>
  </si>
  <si>
    <t>Erin</t>
  </si>
  <si>
    <t>Collins</t>
  </si>
  <si>
    <t>Valeria</t>
  </si>
  <si>
    <t>Mazur</t>
  </si>
  <si>
    <t>Blanca</t>
  </si>
  <si>
    <t>a amaya</t>
  </si>
  <si>
    <t>LaCroix</t>
  </si>
  <si>
    <t>Emilio</t>
  </si>
  <si>
    <t>Trigueros</t>
  </si>
  <si>
    <t xml:space="preserve">Edwin </t>
  </si>
  <si>
    <t xml:space="preserve">Alvarado </t>
  </si>
  <si>
    <t>Balvaneda</t>
  </si>
  <si>
    <t>010373051-1</t>
  </si>
  <si>
    <t>McNeil</t>
  </si>
  <si>
    <t>M. 5 Persons in vehicle</t>
  </si>
  <si>
    <t>N. 6 Persons in vehicle</t>
  </si>
  <si>
    <t>O. 7 Persons in vehicle</t>
  </si>
  <si>
    <t>P. 8 Persons in vehicle</t>
  </si>
  <si>
    <t>Q. 9 Persons in vehicle</t>
  </si>
  <si>
    <t>R. 10 Persons in vehicle</t>
  </si>
  <si>
    <t>S. 11 Persons in vehicle</t>
  </si>
  <si>
    <t>U. 13 Persons in vehicle</t>
  </si>
  <si>
    <t>V. 14 Persons in vehicle</t>
  </si>
  <si>
    <t>W. 15 Persons in vehicle</t>
  </si>
  <si>
    <t>Bailey</t>
  </si>
  <si>
    <t>Lee</t>
  </si>
  <si>
    <t>Stephen</t>
  </si>
  <si>
    <t>Vanessa</t>
  </si>
  <si>
    <t>Alma</t>
  </si>
  <si>
    <t>Aya</t>
  </si>
  <si>
    <t>Nakagoshi</t>
  </si>
  <si>
    <t>MilesToWork</t>
  </si>
  <si>
    <t>Alexandra</t>
  </si>
  <si>
    <t>V. Telecommute</t>
  </si>
  <si>
    <t>C. 2 Persons in vehicle</t>
  </si>
  <si>
    <t>A. Drive Alone</t>
  </si>
  <si>
    <t>Survey Responce Key From FY14-FY22</t>
  </si>
  <si>
    <t>B. Motorcycle</t>
  </si>
  <si>
    <t>D. 3 Persons in vehicle</t>
  </si>
  <si>
    <t>E. 4 Persons in vehicle</t>
  </si>
  <si>
    <t>U. Zero Emission Vehicle (No Hybrids)</t>
  </si>
  <si>
    <t>F. 5 Persons in vehicle</t>
  </si>
  <si>
    <t>G. 6 Persons in vehicle</t>
  </si>
  <si>
    <t>H. 7 Persons in vehicle</t>
  </si>
  <si>
    <t>I. 8 Persons in vehicle</t>
  </si>
  <si>
    <t>J. 9 Persons in vehicle</t>
  </si>
  <si>
    <t>K. 10 Persons in vehicle</t>
  </si>
  <si>
    <t>L. 11 Persons in vehicle</t>
  </si>
  <si>
    <t>M. 12 Persons in vehicle</t>
  </si>
  <si>
    <t>R. Rail / Plane</t>
  </si>
  <si>
    <t>N. 13 Persons in vehicle</t>
  </si>
  <si>
    <t>O. 14 Persons in vehicle</t>
  </si>
  <si>
    <t>P. 15 Persons in vehicle</t>
  </si>
  <si>
    <t>Q. Bus</t>
  </si>
  <si>
    <t>S. Walk</t>
  </si>
  <si>
    <t>T. Bicycle</t>
  </si>
  <si>
    <t>W. Noncommuting</t>
  </si>
  <si>
    <t>01036856‚Äì</t>
  </si>
  <si>
    <t>Liu</t>
  </si>
  <si>
    <t>Lucy</t>
  </si>
  <si>
    <t>10042924-</t>
  </si>
  <si>
    <t>Gaines</t>
  </si>
  <si>
    <t>Ben</t>
  </si>
  <si>
    <t>Keim</t>
  </si>
  <si>
    <t>Richard</t>
  </si>
  <si>
    <t>Hardin</t>
  </si>
  <si>
    <t>Marisa</t>
  </si>
  <si>
    <t>Gamans</t>
  </si>
  <si>
    <t>Survey Responce Key (FY18-FY22)</t>
  </si>
  <si>
    <t>Total staff count (pre furlough)</t>
  </si>
  <si>
    <t>X. 3/36 Work week</t>
  </si>
  <si>
    <t>91711-1874</t>
  </si>
  <si>
    <t>Temporary Staff (Including CGU &amp; KGI)</t>
  </si>
  <si>
    <t>90043-3052</t>
  </si>
  <si>
    <t>90814-1933</t>
  </si>
  <si>
    <t>90065-3648</t>
  </si>
  <si>
    <t>90242-4239</t>
  </si>
  <si>
    <t>90601-2967</t>
  </si>
  <si>
    <t>92706-2525</t>
  </si>
  <si>
    <t>91107-5915</t>
  </si>
  <si>
    <t>92805-2418</t>
  </si>
  <si>
    <t>90609-1512</t>
  </si>
  <si>
    <t>91104-1419</t>
  </si>
  <si>
    <t>92336-0845</t>
  </si>
  <si>
    <t>91702-9170</t>
  </si>
  <si>
    <t>91765-4613</t>
  </si>
  <si>
    <t>91724-1243</t>
  </si>
  <si>
    <t>91701-5222</t>
  </si>
  <si>
    <t>91773-3609</t>
  </si>
  <si>
    <t>91784-1295</t>
  </si>
  <si>
    <t>91750-3925</t>
  </si>
  <si>
    <t>91711-2824</t>
  </si>
  <si>
    <t>91711-3220</t>
  </si>
  <si>
    <t>91711-3551</t>
  </si>
  <si>
    <t>91786-1873</t>
  </si>
  <si>
    <t>BYE YEAR, NO NEW SURVEY DATA</t>
  </si>
  <si>
    <t>Department</t>
  </si>
  <si>
    <t>90066-9006</t>
  </si>
  <si>
    <t>92325-9232</t>
  </si>
  <si>
    <t>90211-9021</t>
  </si>
  <si>
    <t>92557-9255</t>
  </si>
  <si>
    <t>91001-1554</t>
  </si>
  <si>
    <t>90606-28</t>
  </si>
  <si>
    <t>91104-9110</t>
  </si>
  <si>
    <t>91024-1308</t>
  </si>
  <si>
    <t>91706-5307</t>
  </si>
  <si>
    <t>91711-9171</t>
  </si>
  <si>
    <t>91784-8063</t>
  </si>
  <si>
    <t>91730-7478</t>
  </si>
  <si>
    <t>91784-9178</t>
  </si>
  <si>
    <t>91786-2563</t>
  </si>
  <si>
    <t>91784-1292</t>
  </si>
  <si>
    <t>91750-9175</t>
  </si>
  <si>
    <t>91711-1917</t>
  </si>
  <si>
    <t>91711-5434</t>
  </si>
  <si>
    <t>91711-4404</t>
  </si>
  <si>
    <t>44052-4405</t>
  </si>
  <si>
    <t>00000-9006</t>
  </si>
  <si>
    <t>91505-3028</t>
  </si>
  <si>
    <t>91105-2163</t>
  </si>
  <si>
    <t>92883-0605</t>
  </si>
  <si>
    <t>91107-2618</t>
  </si>
  <si>
    <t>92336-4589</t>
  </si>
  <si>
    <t>91706-5607</t>
  </si>
  <si>
    <t>91765-4510</t>
  </si>
  <si>
    <t>91701-1220</t>
  </si>
  <si>
    <t>91784-1684</t>
  </si>
  <si>
    <t>91762-9176</t>
  </si>
  <si>
    <t>91711-1436</t>
  </si>
  <si>
    <t>91711-6214</t>
  </si>
  <si>
    <t>91711-5563</t>
  </si>
  <si>
    <t>91767-9176</t>
  </si>
  <si>
    <t>91711-5703</t>
  </si>
  <si>
    <t>91711-4429</t>
  </si>
  <si>
    <t>91711-2726</t>
  </si>
  <si>
    <t>Survey Responce Key (FY14, FY16, FY18-FY22)</t>
  </si>
  <si>
    <t>MilesToWork (one way)</t>
  </si>
  <si>
    <t>Monday</t>
  </si>
  <si>
    <t>Tuesday</t>
  </si>
  <si>
    <t>Wednesday</t>
  </si>
  <si>
    <t>Thursday</t>
  </si>
  <si>
    <t>Friday</t>
  </si>
  <si>
    <t>S. Walked, bicycled, skate boarded</t>
  </si>
  <si>
    <t>A. Drove alone</t>
  </si>
  <si>
    <t>OFF. Did not come to campus</t>
  </si>
  <si>
    <t>FY15 Survey Response Key</t>
  </si>
  <si>
    <t>C. Carpool (2+ in vehicle)</t>
  </si>
  <si>
    <t>R. Train/ Plane</t>
  </si>
  <si>
    <t>B. Drove alone</t>
  </si>
  <si>
    <t>Y. 4/40 Work Week Days Off</t>
  </si>
  <si>
    <t>Y. 4/40 Work Week</t>
  </si>
  <si>
    <t>SCAQMD Employee Commute Reduction Program</t>
  </si>
  <si>
    <t>Annual Commute Survey</t>
  </si>
  <si>
    <t>Pomona College 2024</t>
  </si>
  <si>
    <t>Site ID#: 44119</t>
  </si>
  <si>
    <t>Window Start:</t>
  </si>
  <si>
    <t>AM</t>
  </si>
  <si>
    <t>Emp. In Window:</t>
  </si>
  <si>
    <t>Survey Week:</t>
  </si>
  <si>
    <t>Window End:</t>
  </si>
  <si>
    <t>Emp. Out of Window:</t>
  </si>
  <si>
    <t>To:</t>
  </si>
  <si>
    <t xml:space="preserve"> </t>
  </si>
  <si>
    <t>MONDAY</t>
  </si>
  <si>
    <t>TUESDAY</t>
  </si>
  <si>
    <t>WEDNESDAY</t>
  </si>
  <si>
    <t>THURSDAY</t>
  </si>
  <si>
    <t>FRIDAY</t>
  </si>
  <si>
    <t>MonStartTime</t>
  </si>
  <si>
    <t>TueStartTime</t>
  </si>
  <si>
    <t>WedStartTime</t>
  </si>
  <si>
    <t>ThuStartTime</t>
  </si>
  <si>
    <t>FriStartTime</t>
  </si>
  <si>
    <t>In Window</t>
  </si>
  <si>
    <t>Survey Submit Date</t>
  </si>
  <si>
    <t>4/1/2024, 8:42:00 AM</t>
  </si>
  <si>
    <t>DiPucchio</t>
  </si>
  <si>
    <t>Faculty</t>
  </si>
  <si>
    <t>4/4/2024, 3:21:24 PM</t>
  </si>
  <si>
    <t>4/4/2024, 3:21:29 PM</t>
  </si>
  <si>
    <t>Tannenbaum</t>
  </si>
  <si>
    <t>4/4/2024, 3:21:58 PM</t>
  </si>
  <si>
    <t>4/4/2024, 3:22:53 PM</t>
  </si>
  <si>
    <t>4/4/2024, 3:23:01 PM</t>
  </si>
  <si>
    <t>4/4/2024, 3:23:48 PM</t>
  </si>
  <si>
    <t>sharon</t>
  </si>
  <si>
    <t>goto</t>
  </si>
  <si>
    <t>4/4/2024, 3:24:04 PM</t>
  </si>
  <si>
    <t>4/4/2024, 3:24:43 PM</t>
  </si>
  <si>
    <t>4/4/2024, 3:25:39 PM</t>
  </si>
  <si>
    <t>4/4/2024, 3:25:49 PM</t>
  </si>
  <si>
    <t>Hans</t>
  </si>
  <si>
    <t>Rindisbacher</t>
  </si>
  <si>
    <t>4/4/2024, 3:25:54 PM</t>
  </si>
  <si>
    <t>4/4/2024, 3:25:58 PM</t>
  </si>
  <si>
    <t>4/4/2024, 3:26:18 PM</t>
  </si>
  <si>
    <t>4/4/2024, 3:26:40 PM</t>
  </si>
  <si>
    <t>4/4/2024, 3:27:46 PM</t>
  </si>
  <si>
    <t>4/4/2024, 3:27:50 PM</t>
  </si>
  <si>
    <t>4/4/2024, 3:27:52 PM</t>
  </si>
  <si>
    <t>4/4/2024, 3:27:54 PM</t>
  </si>
  <si>
    <t>4/4/2024, 3:28:47 PM</t>
  </si>
  <si>
    <t>4/4/2024, 3:29:26 PM</t>
  </si>
  <si>
    <t>Dettmar</t>
  </si>
  <si>
    <t>4/4/2024, 3:30:05 PM</t>
  </si>
  <si>
    <t>4/4/2024, 3:31:23 PM</t>
  </si>
  <si>
    <t>Papoutsaki</t>
  </si>
  <si>
    <t>4/4/2024, 3:33:39 PM</t>
  </si>
  <si>
    <t>4/4/2024, 3:35:43 PM</t>
  </si>
  <si>
    <t>4/4/2024, 3:35:52 PM</t>
  </si>
  <si>
    <t>4/4/2024, 3:37:06 PM</t>
  </si>
  <si>
    <t>4/4/2024, 3:38:30 PM</t>
  </si>
  <si>
    <t>4/4/2024, 3:39:10 PM</t>
  </si>
  <si>
    <t>4/4/2024, 3:40:08 PM</t>
  </si>
  <si>
    <t>4/4/2024, 3:40:21 PM</t>
  </si>
  <si>
    <t>4/4/2024, 3:41:45 PM</t>
  </si>
  <si>
    <t>4/4/2024, 3:42:30 PM</t>
  </si>
  <si>
    <t>4/4/2024, 3:44:29 PM</t>
  </si>
  <si>
    <t>4/4/2024, 3:47:10 PM</t>
  </si>
  <si>
    <t>4/4/2024, 3:47:37 PM</t>
  </si>
  <si>
    <t>4/4/2024, 3:48:59 PM</t>
  </si>
  <si>
    <t>4/4/2024, 3:53:12 PM</t>
  </si>
  <si>
    <t>4/4/2024, 3:57:20 PM</t>
  </si>
  <si>
    <t>Genevieve</t>
  </si>
  <si>
    <t>4/4/2024, 3:58:39 PM</t>
  </si>
  <si>
    <t>4/4/2024, 3:59:05 PM</t>
  </si>
  <si>
    <t>4/4/2024, 4:03:36 PM</t>
  </si>
  <si>
    <t>Steinberger</t>
  </si>
  <si>
    <t>4/4/2024, 4:04:01 PM</t>
  </si>
  <si>
    <t>4/4/2024, 4:05:48 PM</t>
  </si>
  <si>
    <t>4/4/2024, 4:06:25 PM</t>
  </si>
  <si>
    <t>4/4/2024, 4:10:38 PM</t>
  </si>
  <si>
    <t>4/4/2024, 4:12:16 PM</t>
  </si>
  <si>
    <t>4/4/2024, 4:16:23 PM</t>
  </si>
  <si>
    <t>4/4/2024, 4:18:06 PM</t>
  </si>
  <si>
    <t>4/4/2024, 4:18:52 PM</t>
  </si>
  <si>
    <t>4/4/2024, 4:21:17 PM</t>
  </si>
  <si>
    <t>4/4/2024, 4:21:36 PM</t>
  </si>
  <si>
    <t>Gizem</t>
  </si>
  <si>
    <t>Karaali</t>
  </si>
  <si>
    <t>4/4/2024, 4:24:49 PM</t>
  </si>
  <si>
    <t>Joanna</t>
  </si>
  <si>
    <t>Dyl</t>
  </si>
  <si>
    <t>4/4/2024, 4:26:41 PM</t>
  </si>
  <si>
    <t>4/4/2024, 4:28:09 PM</t>
  </si>
  <si>
    <t>4/4/2024, 4:28:37 PM</t>
  </si>
  <si>
    <t>4/4/2024, 4:35:49 PM</t>
  </si>
  <si>
    <t>4/4/2024, 4:35:56 PM</t>
  </si>
  <si>
    <t>Jingyi</t>
  </si>
  <si>
    <t>Li</t>
  </si>
  <si>
    <t>4/4/2024, 4:37:18 PM</t>
  </si>
  <si>
    <t>4/4/2024, 4:41:24 PM</t>
  </si>
  <si>
    <t>Virginie</t>
  </si>
  <si>
    <t>Pouzet-Duzer</t>
  </si>
  <si>
    <t>4/4/2024, 4:51:07 PM</t>
  </si>
  <si>
    <t>4/4/2024, 4:57:34 PM</t>
  </si>
  <si>
    <t>4/4/2024, 5:05:45 PM</t>
  </si>
  <si>
    <t>4/4/2024, 5:13:53 PM</t>
  </si>
  <si>
    <t>4/4/2024, 5:22:15 PM</t>
  </si>
  <si>
    <t>4/4/2024, 5:36:22 PM</t>
  </si>
  <si>
    <t>Glater</t>
  </si>
  <si>
    <t>4/4/2024, 7:39:11 PM</t>
  </si>
  <si>
    <t>Malte</t>
  </si>
  <si>
    <t>Dold</t>
  </si>
  <si>
    <t>010361283-1</t>
  </si>
  <si>
    <t>4/4/2024, 7:40:22 PM</t>
  </si>
  <si>
    <t>4/4/2024, 7:45:13 PM</t>
  </si>
  <si>
    <t>Koenig</t>
  </si>
  <si>
    <t>010042972-1</t>
  </si>
  <si>
    <t>4/4/2024, 8:05:45 PM</t>
  </si>
  <si>
    <t>4/4/2024, 8:20:51 PM</t>
  </si>
  <si>
    <t>Allan</t>
  </si>
  <si>
    <t>Barr</t>
  </si>
  <si>
    <t>4/4/2024, 8:42:22 PM</t>
  </si>
  <si>
    <t xml:space="preserve">Kun </t>
  </si>
  <si>
    <t>Nie</t>
  </si>
  <si>
    <t>4/4/2024, 11:04:03 PM</t>
  </si>
  <si>
    <t>4/5/2024, 6:39:41 AM</t>
  </si>
  <si>
    <t>McWilliams Barndt</t>
  </si>
  <si>
    <t>4/5/2024, 6:47:29 AM</t>
  </si>
  <si>
    <t>4/5/2024, 7:42:52 AM</t>
  </si>
  <si>
    <t>4/5/2024, 7:44:08 AM</t>
  </si>
  <si>
    <t>4/5/2024, 7:50:43 AM</t>
  </si>
  <si>
    <t>4/5/2024, 7:54:59 AM</t>
  </si>
  <si>
    <t>4/5/2024, 7:55:59 AM</t>
  </si>
  <si>
    <t>4/5/2024, 7:56:29 AM</t>
  </si>
  <si>
    <t>Chinn</t>
  </si>
  <si>
    <t>4/5/2024, 8:00:40 AM</t>
  </si>
  <si>
    <t>4/5/2024, 8:01:21 AM</t>
  </si>
  <si>
    <t>4/5/2024, 8:21:36 AM</t>
  </si>
  <si>
    <t>4/5/2024, 8:24:19 AM</t>
  </si>
  <si>
    <t>4/5/2024, 8:28:28 AM</t>
  </si>
  <si>
    <t>4/5/2024, 8:31:01 AM</t>
  </si>
  <si>
    <t>4/5/2024, 8:33:13 AM</t>
  </si>
  <si>
    <t>4/5/2024, 8:33:42 AM</t>
  </si>
  <si>
    <t>Tzu-Yi</t>
  </si>
  <si>
    <t>Chen</t>
  </si>
  <si>
    <t>4/5/2024, 9:00:55 AM</t>
  </si>
  <si>
    <t>4/5/2024, 9:05:45 AM</t>
  </si>
  <si>
    <t>4/5/2024, 9:14:17 AM</t>
  </si>
  <si>
    <t>maddalena</t>
  </si>
  <si>
    <t>poli</t>
  </si>
  <si>
    <t>4/5/2024, 9:21:34 AM</t>
  </si>
  <si>
    <t>Graff</t>
  </si>
  <si>
    <t>101096240-2</t>
  </si>
  <si>
    <t>4/5/2024, 9:32:07 AM</t>
  </si>
  <si>
    <t>4/5/2024, 9:32:41 AM</t>
  </si>
  <si>
    <t>Klein</t>
  </si>
  <si>
    <t>4/5/2024, 9:41:10 AM</t>
  </si>
  <si>
    <t>4/5/2024, 9:41:32 AM</t>
  </si>
  <si>
    <t>4/5/2024, 9:42:00 AM</t>
  </si>
  <si>
    <t>4/5/2024, 9:47:49 AM</t>
  </si>
  <si>
    <t>4/5/2024, 9:49:29 AM</t>
  </si>
  <si>
    <t>Kearney</t>
  </si>
  <si>
    <t>Pomona Student</t>
  </si>
  <si>
    <t>4/5/2024, 9:51:17 AM</t>
  </si>
  <si>
    <t>4/5/2024, 9:51:22 AM</t>
  </si>
  <si>
    <t>Kauchak</t>
  </si>
  <si>
    <t>4/5/2024, 9:52:25 AM</t>
  </si>
  <si>
    <t>Salgado</t>
  </si>
  <si>
    <t>Non Pomona Student (TCCS, CMC, HMC, PIT, SCR)</t>
  </si>
  <si>
    <t>4/5/2024, 9:53:52 AM</t>
  </si>
  <si>
    <t>4/5/2024, 9:56:56 AM</t>
  </si>
  <si>
    <t>Fausta Ducquaine</t>
  </si>
  <si>
    <t>Himbaza Nshuti</t>
  </si>
  <si>
    <t>4/5/2024, 10:01:54 AM</t>
  </si>
  <si>
    <t>4/5/2024, 10:04:05 AM</t>
  </si>
  <si>
    <t>4/5/2024, 10:14:27 AM</t>
  </si>
  <si>
    <t>4/5/2024, 10:15:22 AM</t>
  </si>
  <si>
    <t>Alfred</t>
  </si>
  <si>
    <t>Cramer</t>
  </si>
  <si>
    <t>4/5/2024, 10:15:34 AM</t>
  </si>
  <si>
    <t>Gayle</t>
  </si>
  <si>
    <t>Blankenburg</t>
  </si>
  <si>
    <t>4/5/2024, 10:26:46 AM</t>
  </si>
  <si>
    <t>4/5/2024, 11:18:42 AM</t>
  </si>
  <si>
    <t>Dimond</t>
  </si>
  <si>
    <t>4/5/2024, 11:18:44 AM</t>
  </si>
  <si>
    <t>Kuehlwein</t>
  </si>
  <si>
    <t>4/5/2024, 11:45:58 AM</t>
  </si>
  <si>
    <t>Perini</t>
  </si>
  <si>
    <t>4/5/2024, 11:46:37 AM</t>
  </si>
  <si>
    <t>Boyer</t>
  </si>
  <si>
    <t>4/5/2024, 1:45:22 PM</t>
  </si>
  <si>
    <t>4/5/2024, 1:49:03 PM</t>
  </si>
  <si>
    <t>4/5/2024, 2:21:07 PM</t>
  </si>
  <si>
    <t>4/5/2024, 3:38:21 PM</t>
  </si>
  <si>
    <t>4/5/2024, 3:40:31 PM</t>
  </si>
  <si>
    <t>4/5/2024, 3:41:05 PM</t>
  </si>
  <si>
    <t>4/5/2024, 3:44:37 PM</t>
  </si>
  <si>
    <t>4/5/2024, 3:45:18 PM</t>
  </si>
  <si>
    <t>4/5/2024, 4:13:38 PM</t>
  </si>
  <si>
    <t>4/5/2024, 8:04:40 PM</t>
  </si>
  <si>
    <t>4/5/2024, 8:10:49 PM</t>
  </si>
  <si>
    <t>4/5/2024, 11:53:54 PM</t>
  </si>
  <si>
    <t>4/6/2024, 7:40:02 AM</t>
  </si>
  <si>
    <t>Meyer</t>
  </si>
  <si>
    <t>4/6/2024, 10:21:33 AM</t>
  </si>
  <si>
    <t>Foerch</t>
  </si>
  <si>
    <t>4/6/2024, 11:22:05 PM</t>
  </si>
  <si>
    <t>Kaseem</t>
  </si>
  <si>
    <t>Simmons</t>
  </si>
  <si>
    <t>4/7/2024, 12:10:52 AM</t>
  </si>
  <si>
    <t>Lise</t>
  </si>
  <si>
    <t>Abrams</t>
  </si>
  <si>
    <t>4/7/2024, 2:24:52 PM</t>
  </si>
  <si>
    <t>Marks</t>
  </si>
  <si>
    <t>010022550-2</t>
  </si>
  <si>
    <t>4/7/2024, 2:57:32 PM</t>
  </si>
  <si>
    <t>4/7/2024, 7:28:33 PM</t>
  </si>
  <si>
    <t>Penny</t>
  </si>
  <si>
    <t>Sinanoglou</t>
  </si>
  <si>
    <t>4/7/2024, 7:47:37 PM</t>
  </si>
  <si>
    <t>4/8/2024, 8:43:16 AM</t>
  </si>
  <si>
    <t>4/8/2024, 9:54:32 AM</t>
  </si>
  <si>
    <t>4/8/2024, 10:11:15 AM</t>
  </si>
  <si>
    <t>4/8/2024, 10:22:03 AM</t>
  </si>
  <si>
    <t>4/8/2024, 10:35:49 AM</t>
  </si>
  <si>
    <t>4/8/2024, 11:05:49 AM</t>
  </si>
  <si>
    <t>4/8/2024, 11:12:31 AM</t>
  </si>
  <si>
    <t>4/8/2024, 11:22:24 AM</t>
  </si>
  <si>
    <t>4/8/2024, 11:41:49 AM</t>
  </si>
  <si>
    <t>4/8/2024, 11:56:31 AM</t>
  </si>
  <si>
    <t>4/8/2024, 1:00:52 PM</t>
  </si>
  <si>
    <t>4/8/2024, 1:04:38 PM</t>
  </si>
  <si>
    <t>4/8/2024, 1:31:51 PM</t>
  </si>
  <si>
    <t>4/8/2024, 1:39:13 PM</t>
  </si>
  <si>
    <t>4/8/2024, 1:41:19 PM</t>
  </si>
  <si>
    <t>4/8/2024, 1:41:59 PM</t>
  </si>
  <si>
    <t>4/8/2024, 1:53:28 PM</t>
  </si>
  <si>
    <t>alejandra</t>
  </si>
  <si>
    <t>castillo</t>
  </si>
  <si>
    <t>4/8/2024, 2:38:48 PM</t>
  </si>
  <si>
    <t>4/8/2024, 2:43:28 PM</t>
  </si>
  <si>
    <t>4/8/2024, 2:45:19 PM</t>
  </si>
  <si>
    <t>4/8/2024, 2:46:40 PM</t>
  </si>
  <si>
    <t>4/8/2024, 2:58:31 PM</t>
  </si>
  <si>
    <t>4/8/2024, 2:58:57 PM</t>
  </si>
  <si>
    <t>4/8/2024, 3:29:57 PM</t>
  </si>
  <si>
    <t>4/8/2024, 3:30:24 PM</t>
  </si>
  <si>
    <t>4/8/2024, 3:30:41 PM</t>
  </si>
  <si>
    <t>4/8/2024, 3:32:40 PM</t>
  </si>
  <si>
    <t>4/8/2024, 3:36:39 PM</t>
  </si>
  <si>
    <t>4/8/2024, 3:38:51 PM</t>
  </si>
  <si>
    <t>4/8/2024, 3:39:13 PM</t>
  </si>
  <si>
    <t>4/8/2024, 3:39:59 PM</t>
  </si>
  <si>
    <t>4/8/2024, 4:20:06 PM</t>
  </si>
  <si>
    <t>4/8/2024, 4:38:46 PM</t>
  </si>
  <si>
    <t>4/8/2024, 4:43:08 PM</t>
  </si>
  <si>
    <t>4/8/2024, 5:03:19 PM</t>
  </si>
  <si>
    <t>4/8/2024, 5:05:12 PM</t>
  </si>
  <si>
    <t>4/8/2024, 6:20:48 PM</t>
  </si>
  <si>
    <t>4/8/2024, 6:31:30 PM</t>
  </si>
  <si>
    <t>4/8/2024, 8:44:43 PM</t>
  </si>
  <si>
    <t>4/8/2024, 11:55:03 PM</t>
  </si>
  <si>
    <t>4/9/2024, 5:12:21 AM</t>
  </si>
  <si>
    <t>4/9/2024, 6:55:33 AM</t>
  </si>
  <si>
    <t>4/9/2024, 7:03:44 AM</t>
  </si>
  <si>
    <t>4/9/2024, 7:05:23 AM</t>
  </si>
  <si>
    <t>4/9/2024, 7:12:22 AM</t>
  </si>
  <si>
    <t>4/9/2024, 9:28:38 AM</t>
  </si>
  <si>
    <t>4/9/2024, 9:29:44 AM</t>
  </si>
  <si>
    <t>4/9/2024, 9:30:19 AM</t>
  </si>
  <si>
    <t>4/9/2024, 9:30:29 AM</t>
  </si>
  <si>
    <t>4/9/2024, 9:31:15 AM</t>
  </si>
  <si>
    <t>4/9/2024, 9:32:22 AM</t>
  </si>
  <si>
    <t>4/9/2024, 9:39:51 AM</t>
  </si>
  <si>
    <t>4/9/2024, 9:48:08 AM</t>
  </si>
  <si>
    <t>4/9/2024, 10:08:55 AM</t>
  </si>
  <si>
    <t>4/9/2024, 10:20:39 AM</t>
  </si>
  <si>
    <t>4/9/2024, 11:08:44 AM</t>
  </si>
  <si>
    <t>4/9/2024, 12:15:26 PM</t>
  </si>
  <si>
    <t>4/9/2024, 12:17:50 PM</t>
  </si>
  <si>
    <t>4/9/2024, 12:21:36 PM</t>
  </si>
  <si>
    <t>4/9/2024, 12:23:05 PM</t>
  </si>
  <si>
    <t>4/9/2024, 12:35:24 PM</t>
  </si>
  <si>
    <t>4/9/2024, 1:29:08 PM</t>
  </si>
  <si>
    <t>4/9/2024, 3:07:52 PM</t>
  </si>
  <si>
    <t>4/9/2024, 3:11:48 PM</t>
  </si>
  <si>
    <t>4/9/2024, 3:16:04 PM</t>
  </si>
  <si>
    <t>4/9/2024, 3:48:06 PM</t>
  </si>
  <si>
    <t>4/9/2024, 4:09:04 PM</t>
  </si>
  <si>
    <t>4/9/2024, 4:20:38 PM</t>
  </si>
  <si>
    <t>4/9/2024, 4:37:16 PM</t>
  </si>
  <si>
    <t>4/9/2024, 5:40:34 PM</t>
  </si>
  <si>
    <t>4/9/2024, 5:41:57 PM</t>
  </si>
  <si>
    <t>4/10/2024, 7:48:15 AM</t>
  </si>
  <si>
    <t>4/10/2024, 8:24:39 AM</t>
  </si>
  <si>
    <t>4/10/2024, 8:27:31 AM</t>
  </si>
  <si>
    <t>4/10/2024, 9:17:31 AM</t>
  </si>
  <si>
    <t>4/10/2024, 10:22:01 AM</t>
  </si>
  <si>
    <t>4/10/2024, 11:42:05 AM</t>
  </si>
  <si>
    <t>Player</t>
  </si>
  <si>
    <t>4/10/2024, 12:44:31 PM</t>
  </si>
  <si>
    <t>4/10/2024, 1:28:44 PM</t>
  </si>
  <si>
    <t>4/10/2024, 1:39:02 PM</t>
  </si>
  <si>
    <t>4/10/2024, 2:54:53 PM</t>
  </si>
  <si>
    <t>4/10/2024, 3:27:08 PM</t>
  </si>
  <si>
    <t>4/10/2024, 3:42:09 PM</t>
  </si>
  <si>
    <t>4/10/2024, 4:23:06 PM</t>
  </si>
  <si>
    <t>4/10/2024, 5:14:30 PM</t>
  </si>
  <si>
    <t xml:space="preserve">James </t>
  </si>
  <si>
    <t>010370655-6</t>
  </si>
  <si>
    <t>4/10/2024, 5:14:57 PM</t>
  </si>
  <si>
    <t>4/10/2024, 5:58:33 PM</t>
  </si>
  <si>
    <t>4/10/2024, 5:59:48 PM</t>
  </si>
  <si>
    <t>4/10/2024, 6:27:23 PM</t>
  </si>
  <si>
    <t>Deloney</t>
  </si>
  <si>
    <t>4/10/2024, 8:26:08 PM</t>
  </si>
  <si>
    <t>4/10/2024, 9:24:13 PM</t>
  </si>
  <si>
    <t>Chloe</t>
  </si>
  <si>
    <t>4/11/2024, 9:26:32 AM</t>
  </si>
  <si>
    <t>Zhang</t>
  </si>
  <si>
    <t>4/11/2024, 9:28:36 AM</t>
  </si>
  <si>
    <t>4/11/2024, 9:28:38 AM</t>
  </si>
  <si>
    <t>4/11/2024, 9:28:39 AM</t>
  </si>
  <si>
    <t>4/11/2024, 9:29:01 AM</t>
  </si>
  <si>
    <t>4/11/2024, 9:29:15 AM</t>
  </si>
  <si>
    <t>4/11/2024, 9:29:23 AM</t>
  </si>
  <si>
    <t>Jessie</t>
  </si>
  <si>
    <t>Ponce-Montano</t>
  </si>
  <si>
    <t>4/11/2024, 9:29:25 AM</t>
  </si>
  <si>
    <t>4/11/2024, 9:30:19 AM</t>
  </si>
  <si>
    <t>4/11/2024, 9:30:25 AM</t>
  </si>
  <si>
    <t>4/11/2024, 9:30:33 AM</t>
  </si>
  <si>
    <t>4/11/2024, 9:30:43 AM</t>
  </si>
  <si>
    <t>4/11/2024, 9:30:57 AM</t>
  </si>
  <si>
    <t>4/11/2024, 9:31:05 AM</t>
  </si>
  <si>
    <t>4/11/2024, 9:31:13 AM</t>
  </si>
  <si>
    <t>4/11/2024, 9:31:54 AM</t>
  </si>
  <si>
    <t>char</t>
  </si>
  <si>
    <t>miller</t>
  </si>
  <si>
    <t>4/11/2024, 9:32:02 AM</t>
  </si>
  <si>
    <t>4/11/2024, 9:32:11 AM</t>
  </si>
  <si>
    <t>4/11/2024, 9:32:13 AM</t>
  </si>
  <si>
    <t>4/11/2024, 9:32:17 AM</t>
  </si>
  <si>
    <t>4/11/2024, 9:32:34 AM</t>
  </si>
  <si>
    <t>Anna Priya</t>
  </si>
  <si>
    <t>Gupte</t>
  </si>
  <si>
    <t>4/11/2024, 9:32:42 AM</t>
  </si>
  <si>
    <t>Marple</t>
  </si>
  <si>
    <t>4/11/2024, 9:32:45 AM</t>
  </si>
  <si>
    <t>4/11/2024, 9:32:50 AM</t>
  </si>
  <si>
    <t>4/11/2024, 9:33:16 AM</t>
  </si>
  <si>
    <t>4/11/2024, 9:33:26 AM</t>
  </si>
  <si>
    <t>4/11/2024, 9:34:08 AM</t>
  </si>
  <si>
    <t xml:space="preserve">Ariel </t>
  </si>
  <si>
    <t>Strubel Iram</t>
  </si>
  <si>
    <t>4/11/2024, 9:35:10 AM</t>
  </si>
  <si>
    <t>4/11/2024, 9:35:40 AM</t>
  </si>
  <si>
    <t>Hinz</t>
  </si>
  <si>
    <t>4/11/2024, 9:36:34 AM</t>
  </si>
  <si>
    <t>4/11/2024, 9:36:45 AM</t>
  </si>
  <si>
    <t>4/11/2024, 9:37:39 AM</t>
  </si>
  <si>
    <t>Alessandra</t>
  </si>
  <si>
    <t>Wong</t>
  </si>
  <si>
    <t>4/11/2024, 9:38:33 AM</t>
  </si>
  <si>
    <t>4/11/2024, 9:39:43 AM</t>
  </si>
  <si>
    <t>4/11/2024, 9:39:48 AM</t>
  </si>
  <si>
    <t>Castellanos</t>
  </si>
  <si>
    <t>4/11/2024, 9:40:08 AM</t>
  </si>
  <si>
    <t>Gabriel</t>
  </si>
  <si>
    <t>Brenner</t>
  </si>
  <si>
    <t>4/11/2024, 9:40:51 AM</t>
  </si>
  <si>
    <t>4/11/2024, 9:40:52 AM</t>
  </si>
  <si>
    <t>Izzy</t>
  </si>
  <si>
    <t>Sabatino</t>
  </si>
  <si>
    <t>4/11/2024, 9:40:58 AM</t>
  </si>
  <si>
    <t>4/11/2024, 9:41:38 AM</t>
  </si>
  <si>
    <t>4/11/2024, 9:41:44 AM</t>
  </si>
  <si>
    <t>4/11/2024, 9:42:09 AM</t>
  </si>
  <si>
    <t>4/11/2024, 9:42:20 AM</t>
  </si>
  <si>
    <t>Ash</t>
  </si>
  <si>
    <t>Ahrenhoerster</t>
  </si>
  <si>
    <t>4/11/2024, 9:44:01 AM</t>
  </si>
  <si>
    <t>Dania</t>
  </si>
  <si>
    <t>Anabtawi</t>
  </si>
  <si>
    <t>4/11/2024, 9:44:02 AM</t>
  </si>
  <si>
    <t>4/11/2024, 9:44:29 AM</t>
  </si>
  <si>
    <t>4/11/2024, 9:44:36 AM</t>
  </si>
  <si>
    <t>4/11/2024, 9:46:32 AM</t>
  </si>
  <si>
    <t>4/11/2024, 9:47:50 AM</t>
  </si>
  <si>
    <t>4/11/2024, 9:49:18 AM</t>
  </si>
  <si>
    <t>4/11/2024, 9:49:24 AM</t>
  </si>
  <si>
    <t>4/11/2024, 9:49:29 AM</t>
  </si>
  <si>
    <t>4/11/2024, 9:51:01 AM</t>
  </si>
  <si>
    <t>4/11/2024, 9:53:00 AM</t>
  </si>
  <si>
    <t>Cossio</t>
  </si>
  <si>
    <t>4/11/2024, 9:53:53 AM</t>
  </si>
  <si>
    <t>Yuqing</t>
  </si>
  <si>
    <t>Zhu</t>
  </si>
  <si>
    <t>4/11/2024, 9:53:58 AM</t>
  </si>
  <si>
    <t>4/11/2024, 9:53:59 AM</t>
  </si>
  <si>
    <t>4/11/2024, 9:55:14 AM</t>
  </si>
  <si>
    <t>4/11/2024, 9:55:49 AM</t>
  </si>
  <si>
    <t>4/11/2024, 9:56:21 AM</t>
  </si>
  <si>
    <t>Kirk</t>
  </si>
  <si>
    <t>Reynolds</t>
  </si>
  <si>
    <t>4/11/2024, 9:56:28 AM</t>
  </si>
  <si>
    <t>King</t>
  </si>
  <si>
    <t>4/11/2024, 9:58:04 AM</t>
  </si>
  <si>
    <t>4/11/2024, 10:07:47 AM</t>
  </si>
  <si>
    <t>4/11/2024, 10:08:26 AM</t>
  </si>
  <si>
    <t>4/11/2024, 10:09:26 AM</t>
  </si>
  <si>
    <t>Anuradha</t>
  </si>
  <si>
    <t>Krishnan</t>
  </si>
  <si>
    <t>4/11/2024, 10:11:49 AM</t>
  </si>
  <si>
    <t>4/11/2024, 10:11:50 AM</t>
  </si>
  <si>
    <t>4/11/2024, 10:13:17 AM</t>
  </si>
  <si>
    <t>4/11/2024, 10:15:37 AM</t>
  </si>
  <si>
    <t>4/11/2024, 10:20:21 AM</t>
  </si>
  <si>
    <t>Shoshana</t>
  </si>
  <si>
    <t>Henderson</t>
  </si>
  <si>
    <t>4/11/2024, 10:22:43 AM</t>
  </si>
  <si>
    <t>4/11/2024, 10:24:00 AM</t>
  </si>
  <si>
    <t>Song</t>
  </si>
  <si>
    <t>4/11/2024, 10:24:15 AM</t>
  </si>
  <si>
    <t>Dahlia</t>
  </si>
  <si>
    <t>4/11/2024, 10:30:08 AM</t>
  </si>
  <si>
    <t>4/11/2024, 10:31:06 AM</t>
  </si>
  <si>
    <t>Ysabel</t>
  </si>
  <si>
    <t>4/11/2024, 10:31:58 AM</t>
  </si>
  <si>
    <t>4/11/2024, 10:32:18 AM</t>
  </si>
  <si>
    <t>Chianglin</t>
  </si>
  <si>
    <t>4/11/2024, 10:32:19 AM</t>
  </si>
  <si>
    <t>Ayelet</t>
  </si>
  <si>
    <t>Kleinerman</t>
  </si>
  <si>
    <t>4/11/2024, 10:32:44 AM</t>
  </si>
  <si>
    <t>4/11/2024, 10:34:21 AM</t>
  </si>
  <si>
    <t>4/11/2024, 10:36:16 AM</t>
  </si>
  <si>
    <t>Priscilla</t>
  </si>
  <si>
    <t>4/11/2024, 10:38:07 AM</t>
  </si>
  <si>
    <t>Malititi</t>
  </si>
  <si>
    <t>Alhassan</t>
  </si>
  <si>
    <t>4/11/2024, 10:42:10 AM</t>
  </si>
  <si>
    <t>4/11/2024, 10:42:16 AM</t>
  </si>
  <si>
    <t>4/11/2024, 10:42:52 AM</t>
  </si>
  <si>
    <t>4/11/2024, 10:47:32 AM</t>
  </si>
  <si>
    <t>Guillermo</t>
  </si>
  <si>
    <t>Douglass-Jaimes</t>
  </si>
  <si>
    <t>4/11/2024, 10:47:43 AM</t>
  </si>
  <si>
    <t>4/11/2024, 10:47:56 AM</t>
  </si>
  <si>
    <t>4/11/2024, 10:49:05 AM</t>
  </si>
  <si>
    <t>Cahill</t>
  </si>
  <si>
    <t>4/11/2024, 11:05:21 AM</t>
  </si>
  <si>
    <t>4/11/2024, 11:07:44 AM</t>
  </si>
  <si>
    <t>Zook</t>
  </si>
  <si>
    <t>4/11/2024, 11:10:20 AM</t>
  </si>
  <si>
    <t>Diament</t>
  </si>
  <si>
    <t>4/11/2024, 11:10:59 AM</t>
  </si>
  <si>
    <t>4/11/2024, 11:11:59 AM</t>
  </si>
  <si>
    <t>4/11/2024, 11:13:56 AM</t>
  </si>
  <si>
    <t>Clayson</t>
  </si>
  <si>
    <t>Briggs</t>
  </si>
  <si>
    <t>4/11/2024, 11:24:31 AM</t>
  </si>
  <si>
    <t>Shaun</t>
  </si>
  <si>
    <t>KewalRamani</t>
  </si>
  <si>
    <t>4/11/2024, 11:29:19 AM</t>
  </si>
  <si>
    <t>4/11/2024, 11:32:40 AM</t>
  </si>
  <si>
    <t>Tristan</t>
  </si>
  <si>
    <t>Furnish</t>
  </si>
  <si>
    <t>4/11/2024, 11:49:14 AM</t>
  </si>
  <si>
    <t>4/11/2024, 11:53:06 AM</t>
  </si>
  <si>
    <t>4/11/2024, 12:36:43 PM</t>
  </si>
  <si>
    <t>4/11/2024, 12:44:11 PM</t>
  </si>
  <si>
    <t>4/11/2024, 12:45:11 PM</t>
  </si>
  <si>
    <t>4/11/2024, 12:49:44 PM</t>
  </si>
  <si>
    <t>4/11/2024, 12:51:37 PM</t>
  </si>
  <si>
    <t>4/11/2024, 12:51:50 PM</t>
  </si>
  <si>
    <t>4/11/2024, 12:54:47 PM</t>
  </si>
  <si>
    <t>4/11/2024, 12:55:25 PM</t>
  </si>
  <si>
    <t>4/11/2024, 12:59:12 PM</t>
  </si>
  <si>
    <t>4/11/2024, 12:59:30 PM</t>
  </si>
  <si>
    <t>4/11/2024, 1:04:44 PM</t>
  </si>
  <si>
    <t>Tanenbaum</t>
  </si>
  <si>
    <t>4/11/2024, 1:11:21 PM</t>
  </si>
  <si>
    <t>4/11/2024, 1:15:49 PM</t>
  </si>
  <si>
    <t>4/11/2024, 1:24:54 PM</t>
  </si>
  <si>
    <t>Andre</t>
  </si>
  <si>
    <t>Cavalcanti</t>
  </si>
  <si>
    <t>4/11/2024, 1:28:35 PM</t>
  </si>
  <si>
    <t>4/11/2024, 1:30:03 PM</t>
  </si>
  <si>
    <t>4/11/2024, 1:36:42 PM</t>
  </si>
  <si>
    <t>4/11/2024, 1:37:32 PM</t>
  </si>
  <si>
    <t>4/11/2024, 1:38:07 PM</t>
  </si>
  <si>
    <t>Katsiaficas</t>
  </si>
  <si>
    <t>4/11/2024, 1:39:17 PM</t>
  </si>
  <si>
    <t>4/11/2024, 1:39:36 PM</t>
  </si>
  <si>
    <t>karla</t>
  </si>
  <si>
    <t>cordova</t>
  </si>
  <si>
    <t>4/11/2024, 1:48:43 PM</t>
  </si>
  <si>
    <t>Chuck</t>
  </si>
  <si>
    <t>4/11/2024, 1:56:29 PM</t>
  </si>
  <si>
    <t>4/11/2024, 2:03:48 PM</t>
  </si>
  <si>
    <t>Camila</t>
  </si>
  <si>
    <t xml:space="preserve">Amaya </t>
  </si>
  <si>
    <t>4/11/2024, 2:06:59 PM</t>
  </si>
  <si>
    <t>Max</t>
  </si>
  <si>
    <t>Zonana</t>
  </si>
  <si>
    <t>4/11/2024, 3:05:19 PM</t>
  </si>
  <si>
    <t>4/11/2024, 3:09:40 PM</t>
  </si>
  <si>
    <t>4/11/2024, 3:24:37 PM</t>
  </si>
  <si>
    <t>Nicolette</t>
  </si>
  <si>
    <t>Rohr</t>
  </si>
  <si>
    <t>4/11/2024, 3:31:39 PM</t>
  </si>
  <si>
    <t>4/11/2024, 3:38:25 PM</t>
  </si>
  <si>
    <t>Jun</t>
  </si>
  <si>
    <t>Lang</t>
  </si>
  <si>
    <t>4/11/2024, 3:41:03 PM</t>
  </si>
  <si>
    <t>Parfitt</t>
  </si>
  <si>
    <t>4/11/2024, 3:54:29 PM</t>
  </si>
  <si>
    <t>Kyoko</t>
  </si>
  <si>
    <t>Kurita</t>
  </si>
  <si>
    <t>4/11/2024, 4:08:56 PM</t>
  </si>
  <si>
    <t>4/11/2024, 4:59:23 PM</t>
  </si>
  <si>
    <t>4/11/2024, 5:28:48 PM</t>
  </si>
  <si>
    <t>4/11/2024, 5:29:01 PM</t>
  </si>
  <si>
    <t>Sue</t>
  </si>
  <si>
    <t>Yu</t>
  </si>
  <si>
    <t>4/11/2024, 6:01:55 PM</t>
  </si>
  <si>
    <t>Jazelle</t>
  </si>
  <si>
    <t>Saligumba</t>
  </si>
  <si>
    <t>4/11/2024, 6:58:28 PM</t>
  </si>
  <si>
    <t>4/11/2024, 7:03:47 PM</t>
  </si>
  <si>
    <t>4/11/2024, 7:25:31 PM</t>
  </si>
  <si>
    <t>Annalise</t>
  </si>
  <si>
    <t>Chang</t>
  </si>
  <si>
    <t>4/11/2024, 7:43:21 PM</t>
  </si>
  <si>
    <t>Clara</t>
  </si>
  <si>
    <t>Kilburn</t>
  </si>
  <si>
    <t>4/11/2024, 11:07:39 PM</t>
  </si>
  <si>
    <t>4/11/2024, 11:13:02 PM</t>
  </si>
  <si>
    <t>4/12/2024, 8:23:22 AM</t>
  </si>
  <si>
    <t>4/12/2024, 8:30:37 AM</t>
  </si>
  <si>
    <t>4/12/2024, 8:31:12 AM</t>
  </si>
  <si>
    <t>4/12/2024, 8:32:41 AM</t>
  </si>
  <si>
    <t>4/12/2024, 9:16:48 AM</t>
  </si>
  <si>
    <t>Preston</t>
  </si>
  <si>
    <t>McBride</t>
  </si>
  <si>
    <t>4/12/2024, 9:17:22 AM</t>
  </si>
  <si>
    <t>4/12/2024, 9:46:19 AM</t>
  </si>
  <si>
    <t>4/12/2024, 10:00:04 AM</t>
  </si>
  <si>
    <t>Miyu</t>
  </si>
  <si>
    <t>Owada</t>
  </si>
  <si>
    <t>4/12/2024, 10:41:10 AM</t>
  </si>
  <si>
    <t>Linsey</t>
  </si>
  <si>
    <t>4/12/2024, 10:56:04 AM</t>
  </si>
  <si>
    <t>Fontanez</t>
  </si>
  <si>
    <t>4/12/2024, 1:06:31 PM</t>
  </si>
  <si>
    <t>4/12/2024, 1:18:32 PM</t>
  </si>
  <si>
    <t>4/12/2024, 1:41:00 PM</t>
  </si>
  <si>
    <t>Grace</t>
  </si>
  <si>
    <t>Davila-Lopez</t>
  </si>
  <si>
    <t>4/12/2024, 1:55:12 PM</t>
  </si>
  <si>
    <t>4/12/2024, 2:49:26 PM</t>
  </si>
  <si>
    <t>Jane</t>
  </si>
  <si>
    <t>4/12/2024, 2:53:23 PM</t>
  </si>
  <si>
    <t>4/12/2024, 3:09:11 PM</t>
  </si>
  <si>
    <t>Reichle</t>
  </si>
  <si>
    <t>4/12/2024, 3:09:20 PM</t>
  </si>
  <si>
    <t>4/12/2024, 4:45:45 PM</t>
  </si>
  <si>
    <t>4/12/2024, 5:05:16 PM</t>
  </si>
  <si>
    <t>4/12/2024, 5:09:37 PM</t>
  </si>
  <si>
    <t>4/13/2024, 7:27:38 AM</t>
  </si>
  <si>
    <t>4/13/2024, 7:34:29 AM</t>
  </si>
  <si>
    <t>4/13/2024, 7:42:50 AM</t>
  </si>
  <si>
    <t>4/13/2024, 7:46:23 AM</t>
  </si>
  <si>
    <t>4/13/2024, 7:49:44 AM</t>
  </si>
  <si>
    <t>Jean-Paul</t>
  </si>
  <si>
    <t>Gowdy</t>
  </si>
  <si>
    <t>4/13/2024, 7:51:28 AM</t>
  </si>
  <si>
    <t>4/13/2024, 7:53:03 AM</t>
  </si>
  <si>
    <t>4/13/2024, 7:56:57 AM</t>
  </si>
  <si>
    <t>4/13/2024, 11:51:27 AM</t>
  </si>
  <si>
    <t>4/13/2024, 11:56:39 AM</t>
  </si>
  <si>
    <t>4/13/2024, 12:29:40 PM</t>
  </si>
  <si>
    <t>4/13/2024, 6:12:20 PM</t>
  </si>
  <si>
    <t>Cherene</t>
  </si>
  <si>
    <t>Sherrard-Johnson</t>
  </si>
  <si>
    <t>4/14/2024, 9:07:08 PM</t>
  </si>
  <si>
    <t>4/14/2024, 9:25:09 PM</t>
  </si>
  <si>
    <t>4/15/2024, 10:05:07 AM</t>
  </si>
  <si>
    <t>Hasama</t>
  </si>
  <si>
    <t>4/15/2024, 1:31:36 PM</t>
  </si>
  <si>
    <t>Sidney</t>
  </si>
  <si>
    <t>Eramil</t>
  </si>
  <si>
    <t>4/15/2024, 3:49:25 PM</t>
  </si>
  <si>
    <t>Sthefany</t>
  </si>
  <si>
    <t>Fukagawa</t>
  </si>
  <si>
    <t>4/16/2024, 2:33:43 PM</t>
  </si>
  <si>
    <t>4/16/2024, 4:07:49 PM</t>
  </si>
  <si>
    <t>Rosalia</t>
  </si>
  <si>
    <t>4/16/2024, 9:48:08 PM</t>
  </si>
  <si>
    <t>4/17/2024, 2:34:36 PM</t>
  </si>
  <si>
    <t>4/18/2024, 8:27:11 AM</t>
  </si>
  <si>
    <t>Masland</t>
  </si>
  <si>
    <t>4/18/2024, 8:33:36 AM</t>
  </si>
  <si>
    <t>4/18/2024, 11:30:09 AM</t>
  </si>
  <si>
    <t>4/18/2024, 11:51:43 AM</t>
  </si>
  <si>
    <t>4/18/2024, 11:53:33 AM</t>
  </si>
  <si>
    <t>010128165-2</t>
  </si>
  <si>
    <t>4/19/2024, 10:47:10 AM</t>
  </si>
  <si>
    <t>4/19/2024, 10:48:13 AM</t>
  </si>
  <si>
    <t>4/19/2024, 10:49:13 AM</t>
  </si>
  <si>
    <t>4/19/2024, 10:49:14 AM</t>
  </si>
  <si>
    <t>4/19/2024, 10:49:23 AM</t>
  </si>
  <si>
    <t>4/19/2024, 10:49:50 AM</t>
  </si>
  <si>
    <t>4/19/2024, 10:50:02 AM</t>
  </si>
  <si>
    <t>4/19/2024, 10:50:46 AM</t>
  </si>
  <si>
    <t>4/19/2024, 10:51:23 AM</t>
  </si>
  <si>
    <t xml:space="preserve">Jennifer </t>
  </si>
  <si>
    <t xml:space="preserve">Friedlander </t>
  </si>
  <si>
    <t>4/19/2024, 10:52:25 AM</t>
  </si>
  <si>
    <t>4/19/2024, 10:53:24 AM</t>
  </si>
  <si>
    <t>4/19/2024, 10:54:11 AM</t>
  </si>
  <si>
    <t>4/19/2024, 10:54:56 AM</t>
  </si>
  <si>
    <t>Clarissa</t>
  </si>
  <si>
    <t>Cheney</t>
  </si>
  <si>
    <t>4/19/2024, 10:55:14 AM</t>
  </si>
  <si>
    <t>4/19/2024, 10:55:51 AM</t>
  </si>
  <si>
    <t>4/19/2024, 10:56:26 AM</t>
  </si>
  <si>
    <t>4/19/2024, 11:00:32 AM</t>
  </si>
  <si>
    <t>4/19/2024, 11:01:49 AM</t>
  </si>
  <si>
    <t>4/19/2024, 11:02:58 AM</t>
  </si>
  <si>
    <t>4/19/2024, 11:09:13 AM</t>
  </si>
  <si>
    <t>4/19/2024, 11:09:48 AM</t>
  </si>
  <si>
    <t>4/19/2024, 11:09:54 AM</t>
  </si>
  <si>
    <t>4/19/2024, 11:09:57 AM</t>
  </si>
  <si>
    <t>4/19/2024, 11:10:30 AM</t>
  </si>
  <si>
    <t>4/19/2024, 11:16:52 AM</t>
  </si>
  <si>
    <t xml:space="preserve">Carolyn </t>
  </si>
  <si>
    <t>4/19/2024, 11:19:57 AM</t>
  </si>
  <si>
    <t>4/19/2024, 11:24:02 AM</t>
  </si>
  <si>
    <t>4/19/2024, 11:27:06 AM</t>
  </si>
  <si>
    <t>4/19/2024, 11:35:53 AM</t>
  </si>
  <si>
    <t>4/19/2024, 11:44:17 AM</t>
  </si>
  <si>
    <t>Mawhorter</t>
  </si>
  <si>
    <t>4/19/2024, 11:53:36 AM</t>
  </si>
  <si>
    <t>4/19/2024, 11:55:23 AM</t>
  </si>
  <si>
    <t>Shuyi</t>
  </si>
  <si>
    <t>4/19/2024, 12:01:00 PM</t>
  </si>
  <si>
    <t>4/19/2024, 12:01:42 PM</t>
  </si>
  <si>
    <t>4/19/2024, 12:03:13 PM</t>
  </si>
  <si>
    <t>4/19/2024, 12:15:14 PM</t>
  </si>
  <si>
    <t>4/19/2024, 12:22:31 PM</t>
  </si>
  <si>
    <t>4/19/2024, 12:29:42 PM</t>
  </si>
  <si>
    <t>4/19/2024, 12:31:35 PM</t>
  </si>
  <si>
    <t>4/19/2024, 12:34:23 PM</t>
  </si>
  <si>
    <t>4/19/2024, 12:36:47 PM</t>
  </si>
  <si>
    <t>4/19/2024, 12:44:52 PM</t>
  </si>
  <si>
    <t>4/19/2024, 1:07:44 PM</t>
  </si>
  <si>
    <t>4/19/2024, 1:24:32 PM</t>
  </si>
  <si>
    <t>Champi</t>
  </si>
  <si>
    <t>4/19/2024, 1:24:37 PM</t>
  </si>
  <si>
    <t>4/19/2024, 1:45:28 PM</t>
  </si>
  <si>
    <t>4/19/2024, 1:57:20 PM</t>
  </si>
  <si>
    <t>4/19/2024, 2:30:44 PM</t>
  </si>
  <si>
    <t>4/19/2024, 2:35:38 PM</t>
  </si>
  <si>
    <t>4/19/2024, 2:38:56 PM</t>
  </si>
  <si>
    <t>Gibb</t>
  </si>
  <si>
    <t>Schreffler</t>
  </si>
  <si>
    <t>4/19/2024, 3:35:01 PM</t>
  </si>
  <si>
    <t>4/19/2024, 3:58:44 PM</t>
  </si>
  <si>
    <t>4/19/2024, 4:01:48 PM</t>
  </si>
  <si>
    <t>4/19/2024, 4:06:02 PM</t>
  </si>
  <si>
    <t>4/19/2024, 4:08:06 PM</t>
  </si>
  <si>
    <t>4/19/2024, 4:16:26 PM</t>
  </si>
  <si>
    <t>4/19/2024, 4:21:35 PM</t>
  </si>
  <si>
    <t>4/19/2024, 4:24:02 PM</t>
  </si>
  <si>
    <t>4/19/2024, 4:25:24 PM</t>
  </si>
  <si>
    <t>4/19/2024, 4:27:55 PM</t>
  </si>
  <si>
    <t>4/19/2024, 4:29:25 PM</t>
  </si>
  <si>
    <t>4/19/2024, 4:31:12 PM</t>
  </si>
  <si>
    <t>4/19/2024, 4:32:46 PM</t>
  </si>
  <si>
    <t>4/19/2024, 4:36:29 PM</t>
  </si>
  <si>
    <t>4/19/2024, 4:38:25 PM</t>
  </si>
  <si>
    <t>4/19/2024, 4:39:40 PM</t>
  </si>
  <si>
    <t>4/19/2024, 4:40:48 PM</t>
  </si>
  <si>
    <t>4/19/2024, 4:44:39 PM</t>
  </si>
  <si>
    <t>4/19/2024, 5:57:33 PM</t>
  </si>
  <si>
    <t>4/19/2024, 6:09:47 PM</t>
  </si>
  <si>
    <t>4/19/2024, 8:29:41 PM</t>
  </si>
  <si>
    <t>Shahriar</t>
  </si>
  <si>
    <t>Shahriari</t>
  </si>
  <si>
    <t>4/19/2024, 10:31:26 PM</t>
  </si>
  <si>
    <t>Sadhwani</t>
  </si>
  <si>
    <t>4/20/2024, 3:11:22 AM</t>
  </si>
  <si>
    <t>4/20/2024, 5:43:44 AM</t>
  </si>
  <si>
    <t>4/20/2024, 9:35:30 AM</t>
  </si>
  <si>
    <t>4/20/2024, 11:52:49 AM</t>
  </si>
  <si>
    <t>4/20/2024, 1:52:54 PM</t>
  </si>
  <si>
    <t>4/20/2024, 3:10:33 PM</t>
  </si>
  <si>
    <t>4/21/2024, 6:48:02 AM</t>
  </si>
  <si>
    <t>Fernando</t>
  </si>
  <si>
    <t>4/21/2024, 6:00:46 PM</t>
  </si>
  <si>
    <t>Eliana</t>
  </si>
  <si>
    <t>Katz</t>
  </si>
  <si>
    <t>4/21/2024, 8:47:12 PM</t>
  </si>
  <si>
    <t>4/22/2024, 6:14:53 AM</t>
  </si>
  <si>
    <t>4/22/2024, 9:01:22 AM</t>
  </si>
  <si>
    <t>4/22/2024, 9:35:36 AM</t>
  </si>
  <si>
    <t>4/22/2024, 10:18:41 AM</t>
  </si>
  <si>
    <t>4/22/2024, 10:29:15 AM</t>
  </si>
  <si>
    <t>4/22/2024, 10:57:49 AM</t>
  </si>
  <si>
    <t>4/22/2024, 11:20:09 AM</t>
  </si>
  <si>
    <t>4/22/2024, 1:16:29 PM</t>
  </si>
  <si>
    <t>4/22/2024, 1:48:29 PM</t>
  </si>
  <si>
    <t>4/22/2024, 1:50:35 PM</t>
  </si>
  <si>
    <t>4/22/2024, 2:13:05 PM</t>
  </si>
  <si>
    <t>4/22/2024, 4:32:44 PM</t>
  </si>
  <si>
    <t>4/23/2024, 8:36:43 AM</t>
  </si>
  <si>
    <t>4/23/2024, 10:36:01 AM</t>
  </si>
  <si>
    <t>4/23/2024, 11:05:19 AM</t>
  </si>
  <si>
    <t>4/23/2024, 11:27:44 AM</t>
  </si>
  <si>
    <t>4/23/2024, 11:31:42 AM</t>
  </si>
  <si>
    <t>Cummins</t>
  </si>
  <si>
    <t>010358353-1</t>
  </si>
  <si>
    <t>4/23/2024, 12:05:15 PM</t>
  </si>
  <si>
    <t>4/23/2024, 2:28:51 PM</t>
  </si>
  <si>
    <t>4/23/2024, 6:39:02 PM</t>
  </si>
  <si>
    <t>4/24/2024, 2:14:55 PM</t>
  </si>
  <si>
    <t>4/24/2024, 6:11:51 PM</t>
  </si>
  <si>
    <t>4/25/2024, 11:13:27 AM</t>
  </si>
  <si>
    <t>4/25/2024, 12:02:16 PM</t>
  </si>
  <si>
    <t>4/25/2024, 9:00:04 PM</t>
  </si>
  <si>
    <t>4/26/2024, 6:38:10 AM</t>
  </si>
  <si>
    <t>4/26/2024, 2:08:58 PM</t>
  </si>
  <si>
    <t>Hwang</t>
  </si>
  <si>
    <t>4/27/2024, 10:05:45 PM</t>
  </si>
  <si>
    <t>4/30/2024, 9:23:47 AM</t>
  </si>
  <si>
    <t>4/30/2024, 9:24:44 AM</t>
  </si>
  <si>
    <t>4/30/2024, 9:32:50 AM</t>
  </si>
  <si>
    <t>4/30/2024, 9:34:35 AM</t>
  </si>
  <si>
    <t>4/30/2024, 9:37:39 AM</t>
  </si>
  <si>
    <t>4/30/2024, 9:39:50 AM</t>
  </si>
  <si>
    <t>4/30/2024, 9:40:02 AM</t>
  </si>
  <si>
    <t>4/30/2024, 9:41:20 AM</t>
  </si>
  <si>
    <t>4/30/2024, 9:48:39 AM</t>
  </si>
  <si>
    <t>4/30/2024, 9:49:07 AM</t>
  </si>
  <si>
    <t>4/30/2024, 10:12:12 AM</t>
  </si>
  <si>
    <t>4/30/2024, 10:13:02 AM</t>
  </si>
  <si>
    <t>4/30/2024, 10:13:12 AM</t>
  </si>
  <si>
    <t>4/30/2024, 10:13:37 AM</t>
  </si>
  <si>
    <t>4/30/2024, 10:16:56 AM</t>
  </si>
  <si>
    <t>4/30/2024, 10:19:16 AM</t>
  </si>
  <si>
    <t>4/30/2024, 10:20:48 AM</t>
  </si>
  <si>
    <t>4/30/2024, 10:28:09 AM</t>
  </si>
  <si>
    <t>4/30/2024, 10:40:56 AM</t>
  </si>
  <si>
    <t>4/30/2024, 10:41:02 AM</t>
  </si>
  <si>
    <t>4/30/2024, 10:42:38 AM</t>
  </si>
  <si>
    <t>4/30/2024, 11:44:41 AM</t>
  </si>
  <si>
    <t>4/30/2024, 2:30:44 PM</t>
  </si>
  <si>
    <t>5/2/2024, 8:53:15 AM</t>
  </si>
  <si>
    <t>5/2/2024, 12:11:28 PM</t>
  </si>
  <si>
    <t>5/6/2024, 1:19:11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</si>
</sst>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2"/>
    </font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0"/>
      <name val="Verdana"/>
      <family val="2"/>
    </font>
    <font>
      <b/>
      <sz val="10"/>
      <color theme="0"/>
      <name val="Verdana"/>
      <family val="2"/>
    </font>
    <font>
      <sz val="11"/>
      <color theme="1"/>
      <name val="Verdana"/>
      <family val="2"/>
    </font>
    <font>
      <sz val="10"/>
      <name val="Verdana"/>
      <family val="2"/>
    </font>
    <font>
      <sz val="12"/>
      <color rgb="FF000000"/>
      <name val="Aptos Narrow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85">
    <xf numFmtId="0" fontId="0" fillId="0" borderId="0" xfId="0"/>
    <xf numFmtId="20" fontId="0" fillId="0" borderId="0" xfId="0" applyNumberFormat="1"/>
    <xf numFmtId="15" fontId="0" fillId="0" borderId="0" xfId="0" applyNumberFormat="1"/>
    <xf numFmtId="18" fontId="0" fillId="0" borderId="0" xfId="0" applyNumberFormat="1"/>
    <xf numFmtId="0" fontId="0" fillId="0" borderId="10" xfId="0" applyBorder="1"/>
    <xf numFmtId="0" fontId="19" fillId="0" borderId="11" xfId="0" applyFont="1" applyBorder="1"/>
    <xf numFmtId="0" fontId="19" fillId="0" borderId="12" xfId="0" applyFont="1" applyBorder="1"/>
    <xf numFmtId="0" fontId="0" fillId="0" borderId="13" xfId="0" applyBorder="1"/>
    <xf numFmtId="0" fontId="14" fillId="34" borderId="14" xfId="0" applyFont="1" applyFill="1" applyBorder="1"/>
    <xf numFmtId="0" fontId="0" fillId="33" borderId="10" xfId="0" applyFill="1" applyBorder="1"/>
    <xf numFmtId="0" fontId="0" fillId="37" borderId="17" xfId="0" applyFill="1" applyBorder="1"/>
    <xf numFmtId="0" fontId="0" fillId="33" borderId="16" xfId="0" applyFill="1" applyBorder="1"/>
    <xf numFmtId="0" fontId="0" fillId="0" borderId="16" xfId="0" applyBorder="1"/>
    <xf numFmtId="0" fontId="0" fillId="33" borderId="15" xfId="0" applyFill="1" applyBorder="1"/>
    <xf numFmtId="0" fontId="0" fillId="0" borderId="15" xfId="0" applyBorder="1"/>
    <xf numFmtId="0" fontId="14" fillId="34" borderId="18" xfId="0" applyFont="1" applyFill="1" applyBorder="1"/>
    <xf numFmtId="0" fontId="14" fillId="34" borderId="19" xfId="0" applyFont="1" applyFill="1" applyBorder="1"/>
    <xf numFmtId="0" fontId="14" fillId="34" borderId="20" xfId="0" applyFont="1" applyFill="1" applyBorder="1"/>
    <xf numFmtId="0" fontId="0" fillId="36" borderId="19" xfId="0" applyFill="1" applyBorder="1"/>
    <xf numFmtId="0" fontId="0" fillId="36" borderId="20" xfId="0" applyFill="1" applyBorder="1"/>
    <xf numFmtId="0" fontId="17" fillId="36" borderId="19" xfId="0" applyFont="1" applyFill="1" applyBorder="1"/>
    <xf numFmtId="10" fontId="0" fillId="37" borderId="10" xfId="0" applyNumberFormat="1" applyFill="1" applyBorder="1"/>
    <xf numFmtId="10" fontId="0" fillId="37" borderId="15" xfId="0" applyNumberFormat="1" applyFill="1" applyBorder="1"/>
    <xf numFmtId="0" fontId="21" fillId="0" borderId="10" xfId="0" applyFont="1" applyBorder="1"/>
    <xf numFmtId="10" fontId="0" fillId="37" borderId="17" xfId="0" applyNumberFormat="1" applyFill="1" applyBorder="1"/>
    <xf numFmtId="0" fontId="0" fillId="38" borderId="16" xfId="0" applyFill="1" applyBorder="1"/>
    <xf numFmtId="0" fontId="0" fillId="38" borderId="10" xfId="0" applyFill="1" applyBorder="1"/>
    <xf numFmtId="0" fontId="0" fillId="38" borderId="15" xfId="0" applyFill="1" applyBorder="1"/>
    <xf numFmtId="0" fontId="0" fillId="38" borderId="0" xfId="0" applyFill="1"/>
    <xf numFmtId="0" fontId="20" fillId="36" borderId="22" xfId="0" applyFont="1" applyFill="1" applyBorder="1" applyAlignment="1">
      <alignment wrapText="1"/>
    </xf>
    <xf numFmtId="0" fontId="0" fillId="36" borderId="17" xfId="0" applyFill="1" applyBorder="1"/>
    <xf numFmtId="0" fontId="20" fillId="36" borderId="21" xfId="0" applyFont="1" applyFill="1" applyBorder="1"/>
    <xf numFmtId="0" fontId="20" fillId="36" borderId="17" xfId="0" applyFont="1" applyFill="1" applyBorder="1"/>
    <xf numFmtId="0" fontId="0" fillId="37" borderId="10" xfId="0" applyFill="1" applyBorder="1"/>
    <xf numFmtId="0" fontId="20" fillId="37" borderId="10" xfId="0" applyFont="1" applyFill="1" applyBorder="1"/>
    <xf numFmtId="0" fontId="20" fillId="0" borderId="0" xfId="0" applyFont="1"/>
    <xf numFmtId="0" fontId="0" fillId="0" borderId="19" xfId="0" applyBorder="1"/>
    <xf numFmtId="0" fontId="0" fillId="0" borderId="20" xfId="0" applyBorder="1"/>
    <xf numFmtId="0" fontId="22" fillId="0" borderId="10" xfId="0" applyFont="1" applyBorder="1"/>
    <xf numFmtId="0" fontId="20" fillId="37" borderId="17" xfId="0" applyFont="1" applyFill="1" applyBorder="1"/>
    <xf numFmtId="0" fontId="0" fillId="36" borderId="10" xfId="0" applyFill="1" applyBorder="1"/>
    <xf numFmtId="0" fontId="20" fillId="36" borderId="10" xfId="0" applyFont="1" applyFill="1" applyBorder="1"/>
    <xf numFmtId="0" fontId="0" fillId="33" borderId="0" xfId="0" applyFill="1"/>
    <xf numFmtId="0" fontId="23" fillId="0" borderId="0" xfId="0" applyFont="1"/>
    <xf numFmtId="0" fontId="14" fillId="34" borderId="24" xfId="0" applyFont="1" applyFill="1" applyBorder="1"/>
    <xf numFmtId="0" fontId="14" fillId="34" borderId="25" xfId="0" applyFont="1" applyFill="1" applyBorder="1"/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0" fillId="35" borderId="16" xfId="0" applyFill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0" fontId="29" fillId="0" borderId="0" xfId="0" applyFont="1"/>
    <xf numFmtId="0" fontId="0" fillId="0" borderId="17" xfId="0" applyBorder="1"/>
    <xf numFmtId="0" fontId="0" fillId="0" borderId="26" xfId="0" applyBorder="1"/>
    <xf numFmtId="10" fontId="0" fillId="0" borderId="10" xfId="0" applyNumberFormat="1" applyBorder="1"/>
    <xf numFmtId="0" fontId="21" fillId="0" borderId="19" xfId="0" applyFont="1" applyBorder="1"/>
    <xf numFmtId="0" fontId="30" fillId="0" borderId="11" xfId="0" applyFont="1" applyBorder="1"/>
    <xf numFmtId="0" fontId="30" fillId="0" borderId="12" xfId="0" applyFont="1" applyBorder="1"/>
    <xf numFmtId="0" fontId="0" fillId="0" borderId="21" xfId="0" applyBorder="1"/>
    <xf numFmtId="0" fontId="0" fillId="0" borderId="22" xfId="0" applyBorder="1"/>
    <xf numFmtId="0" fontId="1" fillId="0" borderId="10" xfId="0" applyFont="1" applyBorder="1"/>
    <xf numFmtId="0" fontId="1" fillId="0" borderId="0" xfId="0" applyFon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0" fillId="35" borderId="16" xfId="0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2">
    <dxf>
      <numFmt numFmtId="23" formatCode="h:mm\ AM/PM"/>
    </dxf>
    <dxf>
      <numFmt numFmtId="23" formatCode="h:mm\ AM/PM"/>
    </dxf>
    <dxf>
      <numFmt numFmtId="23" formatCode="h:mm\ AM/PM"/>
    </dxf>
    <dxf>
      <numFmt numFmtId="23" formatCode="h:mm\ AM/PM"/>
    </dxf>
    <dxf>
      <numFmt numFmtId="23" formatCode="h:mm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scheme val="none"/>
      </font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03B721-55B5-4338-B6BD-B6A145C20CBA}" name="Table33" displayName="Table33" ref="A1:K422" totalsRowShown="0" headerRowDxfId="91" dataDxfId="89" headerRowBorderDxfId="90" tableBorderDxfId="88" totalsRowBorderDxfId="87">
  <autoFilter ref="A1:K422" xr:uid="{82913361-B21A-4886-AF9B-39D8C749EB11}"/>
  <sortState xmlns:xlrd2="http://schemas.microsoft.com/office/spreadsheetml/2017/richdata2" ref="A2:K422">
    <sortCondition ref="D1:D422"/>
  </sortState>
  <tableColumns count="11">
    <tableColumn id="1" xr3:uid="{289791B6-D542-40BA-8D37-8AA04142DA0B}" name="FirstName" dataDxfId="86"/>
    <tableColumn id="2" xr3:uid="{D253AE6F-D0EE-4E57-ABE5-66E7710446A8}" name="LastName" dataDxfId="85"/>
    <tableColumn id="3" xr3:uid="{38741636-A890-4568-8685-18061581F0BC}" name="Zip" dataDxfId="84"/>
    <tableColumn id="4" xr3:uid="{6564ABB3-0063-4764-90E8-784DCFA9B5E4}" name="Miles To Work (one way)" dataDxfId="83"/>
    <tableColumn id="5" xr3:uid="{4D23B4E9-8104-402A-8DAC-A9D4E584C5A9}" name="Employee ID" dataDxfId="82"/>
    <tableColumn id="6" xr3:uid="{CC5BC93F-5C81-447A-87C0-4885C7A88C10}" name="Employee Type" dataDxfId="81"/>
    <tableColumn id="7" xr3:uid="{85DCC35A-BFFE-4FE5-8858-062D29C10F8F}" name="MonMode" dataDxfId="80"/>
    <tableColumn id="8" xr3:uid="{29D8025C-A586-4C28-985D-ABFAA73A364E}" name="TueMode" dataDxfId="79"/>
    <tableColumn id="9" xr3:uid="{B45C5701-BB7D-4524-9CF0-2C0128629B8E}" name="WedMode" dataDxfId="78"/>
    <tableColumn id="10" xr3:uid="{6046130C-BAEE-4D57-91F2-5D7382AB54DD}" name="ThuMode" dataDxfId="77"/>
    <tableColumn id="11" xr3:uid="{D85D2F74-EFDE-4F6B-8E86-1030DA056EA2}" name="FriMode" data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0D389D5-31A0-4A74-9F7F-C1F81461EA43}" name="Table314" displayName="Table314" ref="A1:K422" totalsRowShown="0" headerRowDxfId="75" dataDxfId="73" headerRowBorderDxfId="74" tableBorderDxfId="72" totalsRowBorderDxfId="71">
  <autoFilter ref="A1:K422" xr:uid="{82913361-B21A-4886-AF9B-39D8C749EB11}"/>
  <sortState xmlns:xlrd2="http://schemas.microsoft.com/office/spreadsheetml/2017/richdata2" ref="A2:K422">
    <sortCondition ref="D1:D422"/>
  </sortState>
  <tableColumns count="11">
    <tableColumn id="1" xr3:uid="{7F65F75E-DB79-4E08-8C0A-24FC96873577}" name="FirstName" dataDxfId="70"/>
    <tableColumn id="2" xr3:uid="{A1568559-3767-464D-BA04-A66F56933890}" name="LastName" dataDxfId="69"/>
    <tableColumn id="3" xr3:uid="{311DA245-F41C-48F2-B00F-8B3141306F03}" name="Zip" dataDxfId="68"/>
    <tableColumn id="4" xr3:uid="{58B8E115-D169-48A4-AFD6-FFEE725C425B}" name="Miles To Work (one way)" dataDxfId="67"/>
    <tableColumn id="5" xr3:uid="{5D8DF4B5-BEFC-4130-A4EA-064ED6B69FEC}" name="Employee ID" dataDxfId="66"/>
    <tableColumn id="6" xr3:uid="{6B765A9D-C91B-4D84-A7DA-5873149BB017}" name="Employee Type" dataDxfId="65"/>
    <tableColumn id="7" xr3:uid="{D0495EC2-FD61-4DFB-B109-1962CDC3F943}" name="MonMode" dataDxfId="64"/>
    <tableColumn id="8" xr3:uid="{83401081-23F0-43F5-AAC6-A60B313D855C}" name="TueMode" dataDxfId="63"/>
    <tableColumn id="9" xr3:uid="{CBB9B8DD-DA90-4DF4-B2E0-62C5EACCF016}" name="WedMode" dataDxfId="62"/>
    <tableColumn id="10" xr3:uid="{C9F0C21E-F630-4A52-8EB2-391B070FC036}" name="ThuMode" dataDxfId="61"/>
    <tableColumn id="11" xr3:uid="{8A336AD5-6536-4976-AA9C-2B4DA69342B0}" name="FriMode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913361-B21A-4886-AF9B-39D8C749EB11}" name="Table3" displayName="Table3" ref="A1:K422" totalsRowShown="0" headerRowDxfId="59" dataDxfId="57" headerRowBorderDxfId="58" tableBorderDxfId="56" totalsRowBorderDxfId="55">
  <autoFilter ref="A1:K422" xr:uid="{82913361-B21A-4886-AF9B-39D8C749EB11}"/>
  <sortState xmlns:xlrd2="http://schemas.microsoft.com/office/spreadsheetml/2017/richdata2" ref="A2:K422">
    <sortCondition ref="D1:D422"/>
  </sortState>
  <tableColumns count="11">
    <tableColumn id="1" xr3:uid="{2E504215-87D5-421B-81BD-07126FF443A4}" name="FirstName" dataDxfId="54"/>
    <tableColumn id="2" xr3:uid="{89BF76A5-70B4-41BD-B26C-324CE262BCB8}" name="LastName" dataDxfId="53"/>
    <tableColumn id="3" xr3:uid="{8E8D2E88-8D2D-409A-ACA9-40E4DE2F6D93}" name="Zip" dataDxfId="52"/>
    <tableColumn id="4" xr3:uid="{CA7570EB-A8F6-436D-8F6A-0762C88DB43B}" name="Miles To Work (one way)" dataDxfId="51"/>
    <tableColumn id="5" xr3:uid="{75472B04-D031-44CD-8494-079AB410C716}" name="Employee ID" dataDxfId="50"/>
    <tableColumn id="6" xr3:uid="{CC6CE9ED-46BA-448B-A2F7-A24E363EC532}" name="Employee Type" dataDxfId="49"/>
    <tableColumn id="7" xr3:uid="{A2BF795C-FF1C-486C-84B1-1EA58503E1B2}" name="MonMode" dataDxfId="48"/>
    <tableColumn id="8" xr3:uid="{1550BF6F-60ED-4BDD-B250-6FC7F6F5D9FA}" name="TueMode" dataDxfId="47"/>
    <tableColumn id="9" xr3:uid="{38C233FD-266B-4777-8F73-963ADC5E19B7}" name="WedMode" dataDxfId="46"/>
    <tableColumn id="10" xr3:uid="{70C1F802-6E1E-4ABA-95C7-0ACD3596F752}" name="ThuMode" dataDxfId="45"/>
    <tableColumn id="11" xr3:uid="{2ACCE6F3-3740-49AF-A03B-49E1D988981D}" name="FriMode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6F4D8A-1561-4439-AC96-6E04934D0AE2}" name="Table5" displayName="Table5" ref="A1:K473" totalsRowShown="0">
  <autoFilter ref="A1:K473" xr:uid="{3D47B02D-C191-4178-9875-2426A35B6253}"/>
  <sortState xmlns:xlrd2="http://schemas.microsoft.com/office/spreadsheetml/2017/richdata2" ref="A2:K473">
    <sortCondition descending="1" ref="D1:D473"/>
  </sortState>
  <tableColumns count="11">
    <tableColumn id="1" xr3:uid="{550C2380-31EF-4C1A-B652-DB839EA87012}" name="FirstName"/>
    <tableColumn id="2" xr3:uid="{AFB812BB-9841-42FF-9B46-328928D90CD1}" name="LastName"/>
    <tableColumn id="3" xr3:uid="{49100E65-DD9E-4756-8F79-271ABCD7C439}" name="Zip"/>
    <tableColumn id="4" xr3:uid="{F6D9596E-870D-42C5-BDD6-B4E06B2BBB94}" name="Miles To Work (one way)"/>
    <tableColumn id="5" xr3:uid="{4E172D51-76CC-4AD3-BBD8-39A222F11A5C}" name="Employee ID"/>
    <tableColumn id="6" xr3:uid="{CC1B1AE3-491E-4621-9316-6AEBEE60A345}" name="Employee Type"/>
    <tableColumn id="7" xr3:uid="{ABC4E576-DE2B-46F4-97C9-38AAE1B3514A}" name="MonMode"/>
    <tableColumn id="8" xr3:uid="{A005D125-CC0F-4C56-B1FC-D3062EF6C0DA}" name="TueMode"/>
    <tableColumn id="9" xr3:uid="{D034E501-6DA2-44A0-B4EB-B40F5A4833C8}" name="WedMode"/>
    <tableColumn id="10" xr3:uid="{807DD847-75BC-43D3-816E-66C1A9BC1B2A}" name="ThuMode"/>
    <tableColumn id="11" xr3:uid="{40F63B9A-E72C-4071-8CB8-735AB0664AAE}" name="FriM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AC69EF-8E14-4B36-AF21-75D0233476DF}" name="Table4" displayName="Table4" ref="A1:K433" totalsRowShown="0">
  <autoFilter ref="A1:K433" xr:uid="{05AC69EF-8E14-4B36-AF21-75D0233476DF}"/>
  <sortState xmlns:xlrd2="http://schemas.microsoft.com/office/spreadsheetml/2017/richdata2" ref="A2:K433">
    <sortCondition descending="1" ref="D1:D433"/>
  </sortState>
  <tableColumns count="11">
    <tableColumn id="1" xr3:uid="{7D81B9A9-7283-4BE7-99FC-B2AA174C4A54}" name="FirstName"/>
    <tableColumn id="2" xr3:uid="{1045A1EE-A29E-4CA5-BB58-79972883BE33}" name="LastName"/>
    <tableColumn id="3" xr3:uid="{3D267F69-1551-46EC-9ACF-215C784095B0}" name="Zip"/>
    <tableColumn id="4" xr3:uid="{11FDBA6A-AAF6-4236-911D-AD87C00B0A9D}" name="MilesToWork"/>
    <tableColumn id="5" xr3:uid="{6BA8D037-DBAF-4DB4-8AD8-3525339FC2F9}" name="Employee ID"/>
    <tableColumn id="6" xr3:uid="{4730872B-DA41-4549-9F44-DC82397E7613}" name="Employee Type"/>
    <tableColumn id="7" xr3:uid="{BD7C71DF-9699-4AE4-845B-7C7938364BAD}" name="MonMode"/>
    <tableColumn id="8" xr3:uid="{40CC9323-E04E-4D17-A8A7-E7E63B49F1D7}" name="TueMode"/>
    <tableColumn id="9" xr3:uid="{5D7C3107-5440-4C76-9A39-3F5004417681}" name="WedMode"/>
    <tableColumn id="10" xr3:uid="{2A4A3893-3370-4EE6-B45C-0ED49A32CC01}" name="ThuMode"/>
    <tableColumn id="11" xr3:uid="{2B5E3195-442B-4E1F-B98B-C961C0C1DEA2}" name="FriM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4DB154-32BE-4675-9321-3AAA21A17FFD}" name="Table6" displayName="Table6" ref="A1:K262" totalsRowShown="0" headerRowDxfId="43" headerRowBorderDxfId="42" tableBorderDxfId="41">
  <autoFilter ref="A1:K262" xr:uid="{4F4DB154-32BE-4675-9321-3AAA21A17FFD}"/>
  <sortState xmlns:xlrd2="http://schemas.microsoft.com/office/spreadsheetml/2017/richdata2" ref="A2:K262">
    <sortCondition descending="1" ref="D1:D262"/>
  </sortState>
  <tableColumns count="11">
    <tableColumn id="1" xr3:uid="{DCDC2D6E-BD7B-4F56-BCD2-4BC6AA6D1FD8}" name="FirstName"/>
    <tableColumn id="2" xr3:uid="{1AF53F32-E090-4216-AD91-F1F8B5A8D740}" name="LastName"/>
    <tableColumn id="3" xr3:uid="{CB0897E5-CB59-45A9-907E-D4376B13AD52}" name="Zip"/>
    <tableColumn id="4" xr3:uid="{E2DB5347-7EA2-4271-A0FC-FCB6C7D03592}" name="MilesToWork"/>
    <tableColumn id="5" xr3:uid="{6F356E0C-0421-468A-9374-C6FA05410E29}" name="Employee ID"/>
    <tableColumn id="6" xr3:uid="{4EA98C07-646F-4C3B-A4F7-31E77968BAAC}" name="Employee Type"/>
    <tableColumn id="7" xr3:uid="{21B57786-9AFC-4DB5-9E82-8D9C19D2B253}" name="MonMode"/>
    <tableColumn id="8" xr3:uid="{0343C1FC-24A7-42E0-B550-2E6737471344}" name="TueMode"/>
    <tableColumn id="9" xr3:uid="{74125903-DB7B-46D3-AA4B-FF09217FF0FB}" name="WedMode"/>
    <tableColumn id="10" xr3:uid="{2F53B366-9E09-49A8-97F8-AAB5F1198B2C}" name="ThuMode"/>
    <tableColumn id="11" xr3:uid="{1F7C894C-FBF0-4048-9ABB-EF76F877880E}" name="FriM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32E909-9C8B-4B8A-ACB5-B7CA74B5F887}" name="Table10" displayName="Table10" ref="A1:H451" totalsRowShown="0">
  <autoFilter ref="A1:H451" xr:uid="{FF32E909-9C8B-4B8A-ACB5-B7CA74B5F887}"/>
  <sortState xmlns:xlrd2="http://schemas.microsoft.com/office/spreadsheetml/2017/richdata2" ref="A2:H451">
    <sortCondition descending="1" ref="B1:B451"/>
  </sortState>
  <tableColumns count="8">
    <tableColumn id="1" xr3:uid="{8641E07F-B6EC-4E3A-BBB9-B24D66C96D8C}" name="Zip"/>
    <tableColumn id="2" xr3:uid="{AC1D3707-59A6-4CF8-8A68-E1D9CE42E49D}" name="MilesToWork"/>
    <tableColumn id="3" xr3:uid="{2AA584BF-1AE9-42BB-A02A-00B4FF27B85C}" name="Employee Type"/>
    <tableColumn id="4" xr3:uid="{08C19128-AFF3-4949-969D-AC81A85CF809}" name="MonMode"/>
    <tableColumn id="5" xr3:uid="{7623F8D3-D70F-49C4-B5BC-72471B2F1A05}" name="TueMode"/>
    <tableColumn id="6" xr3:uid="{CA3914CA-7079-4FAF-B02A-6DAF373322A7}" name="WedMode"/>
    <tableColumn id="7" xr3:uid="{429ACB1A-763D-4510-98DC-A684F9CC4E05}" name="ThuMode"/>
    <tableColumn id="8" xr3:uid="{917CFDDC-86F4-4DF6-821E-F8CF4EDE2871}" name="FriM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6F1010-92B6-40E2-A395-9EF16040FBF6}" name="Table7" displayName="Table7" ref="A1:H514" totalsRowShown="0" headerRowDxfId="40" headerRowBorderDxfId="39" tableBorderDxfId="38">
  <autoFilter ref="A1:H514" xr:uid="{9F6F1010-92B6-40E2-A395-9EF16040FBF6}"/>
  <sortState xmlns:xlrd2="http://schemas.microsoft.com/office/spreadsheetml/2017/richdata2" ref="A2:H514">
    <sortCondition descending="1" ref="B1:B514"/>
  </sortState>
  <tableColumns count="8">
    <tableColumn id="1" xr3:uid="{AA7280EC-9CD2-4642-A442-F13D566AD060}" name="Zip"/>
    <tableColumn id="2" xr3:uid="{68D449F9-CC2F-47A8-B419-4A79B573A2B2}" name="Miles To Work (one way)"/>
    <tableColumn id="3" xr3:uid="{4D1C9FA5-45FC-4622-8C9D-5DE661293511}" name="Department"/>
    <tableColumn id="4" xr3:uid="{8823C63F-C71A-4812-AABD-8F37433DF851}" name="MonMode"/>
    <tableColumn id="5" xr3:uid="{73F0C16F-9F3B-4FA2-8098-81696F448602}" name="TueMode"/>
    <tableColumn id="6" xr3:uid="{66A2D832-34C6-4AD2-AFED-CCB9201E94B1}" name="WedMode"/>
    <tableColumn id="7" xr3:uid="{54434B1B-D844-4E0F-9045-AC088C79FE66}" name="ThuMode"/>
    <tableColumn id="8" xr3:uid="{0EB7C04A-72DB-4419-955E-84B1859F817D}" name="FriM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3B152B-23C1-4020-BBBE-336508F2477D}" name="Table8" displayName="Table8" ref="A1:H488" totalsRowShown="0" headerRowDxfId="37" dataDxfId="35" headerRowBorderDxfId="36" tableBorderDxfId="34">
  <autoFilter ref="A1:H488" xr:uid="{5C3B152B-23C1-4020-BBBE-336508F2477D}"/>
  <tableColumns count="8">
    <tableColumn id="2" xr3:uid="{7DB8953D-72FC-4F46-835E-9465634A2029}" name="Zip" dataDxfId="33"/>
    <tableColumn id="3" xr3:uid="{021B7A01-58EB-4CA0-BE46-3CD36C4E4E09}" name="Miles To Work (one way)" dataDxfId="32"/>
    <tableColumn id="1" xr3:uid="{51B9462A-A382-43BE-880F-AE911545C1F7}" name="Department" dataDxfId="31"/>
    <tableColumn id="4" xr3:uid="{AA8B83C0-DE2B-4810-9BF8-DB0292AF55BB}" name="MonMode" dataDxfId="30"/>
    <tableColumn id="5" xr3:uid="{3A205DE3-16E7-4AA7-971A-620D7932D50E}" name="TueMode" dataDxfId="29"/>
    <tableColumn id="6" xr3:uid="{B8516B61-B5C5-41CF-8446-E5D42C1084E0}" name="WedMode" dataDxfId="28"/>
    <tableColumn id="7" xr3:uid="{A86259BD-91EC-4303-A87D-0EDCA0430C41}" name="ThuMode" dataDxfId="27"/>
    <tableColumn id="8" xr3:uid="{99A2F151-D644-4844-8858-B001BAD75F2F}" name="FriMode" dataDxfId="2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C93A5C-F217-4D2D-9C09-33F595C157E9}" name="Table9" displayName="Table9" ref="A1:F434" totalsRowShown="0" headerRowDxfId="25" headerRowBorderDxfId="24" tableBorderDxfId="23">
  <autoFilter ref="A1:F434" xr:uid="{97C93A5C-F217-4D2D-9C09-33F595C157E9}"/>
  <tableColumns count="6">
    <tableColumn id="1" xr3:uid="{A1F90A95-F01B-49CD-9A8F-FCB85CFC9594}" name="Miles To Work (one way)"/>
    <tableColumn id="2" xr3:uid="{FAFD1FB0-219F-4966-91D6-1EE81A3262F0}" name="MonMode"/>
    <tableColumn id="3" xr3:uid="{0443B13F-AA6D-4696-9A1A-5CD5B13238B5}" name="TueMode"/>
    <tableColumn id="4" xr3:uid="{87C56CA8-EB63-425C-AEE1-8A16ABC30D69}" name="WedMode"/>
    <tableColumn id="5" xr3:uid="{7D8FE1DA-7366-4B4C-B4F7-AC3F4B18EE3F}" name="ThuMode"/>
    <tableColumn id="6" xr3:uid="{A83E7B72-F217-4777-84D0-0FA42125B34D}" name="FriMo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35D32-0166-4E7A-9807-0CC839DD7360}" name="Table12" displayName="Table12" ref="A1:G223" totalsRowShown="0" headerRowDxfId="22" dataDxfId="21">
  <autoFilter ref="A1:G223" xr:uid="{00035D32-0166-4E7A-9807-0CC839DD7360}"/>
  <sortState xmlns:xlrd2="http://schemas.microsoft.com/office/spreadsheetml/2017/richdata2" ref="A2:G223">
    <sortCondition ref="B1:B223"/>
  </sortState>
  <tableColumns count="7">
    <tableColumn id="1" xr3:uid="{62A077C9-10DE-4DE1-BB5E-3BCB574BD08C}" name="Department" dataDxfId="20"/>
    <tableColumn id="2" xr3:uid="{2809834F-0480-42D0-BAE2-D9BBBC29A59C}" name="MilesToWork (one way)" dataDxfId="19"/>
    <tableColumn id="3" xr3:uid="{7300928D-B3EB-4304-9D07-F6023670F839}" name="Monday" dataDxfId="18"/>
    <tableColumn id="5" xr3:uid="{C25326D9-C257-45E3-89E3-CDA6CE1AD461}" name="Tuesday" dataDxfId="17"/>
    <tableColumn id="7" xr3:uid="{E099F183-8E67-41BD-A543-00690D369276}" name="Wednesday" dataDxfId="16"/>
    <tableColumn id="9" xr3:uid="{EFDD3154-9D8C-4E3E-933A-56E9F0A8B3FE}" name="Thursday" dataDxfId="15"/>
    <tableColumn id="11" xr3:uid="{F45D75FA-AF5B-46F9-A85C-BF9ECAE0C58B}" name="Friday" dataDxfId="1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5E8755-BC18-4703-997E-939FD63AFD9C}" name="Table11" displayName="Table11" ref="A1:G403" totalsRowShown="0" headerRowDxfId="13" dataDxfId="12">
  <autoFilter ref="A1:G403" xr:uid="{935E8755-BC18-4703-997E-939FD63AFD9C}"/>
  <sortState xmlns:xlrd2="http://schemas.microsoft.com/office/spreadsheetml/2017/richdata2" ref="A2:G403">
    <sortCondition descending="1" ref="B1:B403"/>
  </sortState>
  <tableColumns count="7">
    <tableColumn id="1" xr3:uid="{2B01083D-73B9-45C6-8483-4F4FBC076EB6}" name="Department" dataDxfId="11"/>
    <tableColumn id="2" xr3:uid="{B7E6422F-71B9-4D4F-8EF8-42C1889157C5}" name="MilesToWork" dataDxfId="10"/>
    <tableColumn id="3" xr3:uid="{4CF6053B-2861-4869-8314-430D8D4E6EA2}" name="MonMode" dataDxfId="9"/>
    <tableColumn id="4" xr3:uid="{B9AB8768-BCB4-4873-9295-C32C124FDB9F}" name="TueMode" dataDxfId="8"/>
    <tableColumn id="5" xr3:uid="{5236C466-A4A3-4CA3-94A8-CA51F96300F2}" name="WedMode" dataDxfId="7"/>
    <tableColumn id="6" xr3:uid="{DA2322F7-F46D-4687-90F3-C436B12EB534}" name="ThuMode" dataDxfId="6"/>
    <tableColumn id="7" xr3:uid="{4715883D-D821-4C1A-9CCC-97517B01C654}" name="FriMode" dataDxf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FCFDE-EA27-4BD2-8633-D2169AA9EA2B}" name="Table1" displayName="Table1" ref="B2:S558" totalsRowShown="0">
  <autoFilter ref="B2:S558" xr:uid="{FBBFCFDE-EA27-4BD2-8633-D2169AA9EA2B}">
    <filterColumn colId="5">
      <filters>
        <filter val="Faculty"/>
      </filters>
    </filterColumn>
  </autoFilter>
  <tableColumns count="18">
    <tableColumn id="1" xr3:uid="{A691574F-B8C9-418D-8724-F4D6F1D9256D}" name="FirstName"/>
    <tableColumn id="2" xr3:uid="{7D4388A9-D670-4C81-ACA9-1F004182CA25}" name="LastName"/>
    <tableColumn id="3" xr3:uid="{D9B123F2-83C4-4EFB-A52A-0DDE34289595}" name="Zip"/>
    <tableColumn id="4" xr3:uid="{70270EC6-D109-4BD3-BDF8-CC8EF39BDB9A}" name="Miles To Work (one way)"/>
    <tableColumn id="5" xr3:uid="{954590A7-EC3B-4701-A048-59DB2596A48C}" name="Employee ID"/>
    <tableColumn id="6" xr3:uid="{AA2CF5E7-1552-48A6-83A3-27B9CDF6B41E}" name="Employee Type"/>
    <tableColumn id="7" xr3:uid="{3C1E9579-A545-44AB-8289-3247AA600538}" name="MonMode"/>
    <tableColumn id="8" xr3:uid="{E77D9744-D3E6-42A2-A176-6FD1CBCD72A0}" name="MonStartTime" dataDxfId="4"/>
    <tableColumn id="9" xr3:uid="{CD3CD9D9-2A52-486B-866F-3A8035A2E681}" name="TueMode"/>
    <tableColumn id="10" xr3:uid="{3A0F38CA-562D-49E2-B19C-21ABD244BF4D}" name="TueStartTime" dataDxfId="3"/>
    <tableColumn id="11" xr3:uid="{68843D3D-F83C-48E4-AFA6-09AEB006D431}" name="WedMode"/>
    <tableColumn id="12" xr3:uid="{E5F0B919-20C3-44CB-A980-DCBF44F3C28E}" name="WedStartTime" dataDxfId="2"/>
    <tableColumn id="13" xr3:uid="{821AB3DE-FC98-4797-B328-ABCE6585BB6B}" name="ThuMode"/>
    <tableColumn id="14" xr3:uid="{8426F969-401C-4896-B5B6-840D54EC816A}" name="ThuStartTime" dataDxfId="1"/>
    <tableColumn id="15" xr3:uid="{419374D8-127E-46BC-A8CB-6CA51EA4CA02}" name="FriMode"/>
    <tableColumn id="16" xr3:uid="{368753A4-548C-4458-A1FA-167A9E6789D2}" name="FriStartTime" dataDxfId="0"/>
    <tableColumn id="17" xr3:uid="{05D6D88C-CA41-4DE7-AF2A-874E973873DD}" name="In Window"/>
    <tableColumn id="18" xr3:uid="{C1A32082-43CB-4FE2-96B7-C48E17732ABF}" name="Survey Submi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E082-49B2-424B-A269-E858A659FCA7}">
  <dimension ref="A1:X552"/>
  <sheetViews>
    <sheetView tabSelected="1" workbookViewId="0">
      <selection activeCell="A2" sqref="A2:B400"/>
    </sheetView>
  </sheetViews>
  <sheetFormatPr baseColWidth="10" defaultColWidth="8.83203125" defaultRowHeight="15" x14ac:dyDescent="0.2"/>
  <cols>
    <col min="1" max="1" width="16.83203125" style="4" bestFit="1" customWidth="1"/>
    <col min="2" max="2" width="19.5" style="4" bestFit="1" customWidth="1"/>
    <col min="3" max="3" width="9.1640625" style="4"/>
    <col min="4" max="4" width="26.1640625" style="4" bestFit="1" customWidth="1"/>
    <col min="5" max="5" width="14.5" style="4" bestFit="1" customWidth="1"/>
    <col min="6" max="6" width="30.6640625" style="4" bestFit="1" customWidth="1"/>
    <col min="7" max="11" width="25.83203125" style="4" bestFit="1" customWidth="1"/>
    <col min="13" max="13" width="34.83203125" customWidth="1"/>
    <col min="14" max="14" width="14.6640625" customWidth="1"/>
    <col min="16" max="16" width="12.6640625" customWidth="1"/>
    <col min="17" max="17" width="16.33203125" customWidth="1"/>
    <col min="18" max="18" width="17.33203125" customWidth="1"/>
    <col min="19" max="19" width="13.6640625" customWidth="1"/>
    <col min="20" max="20" width="16.6640625" customWidth="1"/>
    <col min="21" max="21" width="18.5" customWidth="1"/>
    <col min="22" max="22" width="15" customWidth="1"/>
    <col min="24" max="24" width="17.1640625" customWidth="1"/>
    <col min="25" max="25" width="19.33203125" customWidth="1"/>
  </cols>
  <sheetData>
    <row r="1" spans="1:24" ht="16.5" customHeight="1" x14ac:dyDescent="0.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  <c r="M1" s="71" t="s">
        <v>11</v>
      </c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4" x14ac:dyDescent="0.2">
      <c r="A2" s="12"/>
      <c r="C2" s="4" t="s">
        <v>13</v>
      </c>
      <c r="D2" s="4">
        <v>42</v>
      </c>
      <c r="E2" s="4" t="s">
        <v>14</v>
      </c>
      <c r="F2" s="4" t="s">
        <v>15</v>
      </c>
      <c r="G2" s="4" t="s">
        <v>16</v>
      </c>
      <c r="H2" s="4" t="s">
        <v>16</v>
      </c>
      <c r="I2" s="4" t="s">
        <v>16</v>
      </c>
      <c r="J2" s="4" t="s">
        <v>16</v>
      </c>
      <c r="K2" s="14" t="s">
        <v>16</v>
      </c>
      <c r="M2" s="18"/>
      <c r="N2" s="18" t="s">
        <v>17</v>
      </c>
      <c r="O2" s="18" t="s">
        <v>18</v>
      </c>
      <c r="P2" s="18" t="s">
        <v>19</v>
      </c>
      <c r="Q2" s="18" t="s">
        <v>20</v>
      </c>
      <c r="R2" s="18" t="s">
        <v>21</v>
      </c>
      <c r="S2" s="18" t="s">
        <v>22</v>
      </c>
      <c r="T2" s="18" t="s">
        <v>23</v>
      </c>
      <c r="U2" s="18" t="s">
        <v>24</v>
      </c>
      <c r="V2" s="19" t="s">
        <v>25</v>
      </c>
      <c r="W2" s="20" t="s">
        <v>26</v>
      </c>
    </row>
    <row r="3" spans="1:24" x14ac:dyDescent="0.2">
      <c r="A3" s="12"/>
      <c r="C3" s="4" t="s">
        <v>29</v>
      </c>
      <c r="D3" s="4">
        <v>24</v>
      </c>
      <c r="E3" s="4" t="s">
        <v>30</v>
      </c>
      <c r="F3" s="4" t="s">
        <v>15</v>
      </c>
      <c r="G3" s="4" t="s">
        <v>31</v>
      </c>
      <c r="H3" s="4" t="s">
        <v>31</v>
      </c>
      <c r="I3" s="4" t="s">
        <v>31</v>
      </c>
      <c r="J3" s="4" t="s">
        <v>31</v>
      </c>
      <c r="K3" s="14" t="s">
        <v>31</v>
      </c>
      <c r="M3" s="10" t="s">
        <v>32</v>
      </c>
      <c r="N3" s="24" cm="1">
        <f t="array" ref="N3">SUM(COUNTIF($G:$K,{"H*","I*"}))/W10</f>
        <v>0.56616800920598387</v>
      </c>
      <c r="O3" s="21">
        <f>COUNTIF($G:$K,"E*")/W10</f>
        <v>3.7399309551208286E-2</v>
      </c>
      <c r="P3" s="21" cm="1">
        <f t="array" ref="P3">SUM(COUNTIF($G:$K,{"J*","K*","L*","M*","N*","O*","P*","Q*","R*","S*","T*","U*","V*","W*"}))/W10</f>
        <v>6.2140391254315308E-2</v>
      </c>
      <c r="Q3" s="21">
        <f>COUNTIF($G:$K,"C*")/W10</f>
        <v>4.6029919447640968E-2</v>
      </c>
      <c r="R3" s="21">
        <f>COUNTIF($G:$K,"A*")/W10</f>
        <v>0.12025316455696203</v>
      </c>
      <c r="S3" s="21">
        <v>0</v>
      </c>
      <c r="T3" s="21">
        <f>COUNTIF($G:$K,"B*")/W10</f>
        <v>1.0356731875719217E-2</v>
      </c>
      <c r="U3" s="21">
        <f>COUNTIF($G:$K,"F*")/W10</f>
        <v>9.8964326812428074E-2</v>
      </c>
      <c r="V3" s="22">
        <f>COUNTIF($G:$K,"D*")/W10</f>
        <v>5.8688147295742232E-2</v>
      </c>
      <c r="W3" s="21">
        <f>SUM(N3:V3)</f>
        <v>0.99999999999999989</v>
      </c>
    </row>
    <row r="4" spans="1:24" ht="16.5" customHeight="1" x14ac:dyDescent="0.2">
      <c r="A4" s="12"/>
      <c r="C4" s="4" t="s">
        <v>34</v>
      </c>
      <c r="D4" s="4">
        <v>18</v>
      </c>
      <c r="E4" s="4" t="s">
        <v>35</v>
      </c>
      <c r="F4" s="4" t="s">
        <v>15</v>
      </c>
      <c r="G4" s="4" t="s">
        <v>36</v>
      </c>
      <c r="H4" s="4" t="s">
        <v>37</v>
      </c>
      <c r="I4" s="4" t="s">
        <v>37</v>
      </c>
      <c r="J4" s="4" t="s">
        <v>37</v>
      </c>
      <c r="K4" s="14" t="s">
        <v>36</v>
      </c>
      <c r="M4" s="29" t="s">
        <v>38</v>
      </c>
      <c r="N4" s="30" cm="1">
        <f t="array" ref="N4">SUM(_xlfn.BYCOL(G:K,_xlfn.LAMBDA(_xlpm.col,SUMIF(_xlpm.col,"H*",D:D)+SUMIF(_xlpm.col,"I*",D:D))))/N10</f>
        <v>12.942073170731707</v>
      </c>
      <c r="O4" s="31" cm="1">
        <f t="array" ref="O4">SUM(_xlfn.BYCOL(G:K,_xlfn.LAMBDA(_xlpm.col,SUMIF(_xlpm.col,"E*",D:D))))/O10</f>
        <v>2.2923076923076922</v>
      </c>
      <c r="P4" s="32" cm="1">
        <f t="array" ref="P4">SUM(_xlfn.BYCOL($G:$K,_xlfn.LAMBDA(_xlpm.col,SUMIF(_xlpm.col,"J*",$D:$D)+SUMIF(_xlpm.col,"K*",$D:$D)+SUMIF(_xlpm.col,"L*",$D:$D)+SUMIF(_xlpm.col,"M*",$D:$D)+SUMIF(_xlpm.col,"N*",$D:$D)+SUMIF(_xlpm.col,"O*",$D:$D)+SUMIF(_xlpm.col,"P*",$D:$D)+SUMIF(_xlpm.col,"Q*",$D:$D)+SUMIF(_xlpm.col,"R*",$D:$D)+SUMIF(_xlpm.col,"S*",$D:$D)+SUMIF(_xlpm.col,"T*",$D:$D)+SUMIF(_xlpm.col,"U*",$D:$D)+SUMIF(_xlpm.col,"V*",$D:$D)+SUMIF(_xlpm.col,"W*",$D:$D))))/$P10</f>
        <v>6.9629629629629628</v>
      </c>
      <c r="Q4" s="32" cm="1">
        <f t="array" ref="Q4">SUM(_xlfn.BYCOL(G:K,_xlfn.LAMBDA(_xlpm.col,SUMIF(_xlpm.col,"C*",D:D))))/Q10</f>
        <v>22.024999999999999</v>
      </c>
      <c r="R4" s="32" cm="1">
        <f t="array" ref="R4">SUM(_xlfn.BYCOL(G:K,_xlfn.LAMBDA(_xlpm.col,SUMIF(_xlpm.col,"A*",D:D))))/R10</f>
        <v>15.688995215311005</v>
      </c>
      <c r="S4" s="32" t="s">
        <v>39</v>
      </c>
      <c r="T4" s="32" cm="1">
        <f t="array" ref="T4">SUM(_xlfn.BYCOL(G:K,_xlfn.LAMBDA(_xlpm.col,SUMIF(_xlpm.col,"B*",D:D))))/T10</f>
        <v>11.055555555555555</v>
      </c>
      <c r="U4" s="32" t="s">
        <v>39</v>
      </c>
      <c r="V4" s="32" cm="1">
        <f t="array" ref="V4">SUM(_xlfn.BYCOL(G:K,_xlfn.LAMBDA(_xlpm.col,SUMIF(_xlpm.col,"D*",D:D))))/V10</f>
        <v>1.0294117647058822</v>
      </c>
      <c r="W4" s="30">
        <f>AVERAGE(N4:V4)</f>
        <v>10.285186623082113</v>
      </c>
    </row>
    <row r="5" spans="1:24" x14ac:dyDescent="0.2">
      <c r="A5" s="12"/>
      <c r="C5" s="4" t="s">
        <v>41</v>
      </c>
      <c r="D5" s="4">
        <v>30</v>
      </c>
      <c r="E5" s="4" t="s">
        <v>42</v>
      </c>
      <c r="F5" s="4" t="s">
        <v>15</v>
      </c>
      <c r="G5" s="4" t="s">
        <v>37</v>
      </c>
      <c r="H5" s="4" t="s">
        <v>43</v>
      </c>
      <c r="I5" s="4" t="s">
        <v>43</v>
      </c>
      <c r="J5" s="4" t="s">
        <v>43</v>
      </c>
      <c r="K5" s="14" t="s">
        <v>37</v>
      </c>
      <c r="M5" s="10" t="s">
        <v>44</v>
      </c>
      <c r="N5" s="10"/>
      <c r="O5" s="10"/>
      <c r="P5" s="39" cm="1">
        <f t="array" ref="P5">SUM(_xlfn.BYCOL($G:$K,_xlfn.LAMBDA(_xlpm.col,SUMIF(_xlpm.col,"J.*",$D:$D)*2+SUMIF(_xlpm.col,"K.*",$D:$D)*3+SUMIF(_xlpm.col,"L.*",$D:$D)*4+SUMIF(_xlpm.col,"M.*",$D:$D)*5+SUMIF(_xlpm.col,"N.*",$D:$D)*6+SUMIF(_xlpm.col,"O.*",$D:$D)*7+SUMIF(_xlpm.col,"P.*",$D:$D)*8+SUMIF(_xlpm.col,"Q.*",$D:$D)*9+SUMIF(_xlpm.col,"R.*",$D:$D)*10+SUMIF(_xlpm.col,"S.*",$D:$D)*11+SUMIF(_xlpm.col,"T.*",$D:$D)*12+SUMIF(_xlpm.col,"U.*",$D:$D)*13+SUMIF(_xlpm.col,"V.*",$D:$D)*14+SUMIF(_xlpm.col,"W.*",$D:$D)*15)))/$P10</f>
        <v>0</v>
      </c>
      <c r="Q5" s="10"/>
      <c r="R5" s="10"/>
      <c r="S5" s="10"/>
      <c r="T5" s="10"/>
      <c r="U5" s="10"/>
      <c r="V5" s="10"/>
      <c r="W5" s="10"/>
    </row>
    <row r="6" spans="1:24" x14ac:dyDescent="0.2">
      <c r="A6" s="12"/>
      <c r="C6" s="4" t="s">
        <v>45</v>
      </c>
      <c r="D6" s="4">
        <v>30</v>
      </c>
      <c r="E6" s="4" t="s">
        <v>46</v>
      </c>
      <c r="F6" s="4" t="s">
        <v>15</v>
      </c>
      <c r="G6" s="4" t="s">
        <v>36</v>
      </c>
      <c r="H6" s="4" t="s">
        <v>37</v>
      </c>
      <c r="I6" s="4" t="s">
        <v>37</v>
      </c>
      <c r="J6" s="4" t="s">
        <v>37</v>
      </c>
      <c r="K6" s="14" t="s">
        <v>36</v>
      </c>
      <c r="M6" s="40" t="s">
        <v>47</v>
      </c>
      <c r="N6" s="40"/>
      <c r="O6" s="40"/>
      <c r="P6" s="41">
        <f>P5/P4</f>
        <v>0</v>
      </c>
      <c r="Q6" s="40"/>
      <c r="R6" s="40"/>
      <c r="S6" s="40"/>
      <c r="T6" s="40"/>
      <c r="U6" s="40"/>
      <c r="V6" s="40"/>
      <c r="W6" s="40"/>
    </row>
    <row r="7" spans="1:24" x14ac:dyDescent="0.2">
      <c r="A7" s="12"/>
      <c r="C7" s="4" t="s">
        <v>50</v>
      </c>
      <c r="D7" s="4">
        <v>14</v>
      </c>
      <c r="E7" s="4" t="s">
        <v>51</v>
      </c>
      <c r="F7" s="4" t="s">
        <v>15</v>
      </c>
      <c r="G7" s="4" t="s">
        <v>37</v>
      </c>
      <c r="H7" s="4" t="s">
        <v>37</v>
      </c>
      <c r="I7" s="4" t="s">
        <v>37</v>
      </c>
      <c r="J7" s="4" t="s">
        <v>37</v>
      </c>
      <c r="K7" s="14" t="s">
        <v>37</v>
      </c>
      <c r="P7" s="35"/>
    </row>
    <row r="8" spans="1:24" x14ac:dyDescent="0.2">
      <c r="A8" s="12"/>
      <c r="C8" s="4" t="s">
        <v>52</v>
      </c>
      <c r="D8" s="4">
        <v>8</v>
      </c>
      <c r="E8" s="4" t="s">
        <v>53</v>
      </c>
      <c r="F8" s="4" t="s">
        <v>15</v>
      </c>
      <c r="G8" s="4" t="s">
        <v>37</v>
      </c>
      <c r="H8" s="4" t="s">
        <v>37</v>
      </c>
      <c r="I8" s="4" t="s">
        <v>37</v>
      </c>
      <c r="J8" s="4" t="s">
        <v>36</v>
      </c>
      <c r="K8" s="14" t="s">
        <v>37</v>
      </c>
      <c r="M8" s="72" t="s">
        <v>54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</row>
    <row r="9" spans="1:24" x14ac:dyDescent="0.2">
      <c r="A9" s="12"/>
      <c r="C9" s="4" t="s">
        <v>57</v>
      </c>
      <c r="D9" s="4">
        <v>8</v>
      </c>
      <c r="E9" s="4" t="s">
        <v>58</v>
      </c>
      <c r="F9" s="4" t="s">
        <v>15</v>
      </c>
      <c r="G9" s="4" t="s">
        <v>37</v>
      </c>
      <c r="H9" s="4" t="s">
        <v>37</v>
      </c>
      <c r="I9" s="4" t="s">
        <v>37</v>
      </c>
      <c r="J9" s="4" t="s">
        <v>37</v>
      </c>
      <c r="K9" s="14" t="s">
        <v>37</v>
      </c>
      <c r="M9" s="4"/>
      <c r="N9" s="4" t="s">
        <v>17</v>
      </c>
      <c r="O9" s="4" t="s">
        <v>18</v>
      </c>
      <c r="P9" s="4" t="s">
        <v>19</v>
      </c>
      <c r="Q9" s="4" t="s">
        <v>20</v>
      </c>
      <c r="R9" s="4" t="s">
        <v>21</v>
      </c>
      <c r="S9" s="4" t="s">
        <v>22</v>
      </c>
      <c r="T9" s="4" t="s">
        <v>23</v>
      </c>
      <c r="U9" s="4" t="s">
        <v>24</v>
      </c>
      <c r="V9" s="4" t="s">
        <v>25</v>
      </c>
      <c r="W9" s="4" t="s">
        <v>26</v>
      </c>
      <c r="X9" s="59" t="s">
        <v>59</v>
      </c>
    </row>
    <row r="10" spans="1:24" x14ac:dyDescent="0.2">
      <c r="A10" s="12"/>
      <c r="C10" s="4" t="s">
        <v>61</v>
      </c>
      <c r="D10" s="4">
        <v>30</v>
      </c>
      <c r="E10" s="4" t="s">
        <v>62</v>
      </c>
      <c r="F10" s="4" t="s">
        <v>15</v>
      </c>
      <c r="G10" s="4" t="s">
        <v>31</v>
      </c>
      <c r="H10" s="4" t="s">
        <v>31</v>
      </c>
      <c r="I10" s="4" t="s">
        <v>31</v>
      </c>
      <c r="J10" s="4" t="s">
        <v>31</v>
      </c>
      <c r="K10" s="14" t="s">
        <v>31</v>
      </c>
      <c r="M10" s="36" t="s">
        <v>63</v>
      </c>
      <c r="N10" s="36" cm="1">
        <f t="array" ref="N10">SUM(COUNTIF($G:$K,{"H*","I*"}))</f>
        <v>984</v>
      </c>
      <c r="O10" s="36">
        <f>COUNTIF($G:$K,"E*")</f>
        <v>65</v>
      </c>
      <c r="P10" s="36" cm="1">
        <f t="array" ref="P10">SUM(COUNTIF($G:$K,{"J*","K*","L*","M*","N*","O*","P*","Q*","R*","S*","T*","U*","V*","W*"}))</f>
        <v>108</v>
      </c>
      <c r="Q10" s="62">
        <f>COUNTIF($G:$K,"C*")</f>
        <v>80</v>
      </c>
      <c r="R10" s="36">
        <f>COUNTIF($G:$K,"A*")</f>
        <v>209</v>
      </c>
      <c r="S10" s="36">
        <v>0</v>
      </c>
      <c r="T10" s="36">
        <f>COUNTIF($G:$K,"B*")</f>
        <v>18</v>
      </c>
      <c r="U10" s="36">
        <f>COUNTIF($G:$K,"F*")</f>
        <v>172</v>
      </c>
      <c r="V10" s="36">
        <f>COUNTIF($G:$K,"D*")</f>
        <v>102</v>
      </c>
      <c r="W10" s="37">
        <f>SUM(N10:V10)</f>
        <v>1738</v>
      </c>
      <c r="X10" s="4">
        <f>COUNTIFS($G2:$K1000,"&lt;&gt;",$G2:$K1000,"&lt;&gt;OFF.*",$G2:$K1000,"&lt;&gt;AA.*",$G2:$K1000,"&lt;&gt;BB.*",$G2:$K1000,"&lt;&gt;G.*",$G2:$K1000,"&lt;&gt;X.*",$G2:$K1000,"&lt;&gt;Y.*",$G2:$K1000,"&lt;&gt;Z.*",G2:K1000,"&lt;&gt;CC.*")</f>
        <v>1775</v>
      </c>
    </row>
    <row r="11" spans="1:24" x14ac:dyDescent="0.2">
      <c r="A11" s="12"/>
      <c r="C11" s="4" t="s">
        <v>64</v>
      </c>
      <c r="D11" s="4">
        <v>1</v>
      </c>
      <c r="E11" s="4" t="s">
        <v>65</v>
      </c>
      <c r="F11" s="4" t="s">
        <v>15</v>
      </c>
      <c r="G11" s="4" t="s">
        <v>37</v>
      </c>
      <c r="H11" s="4" t="s">
        <v>36</v>
      </c>
      <c r="I11" s="4" t="s">
        <v>37</v>
      </c>
      <c r="J11" s="4" t="s">
        <v>37</v>
      </c>
      <c r="K11" s="14" t="s">
        <v>36</v>
      </c>
    </row>
    <row r="12" spans="1:24" ht="16" x14ac:dyDescent="0.2">
      <c r="A12" s="12"/>
      <c r="C12" s="4" t="s">
        <v>66</v>
      </c>
      <c r="D12" s="4">
        <v>40</v>
      </c>
      <c r="E12" s="4" t="s">
        <v>67</v>
      </c>
      <c r="F12" s="4" t="s">
        <v>15</v>
      </c>
      <c r="G12" s="4" t="s">
        <v>37</v>
      </c>
      <c r="H12" s="4" t="s">
        <v>37</v>
      </c>
      <c r="I12" s="4" t="s">
        <v>37</v>
      </c>
      <c r="J12" s="4" t="s">
        <v>37</v>
      </c>
      <c r="K12" s="14" t="s">
        <v>37</v>
      </c>
      <c r="M12" s="38" t="s">
        <v>68</v>
      </c>
      <c r="O12" s="69" t="s">
        <v>69</v>
      </c>
      <c r="P12" s="73"/>
      <c r="Q12" s="70"/>
    </row>
    <row r="13" spans="1:24" ht="16" x14ac:dyDescent="0.2">
      <c r="A13" s="12"/>
      <c r="C13" s="4" t="s">
        <v>72</v>
      </c>
      <c r="D13" s="4">
        <v>33</v>
      </c>
      <c r="E13" s="4" t="s">
        <v>73</v>
      </c>
      <c r="F13" s="4" t="s">
        <v>15</v>
      </c>
      <c r="G13" s="4" t="s">
        <v>36</v>
      </c>
      <c r="H13" s="4" t="s">
        <v>37</v>
      </c>
      <c r="I13" s="4" t="s">
        <v>37</v>
      </c>
      <c r="J13" s="4" t="s">
        <v>37</v>
      </c>
      <c r="K13" s="14" t="s">
        <v>36</v>
      </c>
      <c r="M13" s="5" t="s">
        <v>74</v>
      </c>
      <c r="O13" s="74" t="s">
        <v>75</v>
      </c>
      <c r="P13" s="74"/>
      <c r="Q13" s="36" t="e">
        <f>2*W10/COUNTIFS(A:A,"&lt;&gt;",A:A,"&lt;&gt;FirstName")</f>
        <v>#DIV/0!</v>
      </c>
    </row>
    <row r="14" spans="1:24" ht="16" x14ac:dyDescent="0.2">
      <c r="A14" s="12"/>
      <c r="C14" s="4" t="s">
        <v>78</v>
      </c>
      <c r="D14" s="4">
        <v>3</v>
      </c>
      <c r="E14" s="4" t="s">
        <v>79</v>
      </c>
      <c r="F14" s="4" t="s">
        <v>15</v>
      </c>
      <c r="G14" s="4" t="s">
        <v>80</v>
      </c>
      <c r="H14" s="4" t="s">
        <v>80</v>
      </c>
      <c r="I14" s="4" t="s">
        <v>80</v>
      </c>
      <c r="J14" s="4" t="s">
        <v>80</v>
      </c>
      <c r="K14" s="14" t="s">
        <v>80</v>
      </c>
      <c r="M14" s="5" t="s">
        <v>81</v>
      </c>
      <c r="O14" s="72" t="s">
        <v>82</v>
      </c>
      <c r="P14" s="72"/>
      <c r="Q14" s="4">
        <v>820</v>
      </c>
    </row>
    <row r="15" spans="1:24" ht="16" x14ac:dyDescent="0.2">
      <c r="A15" s="12"/>
      <c r="C15" s="4" t="s">
        <v>83</v>
      </c>
      <c r="D15" s="4">
        <v>1</v>
      </c>
      <c r="E15" s="4" t="s">
        <v>84</v>
      </c>
      <c r="F15" s="4" t="s">
        <v>15</v>
      </c>
      <c r="G15" s="4" t="s">
        <v>80</v>
      </c>
      <c r="H15" s="4" t="s">
        <v>80</v>
      </c>
      <c r="I15" s="4" t="s">
        <v>80</v>
      </c>
      <c r="J15" s="4" t="s">
        <v>80</v>
      </c>
      <c r="K15" s="14" t="s">
        <v>80</v>
      </c>
      <c r="M15" s="5" t="s">
        <v>85</v>
      </c>
      <c r="O15" s="75" t="s">
        <v>86</v>
      </c>
      <c r="P15" s="75"/>
      <c r="Q15" s="59">
        <f>COUNTIFS(A:A,"&lt;&gt;",A:A,"&lt;&gt;FirstName")</f>
        <v>0</v>
      </c>
    </row>
    <row r="16" spans="1:24" ht="16" x14ac:dyDescent="0.2">
      <c r="A16" s="12"/>
      <c r="C16" s="4" t="s">
        <v>89</v>
      </c>
      <c r="D16" s="4">
        <v>41</v>
      </c>
      <c r="E16" s="4" t="s">
        <v>90</v>
      </c>
      <c r="F16" s="4" t="s">
        <v>15</v>
      </c>
      <c r="G16" s="4" t="s">
        <v>91</v>
      </c>
      <c r="H16" s="4" t="s">
        <v>91</v>
      </c>
      <c r="I16" s="4" t="s">
        <v>91</v>
      </c>
      <c r="J16" s="4" t="s">
        <v>91</v>
      </c>
      <c r="K16" s="14" t="s">
        <v>91</v>
      </c>
      <c r="M16" s="5" t="s">
        <v>92</v>
      </c>
      <c r="O16" s="72" t="s">
        <v>93</v>
      </c>
      <c r="P16" s="69"/>
      <c r="Q16" s="61">
        <f>Q15/Q14</f>
        <v>0</v>
      </c>
    </row>
    <row r="17" spans="1:22" ht="16" x14ac:dyDescent="0.2">
      <c r="A17" s="12"/>
      <c r="C17" s="4" t="s">
        <v>96</v>
      </c>
      <c r="D17" s="4">
        <v>32</v>
      </c>
      <c r="E17" s="4" t="s">
        <v>97</v>
      </c>
      <c r="F17" s="4" t="s">
        <v>15</v>
      </c>
      <c r="G17" s="4" t="s">
        <v>31</v>
      </c>
      <c r="H17" s="4" t="s">
        <v>31</v>
      </c>
      <c r="I17" s="4" t="s">
        <v>31</v>
      </c>
      <c r="J17" s="4" t="s">
        <v>31</v>
      </c>
      <c r="K17" s="14" t="s">
        <v>36</v>
      </c>
      <c r="M17" s="5" t="s">
        <v>98</v>
      </c>
      <c r="O17" s="76" t="s">
        <v>99</v>
      </c>
      <c r="P17" s="76"/>
      <c r="Q17" s="60">
        <v>49</v>
      </c>
      <c r="S17" t="s">
        <v>100</v>
      </c>
    </row>
    <row r="18" spans="1:22" ht="16" x14ac:dyDescent="0.2">
      <c r="A18" s="12"/>
      <c r="C18" s="4" t="s">
        <v>101</v>
      </c>
      <c r="D18" s="4">
        <v>40</v>
      </c>
      <c r="E18" s="4" t="s">
        <v>102</v>
      </c>
      <c r="F18" s="4" t="s">
        <v>15</v>
      </c>
      <c r="G18" s="4" t="s">
        <v>37</v>
      </c>
      <c r="H18" s="4" t="s">
        <v>37</v>
      </c>
      <c r="I18" s="4" t="s">
        <v>37</v>
      </c>
      <c r="J18" s="4" t="s">
        <v>37</v>
      </c>
      <c r="K18" s="14" t="s">
        <v>37</v>
      </c>
      <c r="M18" s="5" t="s">
        <v>103</v>
      </c>
      <c r="O18" s="69" t="s">
        <v>104</v>
      </c>
      <c r="P18" s="70"/>
      <c r="Q18" s="4">
        <f>AVERAGE(D2:D422)</f>
        <v>12.794366197183098</v>
      </c>
      <c r="S18" t="s">
        <v>105</v>
      </c>
      <c r="T18">
        <f>(N4*N10+O4*O10+P4*P10+Q4*Q10+R4*R10+T4*T10+V4*V10)*833/421</f>
        <v>37556.230403800473</v>
      </c>
    </row>
    <row r="19" spans="1:22" ht="16" x14ac:dyDescent="0.2">
      <c r="A19" s="12"/>
      <c r="C19" s="4" t="s">
        <v>106</v>
      </c>
      <c r="D19" s="4">
        <v>13</v>
      </c>
      <c r="E19" s="4" t="s">
        <v>107</v>
      </c>
      <c r="F19" s="4" t="s">
        <v>15</v>
      </c>
      <c r="G19" s="4" t="s">
        <v>43</v>
      </c>
      <c r="H19" s="4" t="s">
        <v>43</v>
      </c>
      <c r="I19" s="4" t="s">
        <v>43</v>
      </c>
      <c r="J19" s="4" t="s">
        <v>43</v>
      </c>
      <c r="K19" s="14" t="s">
        <v>43</v>
      </c>
      <c r="M19" s="5" t="s">
        <v>108</v>
      </c>
      <c r="O19" s="69" t="s">
        <v>109</v>
      </c>
      <c r="P19" s="70"/>
      <c r="Q19" s="4">
        <f>MEDIAN(D2:D422)</f>
        <v>8</v>
      </c>
      <c r="S19" t="s">
        <v>110</v>
      </c>
      <c r="T19">
        <f>T18*49</f>
        <v>1840255.2897862231</v>
      </c>
    </row>
    <row r="20" spans="1:22" ht="16" x14ac:dyDescent="0.2">
      <c r="A20" s="12"/>
      <c r="C20" s="4" t="s">
        <v>83</v>
      </c>
      <c r="D20" s="4">
        <v>1</v>
      </c>
      <c r="E20" s="4" t="s">
        <v>111</v>
      </c>
      <c r="F20" s="4" t="s">
        <v>15</v>
      </c>
      <c r="G20" s="4" t="s">
        <v>37</v>
      </c>
      <c r="H20" s="4" t="s">
        <v>36</v>
      </c>
      <c r="I20" s="4" t="s">
        <v>112</v>
      </c>
      <c r="J20" s="4" t="s">
        <v>37</v>
      </c>
      <c r="K20" s="14" t="s">
        <v>112</v>
      </c>
      <c r="M20" s="5" t="s">
        <v>113</v>
      </c>
      <c r="O20" s="69" t="s">
        <v>114</v>
      </c>
      <c r="P20" s="70"/>
      <c r="Q20" s="4" t="e">
        <f>SUM(D2:D1000)*(Q14/Q15)</f>
        <v>#DIV/0!</v>
      </c>
      <c r="S20" t="s">
        <v>115</v>
      </c>
      <c r="T20">
        <f>1227.3/(T19)</f>
        <v>6.669183383478124E-4</v>
      </c>
    </row>
    <row r="21" spans="1:22" ht="16" x14ac:dyDescent="0.2">
      <c r="A21" s="12"/>
      <c r="C21" s="4" t="s">
        <v>116</v>
      </c>
      <c r="D21" s="4">
        <v>15</v>
      </c>
      <c r="E21" s="4" t="s">
        <v>117</v>
      </c>
      <c r="F21" s="4" t="s">
        <v>15</v>
      </c>
      <c r="G21" s="4" t="s">
        <v>37</v>
      </c>
      <c r="H21" s="4" t="s">
        <v>37</v>
      </c>
      <c r="I21" s="4" t="s">
        <v>37</v>
      </c>
      <c r="J21" s="4" t="s">
        <v>37</v>
      </c>
      <c r="K21" s="14" t="s">
        <v>37</v>
      </c>
      <c r="M21" s="5" t="s">
        <v>118</v>
      </c>
      <c r="O21" s="69" t="s">
        <v>119</v>
      </c>
      <c r="P21" s="70"/>
      <c r="Q21" s="61" t="e">
        <f>COUNTIF(D:D,"&lt;=5")/Q15</f>
        <v>#DIV/0!</v>
      </c>
    </row>
    <row r="22" spans="1:22" ht="16" x14ac:dyDescent="0.2">
      <c r="A22" s="12"/>
      <c r="C22" s="4" t="s">
        <v>122</v>
      </c>
      <c r="D22" s="4">
        <v>5</v>
      </c>
      <c r="E22" s="4" t="s">
        <v>123</v>
      </c>
      <c r="F22" s="4" t="s">
        <v>15</v>
      </c>
      <c r="G22" s="4" t="s">
        <v>124</v>
      </c>
      <c r="H22" s="4" t="s">
        <v>124</v>
      </c>
      <c r="I22" s="4" t="s">
        <v>124</v>
      </c>
      <c r="J22" s="4" t="s">
        <v>124</v>
      </c>
      <c r="K22" s="14" t="s">
        <v>124</v>
      </c>
      <c r="M22" s="5" t="s">
        <v>125</v>
      </c>
      <c r="T22" t="s">
        <v>126</v>
      </c>
      <c r="U22" t="s">
        <v>127</v>
      </c>
      <c r="V22" t="s">
        <v>128</v>
      </c>
    </row>
    <row r="23" spans="1:22" ht="16" x14ac:dyDescent="0.2">
      <c r="A23" s="12"/>
      <c r="C23" s="4" t="s">
        <v>83</v>
      </c>
      <c r="D23" s="4">
        <v>1</v>
      </c>
      <c r="E23" s="4" t="s">
        <v>131</v>
      </c>
      <c r="F23" s="4" t="s">
        <v>15</v>
      </c>
      <c r="G23" s="4" t="s">
        <v>37</v>
      </c>
      <c r="H23" s="4" t="s">
        <v>37</v>
      </c>
      <c r="I23" s="4" t="s">
        <v>37</v>
      </c>
      <c r="J23" s="4" t="s">
        <v>37</v>
      </c>
      <c r="K23" s="14" t="s">
        <v>37</v>
      </c>
      <c r="M23" s="5" t="s">
        <v>132</v>
      </c>
      <c r="S23" t="s">
        <v>133</v>
      </c>
      <c r="T23">
        <f>N4*N10</f>
        <v>12735</v>
      </c>
      <c r="U23" t="e">
        <f>T23*(833/Q15)</f>
        <v>#DIV/0!</v>
      </c>
      <c r="V23" t="e">
        <f>U23*49</f>
        <v>#DIV/0!</v>
      </c>
    </row>
    <row r="24" spans="1:22" ht="16" x14ac:dyDescent="0.2">
      <c r="A24" s="12"/>
      <c r="C24" s="4" t="s">
        <v>136</v>
      </c>
      <c r="D24" s="4">
        <v>25</v>
      </c>
      <c r="E24" s="4" t="s">
        <v>137</v>
      </c>
      <c r="F24" s="4" t="s">
        <v>15</v>
      </c>
      <c r="G24" s="4" t="s">
        <v>37</v>
      </c>
      <c r="H24" s="4" t="s">
        <v>37</v>
      </c>
      <c r="I24" s="4" t="s">
        <v>37</v>
      </c>
      <c r="J24" s="4" t="s">
        <v>37</v>
      </c>
      <c r="K24" s="14" t="s">
        <v>37</v>
      </c>
      <c r="M24" s="5" t="s">
        <v>138</v>
      </c>
    </row>
    <row r="25" spans="1:22" ht="16" x14ac:dyDescent="0.2">
      <c r="A25" s="12"/>
      <c r="C25" s="4" t="s">
        <v>122</v>
      </c>
      <c r="D25" s="4">
        <v>1</v>
      </c>
      <c r="E25" s="4" t="s">
        <v>141</v>
      </c>
      <c r="F25" s="4" t="s">
        <v>15</v>
      </c>
      <c r="G25" s="4" t="s">
        <v>112</v>
      </c>
      <c r="H25" s="4" t="s">
        <v>80</v>
      </c>
      <c r="I25" s="4" t="s">
        <v>80</v>
      </c>
      <c r="J25" s="4" t="s">
        <v>80</v>
      </c>
      <c r="K25" s="14" t="s">
        <v>112</v>
      </c>
      <c r="M25" s="5" t="s">
        <v>142</v>
      </c>
    </row>
    <row r="26" spans="1:22" ht="16" x14ac:dyDescent="0.2">
      <c r="A26" s="12"/>
      <c r="C26" s="4" t="s">
        <v>145</v>
      </c>
      <c r="D26" s="4">
        <v>7</v>
      </c>
      <c r="E26" s="4" t="s">
        <v>146</v>
      </c>
      <c r="F26" s="4" t="s">
        <v>15</v>
      </c>
      <c r="G26" s="4" t="s">
        <v>37</v>
      </c>
      <c r="H26" s="4" t="s">
        <v>37</v>
      </c>
      <c r="I26" s="4" t="s">
        <v>37</v>
      </c>
      <c r="J26" s="4" t="s">
        <v>37</v>
      </c>
      <c r="K26" s="14" t="s">
        <v>36</v>
      </c>
      <c r="M26" s="5" t="s">
        <v>147</v>
      </c>
    </row>
    <row r="27" spans="1:22" ht="16" x14ac:dyDescent="0.2">
      <c r="A27" s="12"/>
      <c r="C27" s="4" t="s">
        <v>106</v>
      </c>
      <c r="D27" s="4">
        <v>3</v>
      </c>
      <c r="E27" s="4" t="s">
        <v>149</v>
      </c>
      <c r="F27" s="4" t="s">
        <v>15</v>
      </c>
      <c r="G27" s="4" t="s">
        <v>37</v>
      </c>
      <c r="H27" s="4" t="s">
        <v>150</v>
      </c>
      <c r="I27" s="4" t="s">
        <v>37</v>
      </c>
      <c r="J27" s="4" t="s">
        <v>151</v>
      </c>
      <c r="K27" s="14" t="s">
        <v>37</v>
      </c>
      <c r="M27" s="5" t="s">
        <v>152</v>
      </c>
    </row>
    <row r="28" spans="1:22" ht="16" x14ac:dyDescent="0.2">
      <c r="A28" s="12"/>
      <c r="C28" s="4" t="s">
        <v>83</v>
      </c>
      <c r="D28" s="4">
        <v>1</v>
      </c>
      <c r="E28" s="4" t="s">
        <v>153</v>
      </c>
      <c r="F28" s="4" t="s">
        <v>15</v>
      </c>
      <c r="G28" s="4" t="s">
        <v>124</v>
      </c>
      <c r="H28" s="4" t="s">
        <v>124</v>
      </c>
      <c r="I28" s="4" t="s">
        <v>124</v>
      </c>
      <c r="J28" s="4" t="s">
        <v>124</v>
      </c>
      <c r="K28" s="14" t="s">
        <v>124</v>
      </c>
      <c r="M28" s="5" t="s">
        <v>154</v>
      </c>
    </row>
    <row r="29" spans="1:22" ht="16" x14ac:dyDescent="0.2">
      <c r="A29" s="12"/>
      <c r="C29" s="4" t="s">
        <v>156</v>
      </c>
      <c r="D29" s="4">
        <v>12</v>
      </c>
      <c r="E29" s="4" t="s">
        <v>157</v>
      </c>
      <c r="F29" s="4" t="s">
        <v>15</v>
      </c>
      <c r="G29" s="4" t="s">
        <v>37</v>
      </c>
      <c r="H29" s="4" t="s">
        <v>37</v>
      </c>
      <c r="I29" s="4" t="s">
        <v>37</v>
      </c>
      <c r="J29" s="4" t="s">
        <v>37</v>
      </c>
      <c r="K29" s="14" t="s">
        <v>37</v>
      </c>
      <c r="M29" s="5" t="s">
        <v>158</v>
      </c>
    </row>
    <row r="30" spans="1:22" ht="16" x14ac:dyDescent="0.2">
      <c r="A30" s="12"/>
      <c r="C30" s="4" t="s">
        <v>160</v>
      </c>
      <c r="D30" s="4">
        <v>4</v>
      </c>
      <c r="E30" s="4" t="s">
        <v>161</v>
      </c>
      <c r="F30" s="4" t="s">
        <v>15</v>
      </c>
      <c r="G30" s="4" t="s">
        <v>37</v>
      </c>
      <c r="H30" s="4" t="s">
        <v>37</v>
      </c>
      <c r="I30" s="4" t="s">
        <v>36</v>
      </c>
      <c r="J30" s="4" t="s">
        <v>37</v>
      </c>
      <c r="K30" s="14" t="s">
        <v>37</v>
      </c>
      <c r="M30" s="5" t="s">
        <v>162</v>
      </c>
    </row>
    <row r="31" spans="1:22" ht="16" x14ac:dyDescent="0.2">
      <c r="A31" s="12"/>
      <c r="C31" s="4" t="s">
        <v>163</v>
      </c>
      <c r="D31" s="4">
        <v>23</v>
      </c>
      <c r="E31" s="4" t="s">
        <v>164</v>
      </c>
      <c r="F31" s="4" t="s">
        <v>15</v>
      </c>
      <c r="G31" s="4" t="s">
        <v>36</v>
      </c>
      <c r="H31" s="4" t="s">
        <v>37</v>
      </c>
      <c r="I31" s="4" t="s">
        <v>37</v>
      </c>
      <c r="J31" s="4" t="s">
        <v>37</v>
      </c>
      <c r="K31" s="14" t="s">
        <v>36</v>
      </c>
      <c r="M31" s="5" t="s">
        <v>165</v>
      </c>
    </row>
    <row r="32" spans="1:22" ht="16" x14ac:dyDescent="0.2">
      <c r="A32" s="12"/>
      <c r="C32" s="4" t="s">
        <v>83</v>
      </c>
      <c r="D32" s="4">
        <v>1</v>
      </c>
      <c r="E32" s="4" t="s">
        <v>166</v>
      </c>
      <c r="F32" s="4" t="s">
        <v>15</v>
      </c>
      <c r="G32" s="4" t="s">
        <v>112</v>
      </c>
      <c r="H32" s="4" t="s">
        <v>112</v>
      </c>
      <c r="I32" s="4" t="s">
        <v>112</v>
      </c>
      <c r="J32" s="4" t="s">
        <v>112</v>
      </c>
      <c r="K32" s="14" t="s">
        <v>112</v>
      </c>
      <c r="M32" s="5" t="s">
        <v>167</v>
      </c>
    </row>
    <row r="33" spans="1:13" ht="16" x14ac:dyDescent="0.2">
      <c r="A33" s="12"/>
      <c r="C33" s="4" t="s">
        <v>78</v>
      </c>
      <c r="D33" s="4">
        <v>5</v>
      </c>
      <c r="E33" s="4" t="s">
        <v>168</v>
      </c>
      <c r="F33" s="4" t="s">
        <v>15</v>
      </c>
      <c r="G33" s="4" t="s">
        <v>37</v>
      </c>
      <c r="H33" s="4" t="s">
        <v>37</v>
      </c>
      <c r="I33" s="4" t="s">
        <v>37</v>
      </c>
      <c r="J33" s="4" t="s">
        <v>37</v>
      </c>
      <c r="K33" s="14" t="s">
        <v>37</v>
      </c>
      <c r="M33" s="5" t="s">
        <v>169</v>
      </c>
    </row>
    <row r="34" spans="1:13" ht="16" x14ac:dyDescent="0.2">
      <c r="A34" s="12"/>
      <c r="C34" s="4" t="s">
        <v>172</v>
      </c>
      <c r="D34" s="4">
        <v>20</v>
      </c>
      <c r="E34" s="4" t="s">
        <v>173</v>
      </c>
      <c r="F34" s="4" t="s">
        <v>15</v>
      </c>
      <c r="G34" s="4" t="s">
        <v>37</v>
      </c>
      <c r="H34" s="4" t="s">
        <v>37</v>
      </c>
      <c r="I34" s="4" t="s">
        <v>37</v>
      </c>
      <c r="J34" s="4" t="s">
        <v>37</v>
      </c>
      <c r="K34" s="14" t="s">
        <v>37</v>
      </c>
      <c r="M34" s="5" t="s">
        <v>174</v>
      </c>
    </row>
    <row r="35" spans="1:13" ht="16" x14ac:dyDescent="0.2">
      <c r="A35" s="12"/>
      <c r="C35" s="4" t="s">
        <v>160</v>
      </c>
      <c r="D35" s="4">
        <v>1</v>
      </c>
      <c r="E35" s="4" t="s">
        <v>175</v>
      </c>
      <c r="F35" s="4" t="s">
        <v>15</v>
      </c>
      <c r="G35" s="4" t="s">
        <v>37</v>
      </c>
      <c r="H35" s="4" t="s">
        <v>91</v>
      </c>
      <c r="I35" s="4" t="s">
        <v>37</v>
      </c>
      <c r="J35" s="4" t="s">
        <v>36</v>
      </c>
      <c r="K35" s="14" t="s">
        <v>37</v>
      </c>
      <c r="M35" s="5" t="s">
        <v>176</v>
      </c>
    </row>
    <row r="36" spans="1:13" ht="16" x14ac:dyDescent="0.2">
      <c r="A36" s="12"/>
      <c r="C36" s="4" t="s">
        <v>57</v>
      </c>
      <c r="D36" s="4">
        <v>11</v>
      </c>
      <c r="E36" s="4" t="s">
        <v>178</v>
      </c>
      <c r="F36" s="4" t="s">
        <v>15</v>
      </c>
      <c r="G36" s="4" t="s">
        <v>16</v>
      </c>
      <c r="H36" s="4" t="s">
        <v>16</v>
      </c>
      <c r="I36" s="4" t="s">
        <v>16</v>
      </c>
      <c r="J36" s="4" t="s">
        <v>16</v>
      </c>
      <c r="K36" s="14" t="s">
        <v>16</v>
      </c>
      <c r="M36" s="5" t="s">
        <v>179</v>
      </c>
    </row>
    <row r="37" spans="1:13" ht="16" x14ac:dyDescent="0.2">
      <c r="A37" s="12"/>
      <c r="C37" s="4" t="s">
        <v>106</v>
      </c>
      <c r="D37" s="4">
        <v>5</v>
      </c>
      <c r="E37" s="4" t="s">
        <v>182</v>
      </c>
      <c r="F37" s="4" t="s">
        <v>15</v>
      </c>
      <c r="G37" s="4" t="s">
        <v>37</v>
      </c>
      <c r="H37" s="4" t="s">
        <v>37</v>
      </c>
      <c r="I37" s="4" t="s">
        <v>37</v>
      </c>
      <c r="J37" s="4" t="s">
        <v>37</v>
      </c>
      <c r="K37" s="14" t="s">
        <v>37</v>
      </c>
      <c r="M37" s="5" t="s">
        <v>183</v>
      </c>
    </row>
    <row r="38" spans="1:13" ht="16" x14ac:dyDescent="0.2">
      <c r="A38" s="12"/>
      <c r="C38" s="4" t="s">
        <v>185</v>
      </c>
      <c r="D38" s="4">
        <v>5</v>
      </c>
      <c r="E38" s="4" t="s">
        <v>186</v>
      </c>
      <c r="F38" s="4" t="s">
        <v>15</v>
      </c>
      <c r="G38" s="4" t="s">
        <v>37</v>
      </c>
      <c r="H38" s="4" t="s">
        <v>37</v>
      </c>
      <c r="I38" s="4" t="s">
        <v>37</v>
      </c>
      <c r="J38" s="4" t="s">
        <v>37</v>
      </c>
      <c r="K38" s="14" t="s">
        <v>37</v>
      </c>
      <c r="M38" s="5" t="s">
        <v>187</v>
      </c>
    </row>
    <row r="39" spans="1:13" ht="16" x14ac:dyDescent="0.2">
      <c r="A39" s="12"/>
      <c r="C39" s="4" t="s">
        <v>189</v>
      </c>
      <c r="D39" s="4">
        <v>20</v>
      </c>
      <c r="E39" s="4" t="s">
        <v>190</v>
      </c>
      <c r="F39" s="4" t="s">
        <v>15</v>
      </c>
      <c r="G39" s="4" t="s">
        <v>37</v>
      </c>
      <c r="H39" s="4" t="s">
        <v>37</v>
      </c>
      <c r="I39" s="4" t="s">
        <v>37</v>
      </c>
      <c r="J39" s="4" t="s">
        <v>37</v>
      </c>
      <c r="K39" s="14" t="s">
        <v>37</v>
      </c>
      <c r="M39" s="5" t="s">
        <v>191</v>
      </c>
    </row>
    <row r="40" spans="1:13" ht="16" x14ac:dyDescent="0.2">
      <c r="A40" s="12"/>
      <c r="C40" s="4" t="s">
        <v>78</v>
      </c>
      <c r="D40" s="4">
        <v>5</v>
      </c>
      <c r="E40" s="4" t="s">
        <v>194</v>
      </c>
      <c r="F40" s="4" t="s">
        <v>15</v>
      </c>
      <c r="G40" s="4" t="s">
        <v>37</v>
      </c>
      <c r="H40" s="4" t="s">
        <v>37</v>
      </c>
      <c r="I40" s="4" t="s">
        <v>37</v>
      </c>
      <c r="J40" s="4" t="s">
        <v>37</v>
      </c>
      <c r="K40" s="14" t="s">
        <v>37</v>
      </c>
      <c r="M40" s="5" t="s">
        <v>195</v>
      </c>
    </row>
    <row r="41" spans="1:13" ht="16" x14ac:dyDescent="0.2">
      <c r="A41" s="12"/>
      <c r="C41" s="4" t="s">
        <v>197</v>
      </c>
      <c r="D41" s="4">
        <v>30</v>
      </c>
      <c r="E41" s="4" t="s">
        <v>198</v>
      </c>
      <c r="F41" s="4" t="s">
        <v>15</v>
      </c>
      <c r="G41" s="4" t="s">
        <v>31</v>
      </c>
      <c r="H41" s="4" t="s">
        <v>31</v>
      </c>
      <c r="I41" s="4" t="s">
        <v>31</v>
      </c>
      <c r="J41" s="4" t="s">
        <v>31</v>
      </c>
      <c r="K41" s="14" t="s">
        <v>31</v>
      </c>
      <c r="M41" s="5" t="s">
        <v>199</v>
      </c>
    </row>
    <row r="42" spans="1:13" ht="16" x14ac:dyDescent="0.2">
      <c r="A42" s="12"/>
      <c r="C42" s="4" t="s">
        <v>83</v>
      </c>
      <c r="D42" s="4">
        <v>1</v>
      </c>
      <c r="E42" s="4" t="s">
        <v>201</v>
      </c>
      <c r="F42" s="4" t="s">
        <v>15</v>
      </c>
      <c r="G42" s="4" t="s">
        <v>37</v>
      </c>
      <c r="H42" s="4" t="s">
        <v>37</v>
      </c>
      <c r="I42" s="4" t="s">
        <v>112</v>
      </c>
      <c r="J42" s="4" t="s">
        <v>112</v>
      </c>
      <c r="K42" s="14" t="s">
        <v>37</v>
      </c>
      <c r="M42" s="6" t="s">
        <v>202</v>
      </c>
    </row>
    <row r="43" spans="1:13" x14ac:dyDescent="0.2">
      <c r="A43" s="12"/>
      <c r="C43" s="4" t="s">
        <v>83</v>
      </c>
      <c r="D43" s="4">
        <v>1</v>
      </c>
      <c r="E43" s="4" t="s">
        <v>203</v>
      </c>
      <c r="F43" s="4" t="s">
        <v>15</v>
      </c>
      <c r="G43" s="4" t="s">
        <v>112</v>
      </c>
      <c r="H43" s="4" t="s">
        <v>112</v>
      </c>
      <c r="I43" s="4" t="s">
        <v>112</v>
      </c>
      <c r="J43" s="4" t="s">
        <v>112</v>
      </c>
      <c r="K43" s="14" t="s">
        <v>112</v>
      </c>
    </row>
    <row r="44" spans="1:13" x14ac:dyDescent="0.2">
      <c r="A44" s="12"/>
      <c r="C44" s="4" t="s">
        <v>64</v>
      </c>
      <c r="D44" s="4">
        <v>1</v>
      </c>
      <c r="E44" s="4" t="s">
        <v>206</v>
      </c>
      <c r="F44" s="4" t="s">
        <v>15</v>
      </c>
      <c r="G44" s="4" t="s">
        <v>37</v>
      </c>
      <c r="H44" s="4" t="s">
        <v>37</v>
      </c>
      <c r="I44" s="4" t="s">
        <v>37</v>
      </c>
      <c r="J44" s="4" t="s">
        <v>37</v>
      </c>
      <c r="K44" s="14" t="s">
        <v>37</v>
      </c>
    </row>
    <row r="45" spans="1:13" x14ac:dyDescent="0.2">
      <c r="A45" s="12"/>
      <c r="C45" s="4" t="s">
        <v>122</v>
      </c>
      <c r="D45" s="4">
        <v>2</v>
      </c>
      <c r="E45" s="4" t="s">
        <v>207</v>
      </c>
      <c r="F45" s="4" t="s">
        <v>15</v>
      </c>
      <c r="G45" s="4" t="s">
        <v>36</v>
      </c>
      <c r="H45" s="4" t="s">
        <v>36</v>
      </c>
      <c r="I45" s="4" t="s">
        <v>37</v>
      </c>
      <c r="J45" s="4" t="s">
        <v>37</v>
      </c>
      <c r="K45" s="14" t="s">
        <v>37</v>
      </c>
    </row>
    <row r="46" spans="1:13" x14ac:dyDescent="0.2">
      <c r="A46" s="12"/>
      <c r="C46" s="4" t="s">
        <v>83</v>
      </c>
      <c r="D46" s="4">
        <v>2</v>
      </c>
      <c r="E46" s="4" t="s">
        <v>208</v>
      </c>
      <c r="F46" s="4" t="s">
        <v>15</v>
      </c>
      <c r="G46" s="4" t="s">
        <v>37</v>
      </c>
      <c r="H46" s="4" t="s">
        <v>37</v>
      </c>
      <c r="I46" s="4" t="s">
        <v>37</v>
      </c>
      <c r="J46" s="4" t="s">
        <v>37</v>
      </c>
      <c r="K46" s="14" t="s">
        <v>151</v>
      </c>
    </row>
    <row r="47" spans="1:13" x14ac:dyDescent="0.2">
      <c r="A47" s="12"/>
      <c r="C47" s="4" t="s">
        <v>211</v>
      </c>
      <c r="D47" s="4">
        <v>46</v>
      </c>
      <c r="E47" s="4" t="s">
        <v>212</v>
      </c>
      <c r="F47" s="4" t="s">
        <v>15</v>
      </c>
      <c r="G47" s="4" t="s">
        <v>37</v>
      </c>
      <c r="H47" s="4" t="s">
        <v>37</v>
      </c>
      <c r="I47" s="4" t="s">
        <v>37</v>
      </c>
      <c r="J47" s="4" t="s">
        <v>37</v>
      </c>
      <c r="K47" s="14" t="s">
        <v>37</v>
      </c>
    </row>
    <row r="48" spans="1:13" x14ac:dyDescent="0.2">
      <c r="A48" s="12"/>
      <c r="C48" s="4" t="s">
        <v>57</v>
      </c>
      <c r="D48" s="4">
        <v>9</v>
      </c>
      <c r="E48" s="4" t="s">
        <v>213</v>
      </c>
      <c r="F48" s="4" t="s">
        <v>15</v>
      </c>
      <c r="G48" s="4" t="s">
        <v>36</v>
      </c>
      <c r="H48" s="4" t="s">
        <v>37</v>
      </c>
      <c r="I48" s="4" t="s">
        <v>37</v>
      </c>
      <c r="J48" s="4" t="s">
        <v>37</v>
      </c>
      <c r="K48" s="14" t="s">
        <v>37</v>
      </c>
    </row>
    <row r="49" spans="1:11" x14ac:dyDescent="0.2">
      <c r="A49" s="12"/>
      <c r="C49" s="4" t="s">
        <v>216</v>
      </c>
      <c r="D49" s="4">
        <v>15</v>
      </c>
      <c r="E49" s="4" t="s">
        <v>217</v>
      </c>
      <c r="F49" s="4" t="s">
        <v>15</v>
      </c>
      <c r="G49" s="4" t="s">
        <v>37</v>
      </c>
      <c r="H49" s="4" t="s">
        <v>37</v>
      </c>
      <c r="I49" s="4" t="s">
        <v>37</v>
      </c>
      <c r="J49" s="4" t="s">
        <v>37</v>
      </c>
      <c r="K49" s="14" t="s">
        <v>37</v>
      </c>
    </row>
    <row r="50" spans="1:11" x14ac:dyDescent="0.2">
      <c r="A50" s="12"/>
      <c r="C50" s="4" t="s">
        <v>106</v>
      </c>
      <c r="D50" s="4">
        <v>5</v>
      </c>
      <c r="E50" s="4" t="s">
        <v>220</v>
      </c>
      <c r="F50" s="4" t="s">
        <v>15</v>
      </c>
      <c r="G50" s="4" t="s">
        <v>37</v>
      </c>
      <c r="H50" s="4" t="s">
        <v>37</v>
      </c>
      <c r="I50" s="4" t="s">
        <v>37</v>
      </c>
      <c r="J50" s="4" t="s">
        <v>37</v>
      </c>
      <c r="K50" s="14" t="s">
        <v>37</v>
      </c>
    </row>
    <row r="51" spans="1:11" x14ac:dyDescent="0.2">
      <c r="A51" s="12"/>
      <c r="C51" s="4" t="s">
        <v>83</v>
      </c>
      <c r="D51" s="4">
        <v>1</v>
      </c>
      <c r="E51" s="4" t="s">
        <v>222</v>
      </c>
      <c r="F51" s="4" t="s">
        <v>15</v>
      </c>
      <c r="G51" s="4" t="s">
        <v>36</v>
      </c>
      <c r="H51" s="4" t="s">
        <v>80</v>
      </c>
      <c r="I51" s="4" t="s">
        <v>80</v>
      </c>
      <c r="J51" s="4" t="s">
        <v>80</v>
      </c>
      <c r="K51" s="14" t="s">
        <v>80</v>
      </c>
    </row>
    <row r="52" spans="1:11" x14ac:dyDescent="0.2">
      <c r="A52" s="12"/>
      <c r="C52" s="4" t="s">
        <v>185</v>
      </c>
      <c r="D52" s="4">
        <v>14</v>
      </c>
      <c r="E52" s="4" t="s">
        <v>224</v>
      </c>
      <c r="F52" s="4" t="s">
        <v>15</v>
      </c>
      <c r="G52" s="4" t="s">
        <v>36</v>
      </c>
      <c r="H52" s="4" t="s">
        <v>37</v>
      </c>
      <c r="I52" s="4" t="s">
        <v>37</v>
      </c>
      <c r="J52" s="4" t="s">
        <v>37</v>
      </c>
      <c r="K52" s="14" t="s">
        <v>36</v>
      </c>
    </row>
    <row r="53" spans="1:11" x14ac:dyDescent="0.2">
      <c r="A53" s="12"/>
      <c r="C53" s="4" t="s">
        <v>225</v>
      </c>
      <c r="D53" s="4">
        <v>20</v>
      </c>
      <c r="E53" s="4" t="s">
        <v>226</v>
      </c>
      <c r="F53" s="4" t="s">
        <v>15</v>
      </c>
      <c r="G53" s="4" t="s">
        <v>227</v>
      </c>
      <c r="H53" s="4" t="s">
        <v>227</v>
      </c>
      <c r="I53" s="4" t="s">
        <v>37</v>
      </c>
      <c r="J53" s="4" t="s">
        <v>37</v>
      </c>
      <c r="K53" s="14" t="s">
        <v>37</v>
      </c>
    </row>
    <row r="54" spans="1:11" x14ac:dyDescent="0.2">
      <c r="A54" s="12"/>
      <c r="C54" s="4" t="s">
        <v>228</v>
      </c>
      <c r="D54" s="4">
        <v>57</v>
      </c>
      <c r="E54" s="4" t="s">
        <v>229</v>
      </c>
      <c r="F54" s="4" t="s">
        <v>15</v>
      </c>
      <c r="G54" s="4" t="s">
        <v>150</v>
      </c>
      <c r="H54" s="4" t="s">
        <v>16</v>
      </c>
      <c r="I54" s="4" t="s">
        <v>16</v>
      </c>
      <c r="J54" s="4" t="s">
        <v>16</v>
      </c>
      <c r="K54" s="14" t="s">
        <v>150</v>
      </c>
    </row>
    <row r="55" spans="1:11" x14ac:dyDescent="0.2">
      <c r="A55" s="12"/>
      <c r="C55" s="4" t="s">
        <v>83</v>
      </c>
      <c r="D55" s="4">
        <v>2</v>
      </c>
      <c r="E55" s="4" t="s">
        <v>231</v>
      </c>
      <c r="F55" s="4" t="s">
        <v>15</v>
      </c>
      <c r="G55" s="4" t="s">
        <v>37</v>
      </c>
      <c r="H55" s="4" t="s">
        <v>37</v>
      </c>
      <c r="I55" s="4" t="s">
        <v>37</v>
      </c>
      <c r="J55" s="4" t="s">
        <v>36</v>
      </c>
      <c r="K55" s="14" t="s">
        <v>36</v>
      </c>
    </row>
    <row r="56" spans="1:11" x14ac:dyDescent="0.2">
      <c r="A56" s="12"/>
      <c r="C56" s="4" t="s">
        <v>234</v>
      </c>
      <c r="D56" s="4">
        <v>27</v>
      </c>
      <c r="E56" s="4" t="s">
        <v>235</v>
      </c>
      <c r="F56" s="4" t="s">
        <v>15</v>
      </c>
      <c r="G56" s="4" t="s">
        <v>37</v>
      </c>
      <c r="H56" s="4" t="s">
        <v>150</v>
      </c>
      <c r="I56" s="4" t="s">
        <v>37</v>
      </c>
      <c r="J56" s="4" t="s">
        <v>37</v>
      </c>
      <c r="K56" s="14" t="s">
        <v>150</v>
      </c>
    </row>
    <row r="57" spans="1:11" x14ac:dyDescent="0.2">
      <c r="A57" s="12"/>
      <c r="C57" s="4" t="s">
        <v>83</v>
      </c>
      <c r="D57" s="4">
        <v>2</v>
      </c>
      <c r="E57" s="4" t="s">
        <v>238</v>
      </c>
      <c r="F57" s="4" t="s">
        <v>15</v>
      </c>
      <c r="G57" s="4" t="s">
        <v>112</v>
      </c>
      <c r="H57" s="4" t="s">
        <v>112</v>
      </c>
      <c r="I57" s="4" t="s">
        <v>112</v>
      </c>
      <c r="J57" s="4" t="s">
        <v>37</v>
      </c>
      <c r="K57" s="14" t="s">
        <v>37</v>
      </c>
    </row>
    <row r="58" spans="1:11" x14ac:dyDescent="0.2">
      <c r="A58" s="12"/>
      <c r="C58" s="4" t="s">
        <v>160</v>
      </c>
      <c r="D58" s="4">
        <v>2</v>
      </c>
      <c r="E58" s="4" t="s">
        <v>240</v>
      </c>
      <c r="F58" s="4" t="s">
        <v>15</v>
      </c>
      <c r="G58" s="4" t="s">
        <v>37</v>
      </c>
      <c r="H58" s="4" t="s">
        <v>37</v>
      </c>
      <c r="I58" s="4" t="s">
        <v>37</v>
      </c>
      <c r="J58" s="4" t="s">
        <v>37</v>
      </c>
      <c r="K58" s="14" t="s">
        <v>37</v>
      </c>
    </row>
    <row r="59" spans="1:11" x14ac:dyDescent="0.2">
      <c r="A59" s="12"/>
      <c r="C59" s="4" t="s">
        <v>160</v>
      </c>
      <c r="D59" s="4">
        <v>1</v>
      </c>
      <c r="E59" s="4" t="s">
        <v>241</v>
      </c>
      <c r="F59" s="4" t="s">
        <v>15</v>
      </c>
      <c r="G59" s="4" t="s">
        <v>37</v>
      </c>
      <c r="H59" s="4" t="s">
        <v>37</v>
      </c>
      <c r="I59" s="4" t="s">
        <v>37</v>
      </c>
      <c r="J59" s="4" t="s">
        <v>37</v>
      </c>
      <c r="K59" s="14" t="s">
        <v>37</v>
      </c>
    </row>
    <row r="60" spans="1:11" x14ac:dyDescent="0.2">
      <c r="A60" s="12"/>
      <c r="C60" s="4" t="s">
        <v>122</v>
      </c>
      <c r="D60" s="4">
        <v>3</v>
      </c>
      <c r="E60" s="4" t="s">
        <v>244</v>
      </c>
      <c r="F60" s="4" t="s">
        <v>15</v>
      </c>
      <c r="G60" s="4" t="s">
        <v>37</v>
      </c>
      <c r="H60" s="4" t="s">
        <v>37</v>
      </c>
      <c r="I60" s="4" t="s">
        <v>37</v>
      </c>
      <c r="J60" s="4" t="s">
        <v>37</v>
      </c>
      <c r="K60" s="14" t="s">
        <v>37</v>
      </c>
    </row>
    <row r="61" spans="1:11" x14ac:dyDescent="0.2">
      <c r="A61" s="12"/>
      <c r="C61" s="4" t="s">
        <v>83</v>
      </c>
      <c r="D61" s="4">
        <v>1</v>
      </c>
      <c r="E61" s="4" t="s">
        <v>247</v>
      </c>
      <c r="F61" s="4" t="s">
        <v>15</v>
      </c>
      <c r="G61" s="4" t="s">
        <v>37</v>
      </c>
      <c r="H61" s="4" t="s">
        <v>37</v>
      </c>
      <c r="I61" s="4" t="s">
        <v>37</v>
      </c>
      <c r="J61" s="4" t="s">
        <v>37</v>
      </c>
      <c r="K61" s="14" t="s">
        <v>37</v>
      </c>
    </row>
    <row r="62" spans="1:11" x14ac:dyDescent="0.2">
      <c r="A62" s="12"/>
      <c r="C62" s="4" t="s">
        <v>250</v>
      </c>
      <c r="D62" s="4">
        <v>10</v>
      </c>
      <c r="E62" s="4" t="s">
        <v>251</v>
      </c>
      <c r="F62" s="4" t="s">
        <v>15</v>
      </c>
      <c r="G62" s="4" t="s">
        <v>37</v>
      </c>
      <c r="H62" s="4" t="s">
        <v>37</v>
      </c>
      <c r="I62" s="4" t="s">
        <v>37</v>
      </c>
      <c r="J62" s="4" t="s">
        <v>37</v>
      </c>
      <c r="K62" s="14" t="s">
        <v>37</v>
      </c>
    </row>
    <row r="63" spans="1:11" x14ac:dyDescent="0.2">
      <c r="A63" s="12"/>
      <c r="C63" s="4" t="s">
        <v>122</v>
      </c>
      <c r="D63" s="4">
        <v>2</v>
      </c>
      <c r="E63" s="4" t="s">
        <v>252</v>
      </c>
      <c r="F63" s="4" t="s">
        <v>15</v>
      </c>
      <c r="G63" s="4" t="s">
        <v>16</v>
      </c>
      <c r="H63" s="4" t="s">
        <v>16</v>
      </c>
      <c r="I63" s="4" t="s">
        <v>16</v>
      </c>
      <c r="J63" s="4" t="s">
        <v>16</v>
      </c>
      <c r="K63" s="14" t="s">
        <v>16</v>
      </c>
    </row>
    <row r="64" spans="1:11" x14ac:dyDescent="0.2">
      <c r="A64" s="12"/>
      <c r="C64" s="4" t="s">
        <v>52</v>
      </c>
      <c r="D64" s="4">
        <v>14</v>
      </c>
      <c r="E64" s="4" t="s">
        <v>253</v>
      </c>
      <c r="F64" s="4" t="s">
        <v>15</v>
      </c>
      <c r="G64" s="4" t="s">
        <v>37</v>
      </c>
      <c r="H64" s="4" t="s">
        <v>37</v>
      </c>
      <c r="I64" s="4" t="s">
        <v>37</v>
      </c>
      <c r="J64" s="4" t="s">
        <v>37</v>
      </c>
      <c r="K64" s="14" t="s">
        <v>150</v>
      </c>
    </row>
    <row r="65" spans="1:11" x14ac:dyDescent="0.2">
      <c r="A65" s="12"/>
      <c r="C65" s="4" t="s">
        <v>83</v>
      </c>
      <c r="D65" s="4">
        <v>1</v>
      </c>
      <c r="E65" s="4" t="s">
        <v>256</v>
      </c>
      <c r="F65" s="4" t="s">
        <v>15</v>
      </c>
      <c r="G65" s="4" t="s">
        <v>112</v>
      </c>
      <c r="H65" s="4" t="s">
        <v>112</v>
      </c>
      <c r="I65" s="4" t="s">
        <v>112</v>
      </c>
      <c r="J65" s="4" t="s">
        <v>112</v>
      </c>
      <c r="K65" s="14" t="s">
        <v>112</v>
      </c>
    </row>
    <row r="66" spans="1:11" x14ac:dyDescent="0.2">
      <c r="A66" s="12"/>
      <c r="C66" s="4" t="s">
        <v>259</v>
      </c>
      <c r="D66" s="4">
        <v>35</v>
      </c>
      <c r="E66" s="4" t="s">
        <v>260</v>
      </c>
      <c r="F66" s="4" t="s">
        <v>15</v>
      </c>
      <c r="G66" s="4" t="s">
        <v>36</v>
      </c>
      <c r="H66" s="4" t="s">
        <v>16</v>
      </c>
      <c r="I66" s="4" t="s">
        <v>16</v>
      </c>
      <c r="J66" s="4" t="s">
        <v>16</v>
      </c>
      <c r="K66" s="14" t="s">
        <v>36</v>
      </c>
    </row>
    <row r="67" spans="1:11" x14ac:dyDescent="0.2">
      <c r="A67" s="12"/>
      <c r="C67" s="4" t="s">
        <v>216</v>
      </c>
      <c r="D67" s="4">
        <v>18</v>
      </c>
      <c r="E67" s="4" t="s">
        <v>261</v>
      </c>
      <c r="F67" s="4" t="s">
        <v>15</v>
      </c>
      <c r="G67" s="4" t="s">
        <v>150</v>
      </c>
      <c r="H67" s="4" t="s">
        <v>37</v>
      </c>
      <c r="I67" s="4" t="s">
        <v>37</v>
      </c>
      <c r="J67" s="4" t="s">
        <v>37</v>
      </c>
      <c r="K67" s="14" t="s">
        <v>37</v>
      </c>
    </row>
    <row r="68" spans="1:11" x14ac:dyDescent="0.2">
      <c r="A68" s="12"/>
      <c r="C68" s="4" t="s">
        <v>83</v>
      </c>
      <c r="D68" s="4">
        <v>2</v>
      </c>
      <c r="E68" s="4" t="s">
        <v>264</v>
      </c>
      <c r="F68" s="4" t="s">
        <v>15</v>
      </c>
      <c r="G68" s="4" t="s">
        <v>16</v>
      </c>
      <c r="H68" s="4" t="s">
        <v>16</v>
      </c>
      <c r="I68" s="4" t="s">
        <v>16</v>
      </c>
      <c r="J68" s="4" t="s">
        <v>16</v>
      </c>
      <c r="K68" s="14" t="s">
        <v>16</v>
      </c>
    </row>
    <row r="69" spans="1:11" x14ac:dyDescent="0.2">
      <c r="A69" s="12"/>
      <c r="C69" s="4" t="s">
        <v>83</v>
      </c>
      <c r="D69" s="4">
        <v>1</v>
      </c>
      <c r="E69" s="4" t="s">
        <v>267</v>
      </c>
      <c r="F69" s="4" t="s">
        <v>15</v>
      </c>
      <c r="G69" s="4" t="s">
        <v>112</v>
      </c>
      <c r="H69" s="4" t="s">
        <v>112</v>
      </c>
      <c r="I69" s="4" t="s">
        <v>124</v>
      </c>
      <c r="J69" s="4" t="s">
        <v>112</v>
      </c>
      <c r="K69" s="14" t="s">
        <v>112</v>
      </c>
    </row>
    <row r="70" spans="1:11" x14ac:dyDescent="0.2">
      <c r="A70" s="12"/>
      <c r="C70" s="4" t="s">
        <v>64</v>
      </c>
      <c r="D70" s="4">
        <v>3</v>
      </c>
      <c r="E70" s="4" t="s">
        <v>270</v>
      </c>
      <c r="F70" s="4" t="s">
        <v>15</v>
      </c>
      <c r="G70" s="4" t="s">
        <v>37</v>
      </c>
      <c r="H70" s="4" t="s">
        <v>37</v>
      </c>
      <c r="I70" s="4" t="s">
        <v>37</v>
      </c>
      <c r="J70" s="4" t="s">
        <v>37</v>
      </c>
      <c r="K70" s="14" t="s">
        <v>37</v>
      </c>
    </row>
    <row r="71" spans="1:11" x14ac:dyDescent="0.2">
      <c r="A71" s="12"/>
      <c r="C71" s="4" t="s">
        <v>156</v>
      </c>
      <c r="D71" s="4">
        <v>23</v>
      </c>
      <c r="E71" s="4" t="s">
        <v>272</v>
      </c>
      <c r="F71" s="4" t="s">
        <v>15</v>
      </c>
      <c r="G71" s="4" t="s">
        <v>37</v>
      </c>
      <c r="H71" s="4" t="s">
        <v>37</v>
      </c>
      <c r="I71" s="4" t="s">
        <v>37</v>
      </c>
      <c r="J71" s="4" t="s">
        <v>36</v>
      </c>
      <c r="K71" s="14" t="s">
        <v>36</v>
      </c>
    </row>
    <row r="72" spans="1:11" x14ac:dyDescent="0.2">
      <c r="A72" s="12"/>
      <c r="C72" s="4" t="s">
        <v>122</v>
      </c>
      <c r="D72" s="4">
        <v>5</v>
      </c>
      <c r="E72" s="4" t="s">
        <v>273</v>
      </c>
      <c r="F72" s="4" t="s">
        <v>15</v>
      </c>
      <c r="G72" s="4" t="s">
        <v>80</v>
      </c>
      <c r="H72" s="4" t="s">
        <v>80</v>
      </c>
      <c r="I72" s="4" t="s">
        <v>80</v>
      </c>
      <c r="J72" s="4" t="s">
        <v>80</v>
      </c>
      <c r="K72" s="14" t="s">
        <v>80</v>
      </c>
    </row>
    <row r="73" spans="1:11" x14ac:dyDescent="0.2">
      <c r="A73" s="12"/>
      <c r="C73" s="4" t="s">
        <v>276</v>
      </c>
      <c r="D73" s="4">
        <v>16</v>
      </c>
      <c r="E73" s="4" t="s">
        <v>277</v>
      </c>
      <c r="F73" s="4" t="s">
        <v>15</v>
      </c>
      <c r="G73" s="4" t="s">
        <v>37</v>
      </c>
      <c r="H73" s="4" t="s">
        <v>37</v>
      </c>
      <c r="I73" s="4" t="s">
        <v>37</v>
      </c>
      <c r="J73" s="4" t="s">
        <v>37</v>
      </c>
      <c r="K73" s="14" t="s">
        <v>37</v>
      </c>
    </row>
    <row r="74" spans="1:11" x14ac:dyDescent="0.2">
      <c r="A74" s="12"/>
      <c r="C74" s="4" t="s">
        <v>83</v>
      </c>
      <c r="D74" s="4">
        <v>1</v>
      </c>
      <c r="E74" s="4" t="s">
        <v>278</v>
      </c>
      <c r="F74" s="4" t="s">
        <v>15</v>
      </c>
      <c r="G74" s="4" t="s">
        <v>112</v>
      </c>
      <c r="H74" s="4" t="s">
        <v>112</v>
      </c>
      <c r="I74" s="4" t="s">
        <v>112</v>
      </c>
      <c r="J74" s="4" t="s">
        <v>112</v>
      </c>
      <c r="K74" s="14" t="s">
        <v>112</v>
      </c>
    </row>
    <row r="75" spans="1:11" x14ac:dyDescent="0.2">
      <c r="A75" s="12"/>
      <c r="C75" s="4" t="s">
        <v>279</v>
      </c>
      <c r="D75" s="4">
        <v>28</v>
      </c>
      <c r="E75" s="4" t="s">
        <v>280</v>
      </c>
      <c r="F75" s="4" t="s">
        <v>15</v>
      </c>
      <c r="G75" s="4" t="s">
        <v>37</v>
      </c>
      <c r="H75" s="4" t="s">
        <v>37</v>
      </c>
      <c r="I75" s="4" t="s">
        <v>37</v>
      </c>
      <c r="J75" s="4" t="s">
        <v>37</v>
      </c>
      <c r="K75" s="14" t="s">
        <v>37</v>
      </c>
    </row>
    <row r="76" spans="1:11" x14ac:dyDescent="0.2">
      <c r="A76" s="12"/>
      <c r="C76" s="4" t="s">
        <v>281</v>
      </c>
      <c r="D76" s="4">
        <v>8</v>
      </c>
      <c r="E76" s="4" t="s">
        <v>282</v>
      </c>
      <c r="F76" s="4" t="s">
        <v>15</v>
      </c>
      <c r="G76" s="4" t="s">
        <v>37</v>
      </c>
      <c r="H76" s="4" t="s">
        <v>37</v>
      </c>
      <c r="I76" s="4" t="s">
        <v>37</v>
      </c>
      <c r="J76" s="4" t="s">
        <v>37</v>
      </c>
      <c r="K76" s="14" t="s">
        <v>37</v>
      </c>
    </row>
    <row r="77" spans="1:11" x14ac:dyDescent="0.2">
      <c r="A77" s="12"/>
      <c r="C77" s="4" t="s">
        <v>64</v>
      </c>
      <c r="D77" s="4">
        <v>5</v>
      </c>
      <c r="E77" s="4" t="s">
        <v>283</v>
      </c>
      <c r="F77" s="4" t="s">
        <v>15</v>
      </c>
      <c r="G77" s="4" t="s">
        <v>37</v>
      </c>
      <c r="H77" s="4" t="s">
        <v>37</v>
      </c>
      <c r="I77" s="4" t="s">
        <v>37</v>
      </c>
      <c r="J77" s="4" t="s">
        <v>37</v>
      </c>
      <c r="K77" s="14" t="s">
        <v>36</v>
      </c>
    </row>
    <row r="78" spans="1:11" x14ac:dyDescent="0.2">
      <c r="A78" s="12"/>
      <c r="C78" s="4" t="s">
        <v>83</v>
      </c>
      <c r="D78" s="4">
        <v>3</v>
      </c>
      <c r="E78" s="4" t="s">
        <v>286</v>
      </c>
      <c r="F78" s="4" t="s">
        <v>15</v>
      </c>
      <c r="G78" s="4" t="s">
        <v>16</v>
      </c>
      <c r="H78" s="4" t="s">
        <v>16</v>
      </c>
      <c r="I78" s="4" t="s">
        <v>16</v>
      </c>
      <c r="J78" s="4" t="s">
        <v>16</v>
      </c>
      <c r="K78" s="14" t="s">
        <v>16</v>
      </c>
    </row>
    <row r="79" spans="1:11" x14ac:dyDescent="0.2">
      <c r="A79" s="12"/>
      <c r="C79" s="4" t="s">
        <v>289</v>
      </c>
      <c r="D79" s="4">
        <v>45</v>
      </c>
      <c r="E79" s="4" t="s">
        <v>290</v>
      </c>
      <c r="F79" s="4" t="s">
        <v>15</v>
      </c>
      <c r="G79" s="4" t="s">
        <v>16</v>
      </c>
      <c r="H79" s="4" t="s">
        <v>16</v>
      </c>
      <c r="I79" s="4" t="s">
        <v>16</v>
      </c>
      <c r="J79" s="4" t="s">
        <v>16</v>
      </c>
      <c r="K79" s="14" t="s">
        <v>16</v>
      </c>
    </row>
    <row r="80" spans="1:11" x14ac:dyDescent="0.2">
      <c r="A80" s="12"/>
      <c r="C80" s="4" t="s">
        <v>83</v>
      </c>
      <c r="D80" s="4">
        <v>2</v>
      </c>
      <c r="E80" s="4" t="s">
        <v>292</v>
      </c>
      <c r="F80" s="4" t="s">
        <v>15</v>
      </c>
      <c r="G80" s="4" t="s">
        <v>80</v>
      </c>
      <c r="H80" s="4" t="s">
        <v>80</v>
      </c>
      <c r="I80" s="4" t="s">
        <v>80</v>
      </c>
      <c r="J80" s="4" t="s">
        <v>80</v>
      </c>
      <c r="K80" s="14" t="s">
        <v>37</v>
      </c>
    </row>
    <row r="81" spans="1:11" x14ac:dyDescent="0.2">
      <c r="A81" s="12"/>
      <c r="C81" s="4" t="s">
        <v>83</v>
      </c>
      <c r="D81" s="4">
        <v>1</v>
      </c>
      <c r="E81" s="4" t="s">
        <v>294</v>
      </c>
      <c r="F81" s="4" t="s">
        <v>15</v>
      </c>
      <c r="G81" s="4" t="s">
        <v>150</v>
      </c>
      <c r="H81" s="4" t="s">
        <v>150</v>
      </c>
      <c r="I81" s="4" t="s">
        <v>150</v>
      </c>
      <c r="J81" s="4" t="s">
        <v>150</v>
      </c>
      <c r="K81" s="14" t="s">
        <v>150</v>
      </c>
    </row>
    <row r="82" spans="1:11" x14ac:dyDescent="0.2">
      <c r="A82" s="12"/>
      <c r="C82" s="4" t="s">
        <v>297</v>
      </c>
      <c r="D82" s="4">
        <v>11</v>
      </c>
      <c r="E82" s="4" t="s">
        <v>298</v>
      </c>
      <c r="F82" s="4" t="s">
        <v>15</v>
      </c>
      <c r="G82" s="4" t="s">
        <v>151</v>
      </c>
      <c r="H82" s="4" t="s">
        <v>37</v>
      </c>
      <c r="I82" s="4" t="s">
        <v>37</v>
      </c>
      <c r="J82" s="4" t="s">
        <v>37</v>
      </c>
      <c r="K82" s="14" t="s">
        <v>37</v>
      </c>
    </row>
    <row r="83" spans="1:11" x14ac:dyDescent="0.2">
      <c r="A83" s="12"/>
      <c r="C83" s="4" t="s">
        <v>300</v>
      </c>
      <c r="D83" s="4">
        <v>12</v>
      </c>
      <c r="E83" s="4" t="s">
        <v>301</v>
      </c>
      <c r="F83" s="4" t="s">
        <v>15</v>
      </c>
      <c r="G83" s="4" t="s">
        <v>16</v>
      </c>
      <c r="H83" s="4" t="s">
        <v>16</v>
      </c>
      <c r="I83" s="4" t="s">
        <v>16</v>
      </c>
      <c r="J83" s="4" t="s">
        <v>16</v>
      </c>
      <c r="K83" s="14" t="s">
        <v>16</v>
      </c>
    </row>
    <row r="84" spans="1:11" x14ac:dyDescent="0.2">
      <c r="A84" s="12"/>
      <c r="C84" s="4" t="s">
        <v>304</v>
      </c>
      <c r="D84" s="4">
        <v>10</v>
      </c>
      <c r="E84" s="4" t="s">
        <v>305</v>
      </c>
      <c r="F84" s="4" t="s">
        <v>15</v>
      </c>
      <c r="G84" s="4" t="s">
        <v>37</v>
      </c>
      <c r="H84" s="4" t="s">
        <v>37</v>
      </c>
      <c r="I84" s="4" t="s">
        <v>37</v>
      </c>
      <c r="J84" s="4" t="s">
        <v>37</v>
      </c>
      <c r="K84" s="14" t="s">
        <v>91</v>
      </c>
    </row>
    <row r="85" spans="1:11" x14ac:dyDescent="0.2">
      <c r="A85" s="12"/>
      <c r="C85" s="4" t="s">
        <v>304</v>
      </c>
      <c r="D85" s="4">
        <v>12</v>
      </c>
      <c r="E85" s="4" t="s">
        <v>307</v>
      </c>
      <c r="F85" s="4" t="s">
        <v>15</v>
      </c>
      <c r="G85" s="4" t="s">
        <v>150</v>
      </c>
      <c r="H85" s="4" t="s">
        <v>37</v>
      </c>
      <c r="I85" s="4" t="s">
        <v>37</v>
      </c>
      <c r="J85" s="4" t="s">
        <v>37</v>
      </c>
      <c r="K85" s="14" t="s">
        <v>37</v>
      </c>
    </row>
    <row r="86" spans="1:11" x14ac:dyDescent="0.2">
      <c r="A86" s="12"/>
      <c r="C86" s="4" t="s">
        <v>309</v>
      </c>
      <c r="D86" s="4">
        <v>30</v>
      </c>
      <c r="E86" s="4" t="s">
        <v>310</v>
      </c>
      <c r="F86" s="4" t="s">
        <v>15</v>
      </c>
      <c r="G86" s="4" t="s">
        <v>37</v>
      </c>
      <c r="H86" s="4" t="s">
        <v>37</v>
      </c>
      <c r="I86" s="4" t="s">
        <v>37</v>
      </c>
      <c r="J86" s="4" t="s">
        <v>37</v>
      </c>
      <c r="K86" s="14" t="s">
        <v>37</v>
      </c>
    </row>
    <row r="87" spans="1:11" x14ac:dyDescent="0.2">
      <c r="A87" s="12"/>
      <c r="C87" s="4" t="s">
        <v>64</v>
      </c>
      <c r="D87" s="4">
        <v>2</v>
      </c>
      <c r="E87" s="4" t="s">
        <v>312</v>
      </c>
      <c r="F87" s="4" t="s">
        <v>15</v>
      </c>
      <c r="G87" s="4" t="s">
        <v>36</v>
      </c>
      <c r="H87" s="4" t="s">
        <v>37</v>
      </c>
      <c r="I87" s="4" t="s">
        <v>37</v>
      </c>
      <c r="J87" s="4" t="s">
        <v>37</v>
      </c>
      <c r="K87" s="14" t="s">
        <v>36</v>
      </c>
    </row>
    <row r="88" spans="1:11" x14ac:dyDescent="0.2">
      <c r="A88" s="12"/>
      <c r="C88" s="4" t="s">
        <v>315</v>
      </c>
      <c r="D88" s="4">
        <v>8</v>
      </c>
      <c r="E88" s="4" t="s">
        <v>316</v>
      </c>
      <c r="F88" s="4" t="s">
        <v>15</v>
      </c>
      <c r="G88" s="4" t="s">
        <v>37</v>
      </c>
      <c r="H88" s="4" t="s">
        <v>37</v>
      </c>
      <c r="I88" s="4" t="s">
        <v>37</v>
      </c>
      <c r="J88" s="4" t="s">
        <v>37</v>
      </c>
      <c r="K88" s="14" t="s">
        <v>37</v>
      </c>
    </row>
    <row r="89" spans="1:11" x14ac:dyDescent="0.2">
      <c r="A89" s="12"/>
      <c r="C89" s="4" t="s">
        <v>145</v>
      </c>
      <c r="D89" s="4">
        <v>5</v>
      </c>
      <c r="E89" s="4" t="s">
        <v>319</v>
      </c>
      <c r="F89" s="4" t="s">
        <v>15</v>
      </c>
      <c r="G89" s="4" t="s">
        <v>16</v>
      </c>
      <c r="H89" s="4" t="s">
        <v>16</v>
      </c>
      <c r="I89" s="4" t="s">
        <v>16</v>
      </c>
      <c r="J89" s="4" t="s">
        <v>16</v>
      </c>
      <c r="K89" s="14" t="s">
        <v>16</v>
      </c>
    </row>
    <row r="90" spans="1:11" x14ac:dyDescent="0.2">
      <c r="A90" s="12"/>
      <c r="C90" s="4" t="s">
        <v>29</v>
      </c>
      <c r="D90" s="4">
        <v>26</v>
      </c>
      <c r="E90" s="4" t="s">
        <v>322</v>
      </c>
      <c r="F90" s="4" t="s">
        <v>15</v>
      </c>
      <c r="G90" s="4" t="s">
        <v>36</v>
      </c>
      <c r="H90" s="4" t="s">
        <v>16</v>
      </c>
      <c r="I90" s="4" t="s">
        <v>16</v>
      </c>
      <c r="J90" s="4" t="s">
        <v>16</v>
      </c>
      <c r="K90" s="14" t="s">
        <v>36</v>
      </c>
    </row>
    <row r="91" spans="1:11" x14ac:dyDescent="0.2">
      <c r="A91" s="12"/>
      <c r="C91" s="4" t="s">
        <v>250</v>
      </c>
      <c r="D91" s="4">
        <v>3</v>
      </c>
      <c r="E91" s="4" t="s">
        <v>324</v>
      </c>
      <c r="F91" s="4" t="s">
        <v>15</v>
      </c>
      <c r="G91" s="4" t="s">
        <v>37</v>
      </c>
      <c r="H91" s="4" t="s">
        <v>37</v>
      </c>
      <c r="I91" s="4" t="s">
        <v>37</v>
      </c>
      <c r="J91" s="4" t="s">
        <v>37</v>
      </c>
      <c r="K91" s="14" t="s">
        <v>37</v>
      </c>
    </row>
    <row r="92" spans="1:11" x14ac:dyDescent="0.2">
      <c r="A92" s="12"/>
      <c r="C92" s="4" t="s">
        <v>83</v>
      </c>
      <c r="D92" s="4">
        <v>1</v>
      </c>
      <c r="E92" s="4" t="s">
        <v>325</v>
      </c>
      <c r="F92" s="4" t="s">
        <v>15</v>
      </c>
      <c r="G92" s="4" t="s">
        <v>112</v>
      </c>
      <c r="H92" s="4" t="s">
        <v>112</v>
      </c>
      <c r="I92" s="4" t="s">
        <v>112</v>
      </c>
      <c r="J92" s="4" t="s">
        <v>112</v>
      </c>
      <c r="K92" s="14" t="s">
        <v>112</v>
      </c>
    </row>
    <row r="93" spans="1:11" x14ac:dyDescent="0.2">
      <c r="A93" s="12"/>
      <c r="C93" s="4" t="s">
        <v>326</v>
      </c>
      <c r="D93" s="4">
        <v>23</v>
      </c>
      <c r="E93" s="4" t="s">
        <v>327</v>
      </c>
      <c r="F93" s="4" t="s">
        <v>15</v>
      </c>
      <c r="G93" s="4" t="s">
        <v>37</v>
      </c>
      <c r="H93" s="4" t="s">
        <v>37</v>
      </c>
      <c r="I93" s="4" t="s">
        <v>37</v>
      </c>
      <c r="J93" s="4" t="s">
        <v>37</v>
      </c>
      <c r="K93" s="14" t="s">
        <v>37</v>
      </c>
    </row>
    <row r="94" spans="1:11" x14ac:dyDescent="0.2">
      <c r="A94" s="12"/>
      <c r="C94" s="4" t="s">
        <v>160</v>
      </c>
      <c r="D94" s="4">
        <v>2</v>
      </c>
      <c r="E94" s="4" t="s">
        <v>330</v>
      </c>
      <c r="F94" s="4" t="s">
        <v>15</v>
      </c>
      <c r="G94" s="4" t="s">
        <v>37</v>
      </c>
      <c r="H94" s="4" t="s">
        <v>37</v>
      </c>
      <c r="I94" s="4" t="s">
        <v>37</v>
      </c>
      <c r="J94" s="4" t="s">
        <v>37</v>
      </c>
      <c r="K94" s="14" t="s">
        <v>37</v>
      </c>
    </row>
    <row r="95" spans="1:11" x14ac:dyDescent="0.2">
      <c r="A95" s="12"/>
      <c r="C95" s="4" t="s">
        <v>72</v>
      </c>
      <c r="D95" s="4">
        <v>35</v>
      </c>
      <c r="E95" s="4" t="s">
        <v>331</v>
      </c>
      <c r="F95" s="4" t="s">
        <v>15</v>
      </c>
      <c r="G95" s="4" t="s">
        <v>37</v>
      </c>
      <c r="H95" s="4" t="s">
        <v>37</v>
      </c>
      <c r="I95" s="4" t="s">
        <v>37</v>
      </c>
      <c r="J95" s="4" t="s">
        <v>37</v>
      </c>
      <c r="K95" s="14" t="s">
        <v>37</v>
      </c>
    </row>
    <row r="96" spans="1:11" x14ac:dyDescent="0.2">
      <c r="A96" s="12"/>
      <c r="C96" s="4" t="s">
        <v>50</v>
      </c>
      <c r="D96" s="4">
        <v>23</v>
      </c>
      <c r="E96" s="4" t="s">
        <v>334</v>
      </c>
      <c r="F96" s="4" t="s">
        <v>15</v>
      </c>
      <c r="G96" s="4" t="s">
        <v>16</v>
      </c>
      <c r="H96" s="4" t="s">
        <v>36</v>
      </c>
      <c r="I96" s="4" t="s">
        <v>16</v>
      </c>
      <c r="J96" s="4" t="s">
        <v>36</v>
      </c>
      <c r="K96" s="14" t="s">
        <v>16</v>
      </c>
    </row>
    <row r="97" spans="1:11" x14ac:dyDescent="0.2">
      <c r="A97" s="12"/>
      <c r="C97" s="4" t="s">
        <v>83</v>
      </c>
      <c r="D97" s="4">
        <v>1</v>
      </c>
      <c r="E97" s="4" t="s">
        <v>335</v>
      </c>
      <c r="F97" s="4" t="s">
        <v>15</v>
      </c>
      <c r="G97" s="4" t="s">
        <v>124</v>
      </c>
      <c r="H97" s="4" t="s">
        <v>124</v>
      </c>
      <c r="I97" s="4" t="s">
        <v>124</v>
      </c>
      <c r="J97" s="4" t="s">
        <v>36</v>
      </c>
      <c r="K97" s="14" t="s">
        <v>124</v>
      </c>
    </row>
    <row r="98" spans="1:11" x14ac:dyDescent="0.2">
      <c r="A98" s="12"/>
      <c r="C98" s="4" t="s">
        <v>50</v>
      </c>
      <c r="D98" s="4">
        <v>19</v>
      </c>
      <c r="E98" s="4" t="s">
        <v>338</v>
      </c>
      <c r="F98" s="4" t="s">
        <v>15</v>
      </c>
      <c r="G98" s="4" t="s">
        <v>37</v>
      </c>
      <c r="H98" s="4" t="s">
        <v>37</v>
      </c>
      <c r="I98" s="4" t="s">
        <v>37</v>
      </c>
      <c r="J98" s="4" t="s">
        <v>37</v>
      </c>
      <c r="K98" s="14" t="s">
        <v>37</v>
      </c>
    </row>
    <row r="99" spans="1:11" x14ac:dyDescent="0.2">
      <c r="A99" s="12"/>
      <c r="C99" s="4" t="s">
        <v>304</v>
      </c>
      <c r="D99" s="4">
        <v>14</v>
      </c>
      <c r="E99" s="4" t="s">
        <v>340</v>
      </c>
      <c r="F99" s="4" t="s">
        <v>15</v>
      </c>
      <c r="G99" s="4" t="s">
        <v>16</v>
      </c>
      <c r="H99" s="4" t="s">
        <v>36</v>
      </c>
      <c r="I99" s="4" t="s">
        <v>16</v>
      </c>
      <c r="J99" s="4" t="s">
        <v>36</v>
      </c>
      <c r="K99" s="14" t="s">
        <v>16</v>
      </c>
    </row>
    <row r="100" spans="1:11" x14ac:dyDescent="0.2">
      <c r="A100" s="12"/>
      <c r="C100" s="4" t="s">
        <v>343</v>
      </c>
      <c r="D100" s="4">
        <v>20</v>
      </c>
      <c r="E100" s="4" t="s">
        <v>344</v>
      </c>
      <c r="F100" s="4" t="s">
        <v>15</v>
      </c>
      <c r="G100" s="4" t="s">
        <v>37</v>
      </c>
      <c r="H100" s="4" t="s">
        <v>37</v>
      </c>
      <c r="I100" s="4" t="s">
        <v>37</v>
      </c>
      <c r="J100" s="4" t="s">
        <v>37</v>
      </c>
      <c r="K100" s="14" t="s">
        <v>37</v>
      </c>
    </row>
    <row r="101" spans="1:11" x14ac:dyDescent="0.2">
      <c r="A101" s="12"/>
      <c r="C101" s="4" t="s">
        <v>83</v>
      </c>
      <c r="D101" s="4">
        <v>1</v>
      </c>
      <c r="E101" s="4" t="s">
        <v>345</v>
      </c>
      <c r="F101" s="4" t="s">
        <v>15</v>
      </c>
      <c r="G101" s="4" t="s">
        <v>37</v>
      </c>
      <c r="H101" s="4" t="s">
        <v>80</v>
      </c>
      <c r="I101" s="4" t="s">
        <v>36</v>
      </c>
      <c r="J101" s="4" t="s">
        <v>80</v>
      </c>
      <c r="K101" s="14" t="s">
        <v>80</v>
      </c>
    </row>
    <row r="102" spans="1:11" x14ac:dyDescent="0.2">
      <c r="A102" s="12"/>
      <c r="C102" s="4" t="s">
        <v>234</v>
      </c>
      <c r="D102" s="4">
        <v>22</v>
      </c>
      <c r="E102" s="4" t="s">
        <v>346</v>
      </c>
      <c r="F102" s="4" t="s">
        <v>15</v>
      </c>
      <c r="G102" s="4" t="s">
        <v>36</v>
      </c>
      <c r="H102" s="4" t="s">
        <v>37</v>
      </c>
      <c r="I102" s="4" t="s">
        <v>37</v>
      </c>
      <c r="J102" s="4" t="s">
        <v>37</v>
      </c>
      <c r="K102" s="14" t="s">
        <v>36</v>
      </c>
    </row>
    <row r="103" spans="1:11" x14ac:dyDescent="0.2">
      <c r="A103" s="12"/>
      <c r="C103" s="4" t="s">
        <v>64</v>
      </c>
      <c r="D103" s="4">
        <v>1</v>
      </c>
      <c r="E103" s="4" t="s">
        <v>347</v>
      </c>
      <c r="F103" s="4" t="s">
        <v>15</v>
      </c>
      <c r="G103" s="4" t="s">
        <v>124</v>
      </c>
      <c r="H103" s="4" t="s">
        <v>37</v>
      </c>
      <c r="I103" s="4" t="s">
        <v>112</v>
      </c>
      <c r="J103" s="4" t="s">
        <v>112</v>
      </c>
      <c r="K103" s="14" t="s">
        <v>112</v>
      </c>
    </row>
    <row r="104" spans="1:11" x14ac:dyDescent="0.2">
      <c r="A104" s="12"/>
      <c r="C104" s="4" t="s">
        <v>350</v>
      </c>
      <c r="D104" s="4">
        <v>34</v>
      </c>
      <c r="E104" s="4" t="s">
        <v>351</v>
      </c>
      <c r="F104" s="4" t="s">
        <v>15</v>
      </c>
      <c r="G104" s="4" t="s">
        <v>37</v>
      </c>
      <c r="H104" s="4" t="s">
        <v>37</v>
      </c>
      <c r="I104" s="4" t="s">
        <v>37</v>
      </c>
      <c r="J104" s="4" t="s">
        <v>37</v>
      </c>
      <c r="K104" s="14" t="s">
        <v>37</v>
      </c>
    </row>
    <row r="105" spans="1:11" x14ac:dyDescent="0.2">
      <c r="A105" s="12"/>
      <c r="C105" s="4" t="s">
        <v>83</v>
      </c>
      <c r="D105" s="4">
        <v>1</v>
      </c>
      <c r="E105" s="4" t="s">
        <v>354</v>
      </c>
      <c r="F105" s="4" t="s">
        <v>15</v>
      </c>
      <c r="G105" s="4" t="s">
        <v>124</v>
      </c>
      <c r="H105" s="4" t="s">
        <v>124</v>
      </c>
      <c r="I105" s="4" t="s">
        <v>124</v>
      </c>
      <c r="J105" s="4" t="s">
        <v>124</v>
      </c>
      <c r="K105" s="14" t="s">
        <v>124</v>
      </c>
    </row>
    <row r="106" spans="1:11" x14ac:dyDescent="0.2">
      <c r="A106" s="12"/>
      <c r="C106" s="4" t="s">
        <v>122</v>
      </c>
      <c r="D106" s="4">
        <v>5</v>
      </c>
      <c r="E106" s="4" t="s">
        <v>357</v>
      </c>
      <c r="F106" s="4" t="s">
        <v>15</v>
      </c>
      <c r="G106" s="4" t="s">
        <v>43</v>
      </c>
      <c r="H106" s="4" t="s">
        <v>43</v>
      </c>
      <c r="I106" s="4" t="s">
        <v>43</v>
      </c>
      <c r="J106" s="4" t="s">
        <v>43</v>
      </c>
      <c r="K106" s="14" t="s">
        <v>43</v>
      </c>
    </row>
    <row r="107" spans="1:11" x14ac:dyDescent="0.2">
      <c r="A107" s="12"/>
      <c r="C107" s="4" t="s">
        <v>359</v>
      </c>
      <c r="D107" s="4">
        <v>49</v>
      </c>
      <c r="E107" s="4" t="s">
        <v>360</v>
      </c>
      <c r="F107" s="4" t="s">
        <v>15</v>
      </c>
      <c r="G107" s="4" t="s">
        <v>37</v>
      </c>
      <c r="H107" s="4" t="s">
        <v>37</v>
      </c>
      <c r="I107" s="4" t="s">
        <v>37</v>
      </c>
      <c r="J107" s="4" t="s">
        <v>37</v>
      </c>
      <c r="K107" s="14" t="s">
        <v>37</v>
      </c>
    </row>
    <row r="108" spans="1:11" x14ac:dyDescent="0.2">
      <c r="A108" s="12"/>
      <c r="C108" s="4" t="s">
        <v>363</v>
      </c>
      <c r="D108" s="4">
        <v>22</v>
      </c>
      <c r="E108" s="4" t="s">
        <v>364</v>
      </c>
      <c r="F108" s="4" t="s">
        <v>15</v>
      </c>
      <c r="G108" s="4" t="s">
        <v>36</v>
      </c>
      <c r="H108" s="4" t="s">
        <v>227</v>
      </c>
      <c r="I108" s="4" t="s">
        <v>36</v>
      </c>
      <c r="J108" s="4" t="s">
        <v>36</v>
      </c>
      <c r="K108" s="14" t="s">
        <v>227</v>
      </c>
    </row>
    <row r="109" spans="1:11" x14ac:dyDescent="0.2">
      <c r="A109" s="12"/>
      <c r="C109" s="4" t="s">
        <v>83</v>
      </c>
      <c r="D109" s="4">
        <v>3</v>
      </c>
      <c r="E109" s="4" t="s">
        <v>366</v>
      </c>
      <c r="F109" s="4" t="s">
        <v>15</v>
      </c>
      <c r="G109" s="4" t="s">
        <v>37</v>
      </c>
      <c r="H109" s="4" t="s">
        <v>80</v>
      </c>
      <c r="I109" s="4" t="s">
        <v>80</v>
      </c>
      <c r="J109" s="4" t="s">
        <v>37</v>
      </c>
      <c r="K109" s="14" t="s">
        <v>37</v>
      </c>
    </row>
    <row r="110" spans="1:11" x14ac:dyDescent="0.2">
      <c r="A110" s="12"/>
      <c r="C110" s="4" t="s">
        <v>64</v>
      </c>
      <c r="D110" s="4">
        <v>5</v>
      </c>
      <c r="E110" s="4" t="s">
        <v>368</v>
      </c>
      <c r="F110" s="4" t="s">
        <v>15</v>
      </c>
      <c r="G110" s="4" t="s">
        <v>37</v>
      </c>
      <c r="H110" s="4" t="s">
        <v>37</v>
      </c>
      <c r="I110" s="4" t="s">
        <v>37</v>
      </c>
      <c r="J110" s="4" t="s">
        <v>37</v>
      </c>
      <c r="K110" s="14" t="s">
        <v>36</v>
      </c>
    </row>
    <row r="111" spans="1:11" x14ac:dyDescent="0.2">
      <c r="A111" s="12"/>
      <c r="C111" s="4" t="s">
        <v>83</v>
      </c>
      <c r="D111" s="4">
        <v>2</v>
      </c>
      <c r="E111" s="4" t="s">
        <v>370</v>
      </c>
      <c r="F111" s="4" t="s">
        <v>15</v>
      </c>
      <c r="G111" s="4" t="s">
        <v>37</v>
      </c>
      <c r="H111" s="4" t="s">
        <v>37</v>
      </c>
      <c r="I111" s="4" t="s">
        <v>37</v>
      </c>
      <c r="J111" s="4" t="s">
        <v>37</v>
      </c>
      <c r="K111" s="14" t="s">
        <v>37</v>
      </c>
    </row>
    <row r="112" spans="1:11" x14ac:dyDescent="0.2">
      <c r="A112" s="12"/>
      <c r="C112" s="4" t="s">
        <v>78</v>
      </c>
      <c r="D112" s="4">
        <v>6</v>
      </c>
      <c r="E112" s="4" t="s">
        <v>373</v>
      </c>
      <c r="F112" s="4" t="s">
        <v>15</v>
      </c>
      <c r="G112" s="4" t="s">
        <v>36</v>
      </c>
      <c r="H112" s="4" t="s">
        <v>36</v>
      </c>
      <c r="I112" s="4" t="s">
        <v>91</v>
      </c>
      <c r="J112" s="4" t="s">
        <v>91</v>
      </c>
      <c r="K112" s="14" t="s">
        <v>36</v>
      </c>
    </row>
    <row r="113" spans="1:11" x14ac:dyDescent="0.2">
      <c r="A113" s="12"/>
      <c r="C113" s="4" t="s">
        <v>297</v>
      </c>
      <c r="D113" s="4">
        <v>10</v>
      </c>
      <c r="E113" s="4" t="s">
        <v>376</v>
      </c>
      <c r="F113" s="4" t="s">
        <v>15</v>
      </c>
      <c r="G113" s="4" t="s">
        <v>37</v>
      </c>
      <c r="H113" s="4" t="s">
        <v>37</v>
      </c>
      <c r="I113" s="4" t="s">
        <v>37</v>
      </c>
      <c r="J113" s="4" t="s">
        <v>37</v>
      </c>
      <c r="K113" s="14" t="s">
        <v>37</v>
      </c>
    </row>
    <row r="114" spans="1:11" x14ac:dyDescent="0.2">
      <c r="A114" s="12"/>
      <c r="C114" s="4" t="s">
        <v>83</v>
      </c>
      <c r="D114" s="4">
        <v>1</v>
      </c>
      <c r="E114" s="4" t="s">
        <v>377</v>
      </c>
      <c r="F114" s="4" t="s">
        <v>15</v>
      </c>
      <c r="G114" s="4" t="s">
        <v>112</v>
      </c>
      <c r="H114" s="4" t="s">
        <v>112</v>
      </c>
      <c r="I114" s="4" t="s">
        <v>112</v>
      </c>
      <c r="J114" s="4" t="s">
        <v>112</v>
      </c>
      <c r="K114" s="14" t="s">
        <v>112</v>
      </c>
    </row>
    <row r="115" spans="1:11" x14ac:dyDescent="0.2">
      <c r="A115" s="12"/>
      <c r="C115" s="4" t="s">
        <v>378</v>
      </c>
      <c r="D115" s="4">
        <v>30</v>
      </c>
      <c r="E115" s="4" t="s">
        <v>379</v>
      </c>
      <c r="F115" s="4" t="s">
        <v>15</v>
      </c>
      <c r="G115" s="4" t="s">
        <v>37</v>
      </c>
      <c r="H115" s="4" t="s">
        <v>37</v>
      </c>
      <c r="I115" s="4" t="s">
        <v>37</v>
      </c>
      <c r="J115" s="4" t="s">
        <v>37</v>
      </c>
      <c r="K115" s="14" t="s">
        <v>37</v>
      </c>
    </row>
    <row r="116" spans="1:11" x14ac:dyDescent="0.2">
      <c r="A116" s="12"/>
      <c r="C116" s="4" t="s">
        <v>78</v>
      </c>
      <c r="D116" s="4">
        <v>6</v>
      </c>
      <c r="E116" s="4" t="s">
        <v>382</v>
      </c>
      <c r="F116" s="4" t="s">
        <v>15</v>
      </c>
      <c r="G116" s="4" t="s">
        <v>37</v>
      </c>
      <c r="H116" s="4" t="s">
        <v>37</v>
      </c>
      <c r="I116" s="4" t="s">
        <v>37</v>
      </c>
      <c r="J116" s="4" t="s">
        <v>37</v>
      </c>
      <c r="K116" s="14" t="s">
        <v>36</v>
      </c>
    </row>
    <row r="117" spans="1:11" x14ac:dyDescent="0.2">
      <c r="A117" s="12"/>
      <c r="C117" s="4" t="s">
        <v>216</v>
      </c>
      <c r="D117" s="4">
        <v>15</v>
      </c>
      <c r="E117" s="4" t="s">
        <v>383</v>
      </c>
      <c r="F117" s="4" t="s">
        <v>15</v>
      </c>
      <c r="G117" s="4" t="s">
        <v>37</v>
      </c>
      <c r="H117" s="4" t="s">
        <v>37</v>
      </c>
      <c r="I117" s="4" t="s">
        <v>37</v>
      </c>
      <c r="J117" s="4" t="s">
        <v>37</v>
      </c>
      <c r="K117" s="14" t="s">
        <v>37</v>
      </c>
    </row>
    <row r="118" spans="1:11" x14ac:dyDescent="0.2">
      <c r="A118" s="12"/>
      <c r="C118" s="4" t="s">
        <v>385</v>
      </c>
      <c r="D118" s="4">
        <v>30</v>
      </c>
      <c r="E118" s="4" t="s">
        <v>386</v>
      </c>
      <c r="F118" s="4" t="s">
        <v>15</v>
      </c>
      <c r="G118" s="4" t="s">
        <v>37</v>
      </c>
      <c r="H118" s="4" t="s">
        <v>31</v>
      </c>
      <c r="I118" s="4" t="s">
        <v>37</v>
      </c>
      <c r="J118" s="4" t="s">
        <v>31</v>
      </c>
      <c r="K118" s="14" t="s">
        <v>37</v>
      </c>
    </row>
    <row r="119" spans="1:11" x14ac:dyDescent="0.2">
      <c r="A119" s="12"/>
      <c r="C119" s="4" t="s">
        <v>122</v>
      </c>
      <c r="D119" s="4">
        <v>4</v>
      </c>
      <c r="E119" s="4" t="s">
        <v>389</v>
      </c>
      <c r="F119" s="4" t="s">
        <v>15</v>
      </c>
      <c r="G119" s="4" t="s">
        <v>37</v>
      </c>
      <c r="H119" s="4" t="s">
        <v>37</v>
      </c>
      <c r="I119" s="4" t="s">
        <v>37</v>
      </c>
      <c r="J119" s="4" t="s">
        <v>37</v>
      </c>
      <c r="K119" s="14" t="s">
        <v>91</v>
      </c>
    </row>
    <row r="120" spans="1:11" x14ac:dyDescent="0.2">
      <c r="A120" s="12"/>
      <c r="C120" s="4" t="s">
        <v>83</v>
      </c>
      <c r="D120" s="4">
        <v>3</v>
      </c>
      <c r="E120" s="4" t="s">
        <v>391</v>
      </c>
      <c r="F120" s="4" t="s">
        <v>15</v>
      </c>
      <c r="G120" s="4" t="s">
        <v>37</v>
      </c>
      <c r="H120" s="4" t="s">
        <v>37</v>
      </c>
      <c r="I120" s="4" t="s">
        <v>37</v>
      </c>
      <c r="J120" s="4" t="s">
        <v>37</v>
      </c>
      <c r="K120" s="14" t="s">
        <v>37</v>
      </c>
    </row>
    <row r="121" spans="1:11" x14ac:dyDescent="0.2">
      <c r="A121" s="12"/>
      <c r="C121" s="4" t="s">
        <v>83</v>
      </c>
      <c r="D121" s="4">
        <v>1</v>
      </c>
      <c r="E121" s="4" t="s">
        <v>393</v>
      </c>
      <c r="F121" s="4" t="s">
        <v>15</v>
      </c>
      <c r="G121" s="4" t="s">
        <v>37</v>
      </c>
      <c r="H121" s="4" t="s">
        <v>150</v>
      </c>
      <c r="I121" s="4" t="s">
        <v>150</v>
      </c>
      <c r="J121" s="4" t="s">
        <v>150</v>
      </c>
      <c r="K121" s="14" t="s">
        <v>150</v>
      </c>
    </row>
    <row r="122" spans="1:11" x14ac:dyDescent="0.2">
      <c r="A122" s="12"/>
      <c r="C122" s="4" t="s">
        <v>83</v>
      </c>
      <c r="D122" s="4">
        <v>1</v>
      </c>
      <c r="E122" s="4" t="s">
        <v>395</v>
      </c>
      <c r="F122" s="4" t="s">
        <v>15</v>
      </c>
      <c r="G122" s="4" t="s">
        <v>124</v>
      </c>
      <c r="H122" s="4" t="s">
        <v>124</v>
      </c>
      <c r="I122" s="4" t="s">
        <v>396</v>
      </c>
      <c r="J122" s="4" t="s">
        <v>124</v>
      </c>
      <c r="K122" s="14" t="s">
        <v>36</v>
      </c>
    </row>
    <row r="123" spans="1:11" x14ac:dyDescent="0.2">
      <c r="A123" s="12"/>
      <c r="C123" s="4" t="s">
        <v>50</v>
      </c>
      <c r="D123" s="4">
        <v>15</v>
      </c>
      <c r="E123" s="4" t="s">
        <v>398</v>
      </c>
      <c r="F123" s="4" t="s">
        <v>15</v>
      </c>
      <c r="G123" s="4" t="s">
        <v>150</v>
      </c>
      <c r="H123" s="4" t="s">
        <v>36</v>
      </c>
      <c r="I123" s="4" t="s">
        <v>80</v>
      </c>
      <c r="J123" s="4" t="s">
        <v>80</v>
      </c>
      <c r="K123" s="14" t="s">
        <v>80</v>
      </c>
    </row>
    <row r="124" spans="1:11" x14ac:dyDescent="0.2">
      <c r="A124" s="12"/>
      <c r="C124" s="4" t="s">
        <v>83</v>
      </c>
      <c r="D124" s="4">
        <v>1</v>
      </c>
      <c r="E124" s="4" t="s">
        <v>399</v>
      </c>
      <c r="F124" s="4" t="s">
        <v>15</v>
      </c>
      <c r="G124" s="4" t="s">
        <v>112</v>
      </c>
      <c r="H124" s="4" t="s">
        <v>112</v>
      </c>
      <c r="I124" s="4" t="s">
        <v>112</v>
      </c>
      <c r="J124" s="4" t="s">
        <v>112</v>
      </c>
      <c r="K124" s="14" t="s">
        <v>37</v>
      </c>
    </row>
    <row r="125" spans="1:11" x14ac:dyDescent="0.2">
      <c r="A125" s="12"/>
      <c r="C125" s="4" t="s">
        <v>401</v>
      </c>
      <c r="D125" s="4">
        <v>35</v>
      </c>
      <c r="E125" s="4" t="s">
        <v>402</v>
      </c>
      <c r="F125" s="4" t="s">
        <v>15</v>
      </c>
      <c r="G125" s="4" t="s">
        <v>31</v>
      </c>
      <c r="H125" s="4" t="s">
        <v>31</v>
      </c>
      <c r="I125" s="4" t="s">
        <v>31</v>
      </c>
      <c r="J125" s="4" t="s">
        <v>31</v>
      </c>
      <c r="K125" s="14" t="s">
        <v>31</v>
      </c>
    </row>
    <row r="126" spans="1:11" x14ac:dyDescent="0.2">
      <c r="A126" s="12"/>
      <c r="C126" s="4" t="s">
        <v>297</v>
      </c>
      <c r="D126" s="4">
        <v>11</v>
      </c>
      <c r="E126" s="4" t="s">
        <v>404</v>
      </c>
      <c r="F126" s="4" t="s">
        <v>15</v>
      </c>
      <c r="G126" s="4" t="s">
        <v>37</v>
      </c>
      <c r="H126" s="4" t="s">
        <v>37</v>
      </c>
      <c r="I126" s="4" t="s">
        <v>91</v>
      </c>
      <c r="J126" s="4" t="s">
        <v>37</v>
      </c>
      <c r="K126" s="14" t="s">
        <v>37</v>
      </c>
    </row>
    <row r="127" spans="1:11" x14ac:dyDescent="0.2">
      <c r="A127" s="12"/>
      <c r="C127" s="4" t="s">
        <v>83</v>
      </c>
      <c r="D127" s="4">
        <v>2</v>
      </c>
      <c r="E127" s="4" t="s">
        <v>407</v>
      </c>
      <c r="F127" s="4" t="s">
        <v>15</v>
      </c>
      <c r="G127" s="4" t="s">
        <v>37</v>
      </c>
      <c r="H127" s="4" t="s">
        <v>37</v>
      </c>
      <c r="I127" s="4" t="s">
        <v>37</v>
      </c>
      <c r="J127" s="4" t="s">
        <v>37</v>
      </c>
      <c r="K127" s="14" t="s">
        <v>91</v>
      </c>
    </row>
    <row r="128" spans="1:11" x14ac:dyDescent="0.2">
      <c r="A128" s="12"/>
      <c r="C128" s="4" t="s">
        <v>281</v>
      </c>
      <c r="D128" s="4">
        <v>6</v>
      </c>
      <c r="E128" s="4" t="s">
        <v>408</v>
      </c>
      <c r="F128" s="4" t="s">
        <v>15</v>
      </c>
      <c r="G128" s="4" t="s">
        <v>37</v>
      </c>
      <c r="H128" s="4" t="s">
        <v>37</v>
      </c>
      <c r="I128" s="4" t="s">
        <v>37</v>
      </c>
      <c r="J128" s="4" t="s">
        <v>37</v>
      </c>
      <c r="K128" s="14" t="s">
        <v>37</v>
      </c>
    </row>
    <row r="129" spans="1:11" x14ac:dyDescent="0.2">
      <c r="A129" s="12"/>
      <c r="C129" s="4" t="s">
        <v>83</v>
      </c>
      <c r="D129" s="4">
        <v>1</v>
      </c>
      <c r="E129" s="4" t="s">
        <v>410</v>
      </c>
      <c r="F129" s="4" t="s">
        <v>15</v>
      </c>
      <c r="G129" s="4" t="s">
        <v>37</v>
      </c>
      <c r="H129" s="4" t="s">
        <v>37</v>
      </c>
      <c r="I129" s="4" t="s">
        <v>37</v>
      </c>
      <c r="J129" s="4" t="s">
        <v>37</v>
      </c>
      <c r="K129" s="14" t="s">
        <v>37</v>
      </c>
    </row>
    <row r="130" spans="1:11" x14ac:dyDescent="0.2">
      <c r="A130" s="12"/>
      <c r="C130" s="4" t="s">
        <v>122</v>
      </c>
      <c r="D130" s="4">
        <v>1</v>
      </c>
      <c r="E130" s="4" t="s">
        <v>413</v>
      </c>
      <c r="F130" s="4" t="s">
        <v>15</v>
      </c>
      <c r="G130" s="4" t="s">
        <v>124</v>
      </c>
      <c r="H130" s="4" t="s">
        <v>124</v>
      </c>
      <c r="I130" s="4" t="s">
        <v>150</v>
      </c>
      <c r="J130" s="4" t="s">
        <v>124</v>
      </c>
      <c r="K130" s="14" t="s">
        <v>414</v>
      </c>
    </row>
    <row r="131" spans="1:11" x14ac:dyDescent="0.2">
      <c r="A131" s="12"/>
      <c r="C131" s="4" t="s">
        <v>83</v>
      </c>
      <c r="D131" s="4">
        <v>3</v>
      </c>
      <c r="E131" s="4" t="s">
        <v>416</v>
      </c>
      <c r="F131" s="4" t="s">
        <v>15</v>
      </c>
      <c r="G131" s="4" t="s">
        <v>16</v>
      </c>
      <c r="H131" s="4" t="s">
        <v>16</v>
      </c>
      <c r="I131" s="4" t="s">
        <v>16</v>
      </c>
      <c r="J131" s="4" t="s">
        <v>16</v>
      </c>
      <c r="K131" s="14" t="s">
        <v>16</v>
      </c>
    </row>
    <row r="132" spans="1:11" x14ac:dyDescent="0.2">
      <c r="A132" s="12"/>
      <c r="C132" s="4" t="s">
        <v>419</v>
      </c>
      <c r="D132" s="4">
        <v>42</v>
      </c>
      <c r="E132" s="4" t="s">
        <v>420</v>
      </c>
      <c r="F132" s="4" t="s">
        <v>15</v>
      </c>
      <c r="G132" s="4" t="s">
        <v>150</v>
      </c>
      <c r="H132" s="4" t="s">
        <v>37</v>
      </c>
      <c r="I132" s="4" t="s">
        <v>150</v>
      </c>
      <c r="J132" s="4" t="s">
        <v>37</v>
      </c>
      <c r="K132" s="14" t="s">
        <v>150</v>
      </c>
    </row>
    <row r="133" spans="1:11" x14ac:dyDescent="0.2">
      <c r="A133" s="12"/>
      <c r="C133" s="4" t="s">
        <v>106</v>
      </c>
      <c r="D133" s="4">
        <v>7</v>
      </c>
      <c r="E133" s="4" t="s">
        <v>421</v>
      </c>
      <c r="F133" s="4" t="s">
        <v>15</v>
      </c>
      <c r="G133" s="4" t="s">
        <v>37</v>
      </c>
      <c r="H133" s="4" t="s">
        <v>37</v>
      </c>
      <c r="I133" s="4" t="s">
        <v>37</v>
      </c>
      <c r="J133" s="4" t="s">
        <v>37</v>
      </c>
      <c r="K133" s="14" t="s">
        <v>37</v>
      </c>
    </row>
    <row r="134" spans="1:11" x14ac:dyDescent="0.2">
      <c r="A134" s="12"/>
      <c r="C134" s="4" t="s">
        <v>83</v>
      </c>
      <c r="D134" s="4">
        <v>1</v>
      </c>
      <c r="E134" s="4" t="s">
        <v>422</v>
      </c>
      <c r="F134" s="4" t="s">
        <v>15</v>
      </c>
      <c r="G134" s="4" t="s">
        <v>37</v>
      </c>
      <c r="H134" s="4" t="s">
        <v>37</v>
      </c>
      <c r="I134" s="4" t="s">
        <v>37</v>
      </c>
      <c r="J134" s="4" t="s">
        <v>37</v>
      </c>
      <c r="K134" s="14" t="s">
        <v>37</v>
      </c>
    </row>
    <row r="135" spans="1:11" x14ac:dyDescent="0.2">
      <c r="A135" s="12"/>
      <c r="C135" s="4" t="s">
        <v>425</v>
      </c>
      <c r="D135" s="4">
        <v>35</v>
      </c>
      <c r="E135" s="4" t="s">
        <v>426</v>
      </c>
      <c r="F135" s="4" t="s">
        <v>15</v>
      </c>
      <c r="G135" s="4" t="s">
        <v>16</v>
      </c>
      <c r="H135" s="4" t="s">
        <v>16</v>
      </c>
      <c r="I135" s="4" t="s">
        <v>414</v>
      </c>
      <c r="J135" s="4" t="s">
        <v>414</v>
      </c>
      <c r="K135" s="14" t="s">
        <v>414</v>
      </c>
    </row>
    <row r="136" spans="1:11" x14ac:dyDescent="0.2">
      <c r="A136" s="12"/>
      <c r="C136" s="4" t="s">
        <v>156</v>
      </c>
      <c r="D136" s="4">
        <v>10</v>
      </c>
      <c r="E136" s="4" t="s">
        <v>427</v>
      </c>
      <c r="F136" s="4" t="s">
        <v>15</v>
      </c>
      <c r="G136" s="4" t="s">
        <v>36</v>
      </c>
      <c r="H136" s="4" t="s">
        <v>37</v>
      </c>
      <c r="I136" s="4" t="s">
        <v>37</v>
      </c>
      <c r="J136" s="4" t="s">
        <v>37</v>
      </c>
      <c r="K136" s="14" t="s">
        <v>36</v>
      </c>
    </row>
    <row r="137" spans="1:11" x14ac:dyDescent="0.2">
      <c r="A137" s="12"/>
      <c r="C137" s="4" t="s">
        <v>428</v>
      </c>
      <c r="D137" s="4">
        <v>25</v>
      </c>
      <c r="E137" s="4" t="s">
        <v>429</v>
      </c>
      <c r="F137" s="4" t="s">
        <v>15</v>
      </c>
      <c r="G137" s="4" t="s">
        <v>37</v>
      </c>
      <c r="H137" s="4" t="s">
        <v>37</v>
      </c>
      <c r="I137" s="4" t="s">
        <v>37</v>
      </c>
      <c r="J137" s="4" t="s">
        <v>37</v>
      </c>
      <c r="K137" s="14" t="s">
        <v>37</v>
      </c>
    </row>
    <row r="138" spans="1:11" x14ac:dyDescent="0.2">
      <c r="A138" s="12"/>
      <c r="C138" s="4" t="s">
        <v>304</v>
      </c>
      <c r="D138" s="4">
        <v>12</v>
      </c>
      <c r="E138" s="4" t="s">
        <v>431</v>
      </c>
      <c r="F138" s="4" t="s">
        <v>15</v>
      </c>
      <c r="G138" s="4" t="s">
        <v>124</v>
      </c>
      <c r="H138" s="4" t="s">
        <v>124</v>
      </c>
      <c r="I138" s="4" t="s">
        <v>124</v>
      </c>
      <c r="J138" s="4" t="s">
        <v>36</v>
      </c>
      <c r="K138" s="14" t="s">
        <v>36</v>
      </c>
    </row>
    <row r="139" spans="1:11" x14ac:dyDescent="0.2">
      <c r="A139" s="12"/>
      <c r="C139" s="4" t="s">
        <v>434</v>
      </c>
      <c r="D139" s="4">
        <v>10</v>
      </c>
      <c r="E139" s="4" t="s">
        <v>435</v>
      </c>
      <c r="F139" s="4" t="s">
        <v>15</v>
      </c>
      <c r="G139" s="4" t="s">
        <v>37</v>
      </c>
      <c r="H139" s="4" t="s">
        <v>36</v>
      </c>
      <c r="I139" s="4" t="s">
        <v>37</v>
      </c>
      <c r="J139" s="4" t="s">
        <v>37</v>
      </c>
      <c r="K139" s="14" t="s">
        <v>36</v>
      </c>
    </row>
    <row r="140" spans="1:11" x14ac:dyDescent="0.2">
      <c r="A140" s="12"/>
      <c r="C140" s="4" t="s">
        <v>438</v>
      </c>
      <c r="D140" s="4">
        <v>14</v>
      </c>
      <c r="E140" s="4" t="s">
        <v>439</v>
      </c>
      <c r="F140" s="4" t="s">
        <v>15</v>
      </c>
      <c r="G140" s="4" t="s">
        <v>37</v>
      </c>
      <c r="H140" s="4" t="s">
        <v>37</v>
      </c>
      <c r="I140" s="4" t="s">
        <v>37</v>
      </c>
      <c r="J140" s="4" t="s">
        <v>37</v>
      </c>
      <c r="K140" s="14" t="s">
        <v>37</v>
      </c>
    </row>
    <row r="141" spans="1:11" x14ac:dyDescent="0.2">
      <c r="A141" s="12"/>
      <c r="C141" s="4" t="s">
        <v>250</v>
      </c>
      <c r="D141" s="4">
        <v>15</v>
      </c>
      <c r="E141" s="4" t="s">
        <v>441</v>
      </c>
      <c r="F141" s="4" t="s">
        <v>15</v>
      </c>
      <c r="G141" s="4" t="s">
        <v>37</v>
      </c>
      <c r="H141" s="4" t="s">
        <v>37</v>
      </c>
      <c r="I141" s="4" t="s">
        <v>37</v>
      </c>
      <c r="J141" s="4" t="s">
        <v>37</v>
      </c>
      <c r="K141" s="14" t="s">
        <v>37</v>
      </c>
    </row>
    <row r="142" spans="1:11" x14ac:dyDescent="0.2">
      <c r="A142" s="12"/>
      <c r="C142" s="4" t="s">
        <v>442</v>
      </c>
      <c r="D142" s="4">
        <v>27</v>
      </c>
      <c r="E142" s="4" t="s">
        <v>443</v>
      </c>
      <c r="F142" s="4" t="s">
        <v>15</v>
      </c>
      <c r="G142" s="4" t="s">
        <v>37</v>
      </c>
      <c r="H142" s="4" t="s">
        <v>37</v>
      </c>
      <c r="I142" s="4" t="s">
        <v>37</v>
      </c>
      <c r="J142" s="4" t="s">
        <v>37</v>
      </c>
      <c r="K142" s="14" t="s">
        <v>37</v>
      </c>
    </row>
    <row r="143" spans="1:11" x14ac:dyDescent="0.2">
      <c r="A143" s="12"/>
      <c r="C143" s="4" t="s">
        <v>83</v>
      </c>
      <c r="D143" s="4">
        <v>3</v>
      </c>
      <c r="E143" s="4" t="s">
        <v>445</v>
      </c>
      <c r="F143" s="4" t="s">
        <v>446</v>
      </c>
      <c r="G143" s="4" t="s">
        <v>37</v>
      </c>
      <c r="H143" s="4" t="s">
        <v>37</v>
      </c>
      <c r="I143" s="4" t="s">
        <v>36</v>
      </c>
      <c r="J143" s="4" t="s">
        <v>37</v>
      </c>
      <c r="K143" s="14" t="s">
        <v>36</v>
      </c>
    </row>
    <row r="144" spans="1:11" x14ac:dyDescent="0.2">
      <c r="A144" s="12"/>
      <c r="C144" s="4" t="s">
        <v>116</v>
      </c>
      <c r="D144" s="4">
        <v>11</v>
      </c>
      <c r="E144" s="4" t="s">
        <v>447</v>
      </c>
      <c r="F144" s="4" t="s">
        <v>15</v>
      </c>
      <c r="G144" s="4" t="s">
        <v>37</v>
      </c>
      <c r="H144" s="4" t="s">
        <v>37</v>
      </c>
      <c r="I144" s="4" t="s">
        <v>36</v>
      </c>
      <c r="J144" s="4" t="s">
        <v>37</v>
      </c>
      <c r="K144" s="14" t="s">
        <v>37</v>
      </c>
    </row>
    <row r="145" spans="1:11" x14ac:dyDescent="0.2">
      <c r="A145" s="12"/>
      <c r="C145" s="4" t="s">
        <v>50</v>
      </c>
      <c r="D145" s="4">
        <v>17</v>
      </c>
      <c r="E145" s="4" t="s">
        <v>450</v>
      </c>
      <c r="F145" s="4" t="s">
        <v>15</v>
      </c>
      <c r="G145" s="4" t="s">
        <v>37</v>
      </c>
      <c r="H145" s="4" t="s">
        <v>37</v>
      </c>
      <c r="I145" s="4" t="s">
        <v>37</v>
      </c>
      <c r="J145" s="4" t="s">
        <v>37</v>
      </c>
      <c r="K145" s="14" t="s">
        <v>37</v>
      </c>
    </row>
    <row r="146" spans="1:11" x14ac:dyDescent="0.2">
      <c r="A146" s="12"/>
      <c r="C146" s="4" t="s">
        <v>106</v>
      </c>
      <c r="D146" s="4">
        <v>6</v>
      </c>
      <c r="E146" s="4" t="s">
        <v>451</v>
      </c>
      <c r="F146" s="4" t="s">
        <v>15</v>
      </c>
      <c r="G146" s="4" t="s">
        <v>37</v>
      </c>
      <c r="H146" s="4" t="s">
        <v>37</v>
      </c>
      <c r="I146" s="4" t="s">
        <v>37</v>
      </c>
      <c r="J146" s="4" t="s">
        <v>37</v>
      </c>
      <c r="K146" s="14" t="s">
        <v>37</v>
      </c>
    </row>
    <row r="147" spans="1:11" x14ac:dyDescent="0.2">
      <c r="A147" s="12"/>
      <c r="C147" s="4" t="s">
        <v>83</v>
      </c>
      <c r="D147" s="4">
        <v>1</v>
      </c>
      <c r="E147" s="4" t="s">
        <v>454</v>
      </c>
      <c r="F147" s="4" t="s">
        <v>15</v>
      </c>
      <c r="G147" s="4" t="s">
        <v>80</v>
      </c>
      <c r="H147" s="4" t="s">
        <v>80</v>
      </c>
      <c r="I147" s="4" t="s">
        <v>80</v>
      </c>
      <c r="J147" s="4" t="s">
        <v>36</v>
      </c>
      <c r="K147" s="14" t="s">
        <v>80</v>
      </c>
    </row>
    <row r="148" spans="1:11" x14ac:dyDescent="0.2">
      <c r="A148" s="12"/>
      <c r="C148" s="4" t="s">
        <v>106</v>
      </c>
      <c r="D148" s="4">
        <v>4</v>
      </c>
      <c r="E148" s="4" t="s">
        <v>456</v>
      </c>
      <c r="F148" s="4" t="s">
        <v>15</v>
      </c>
      <c r="G148" s="4" t="s">
        <v>16</v>
      </c>
      <c r="H148" s="4" t="s">
        <v>16</v>
      </c>
      <c r="I148" s="4" t="s">
        <v>16</v>
      </c>
      <c r="J148" s="4" t="s">
        <v>16</v>
      </c>
      <c r="K148" s="14" t="s">
        <v>150</v>
      </c>
    </row>
    <row r="149" spans="1:11" x14ac:dyDescent="0.2">
      <c r="A149" s="12"/>
      <c r="C149" s="4" t="s">
        <v>122</v>
      </c>
      <c r="D149" s="4">
        <v>4</v>
      </c>
      <c r="E149" s="4" t="s">
        <v>458</v>
      </c>
      <c r="F149" s="4" t="s">
        <v>15</v>
      </c>
      <c r="G149" s="4" t="s">
        <v>150</v>
      </c>
      <c r="H149" s="4" t="s">
        <v>37</v>
      </c>
      <c r="I149" s="4" t="s">
        <v>150</v>
      </c>
      <c r="J149" s="4" t="s">
        <v>37</v>
      </c>
      <c r="K149" s="14" t="s">
        <v>37</v>
      </c>
    </row>
    <row r="150" spans="1:11" x14ac:dyDescent="0.2">
      <c r="A150" s="12"/>
      <c r="C150" s="4" t="s">
        <v>297</v>
      </c>
      <c r="D150" s="4">
        <v>20</v>
      </c>
      <c r="E150" s="4" t="s">
        <v>459</v>
      </c>
      <c r="F150" s="4" t="s">
        <v>15</v>
      </c>
      <c r="G150" s="4" t="s">
        <v>16</v>
      </c>
      <c r="H150" s="4" t="s">
        <v>36</v>
      </c>
      <c r="I150" s="4" t="s">
        <v>16</v>
      </c>
      <c r="J150" s="4" t="s">
        <v>16</v>
      </c>
      <c r="K150" s="14" t="s">
        <v>36</v>
      </c>
    </row>
    <row r="151" spans="1:11" x14ac:dyDescent="0.2">
      <c r="A151" s="12"/>
      <c r="C151" s="4" t="s">
        <v>83</v>
      </c>
      <c r="D151" s="4">
        <v>2</v>
      </c>
      <c r="E151" s="4" t="s">
        <v>460</v>
      </c>
      <c r="F151" s="4" t="s">
        <v>15</v>
      </c>
      <c r="G151" s="4" t="s">
        <v>37</v>
      </c>
      <c r="H151" s="4" t="s">
        <v>37</v>
      </c>
      <c r="I151" s="4" t="s">
        <v>37</v>
      </c>
      <c r="J151" s="4" t="s">
        <v>91</v>
      </c>
      <c r="K151" s="14" t="s">
        <v>91</v>
      </c>
    </row>
    <row r="152" spans="1:11" x14ac:dyDescent="0.2">
      <c r="A152" s="12"/>
      <c r="C152" s="4" t="s">
        <v>64</v>
      </c>
      <c r="D152" s="4">
        <v>3</v>
      </c>
      <c r="E152" s="4" t="s">
        <v>463</v>
      </c>
      <c r="F152" s="4" t="s">
        <v>15</v>
      </c>
      <c r="G152" s="4" t="s">
        <v>37</v>
      </c>
      <c r="H152" s="4" t="s">
        <v>37</v>
      </c>
      <c r="I152" s="4" t="s">
        <v>37</v>
      </c>
      <c r="J152" s="4" t="s">
        <v>37</v>
      </c>
      <c r="K152" s="14" t="s">
        <v>37</v>
      </c>
    </row>
    <row r="153" spans="1:11" x14ac:dyDescent="0.2">
      <c r="A153" s="12"/>
      <c r="C153" s="4" t="s">
        <v>83</v>
      </c>
      <c r="D153" s="4">
        <v>1</v>
      </c>
      <c r="E153" s="4" t="s">
        <v>464</v>
      </c>
      <c r="F153" s="4" t="s">
        <v>15</v>
      </c>
      <c r="G153" s="4" t="s">
        <v>112</v>
      </c>
      <c r="H153" s="4" t="s">
        <v>112</v>
      </c>
      <c r="I153" s="4" t="s">
        <v>112</v>
      </c>
      <c r="J153" s="4" t="s">
        <v>112</v>
      </c>
      <c r="K153" s="14" t="s">
        <v>112</v>
      </c>
    </row>
    <row r="154" spans="1:11" x14ac:dyDescent="0.2">
      <c r="A154" s="12"/>
      <c r="C154" s="4" t="s">
        <v>83</v>
      </c>
      <c r="D154" s="4">
        <v>3</v>
      </c>
      <c r="E154" s="4" t="s">
        <v>466</v>
      </c>
      <c r="F154" s="4" t="s">
        <v>15</v>
      </c>
      <c r="G154" s="4" t="s">
        <v>37</v>
      </c>
      <c r="H154" s="4" t="s">
        <v>37</v>
      </c>
      <c r="I154" s="4" t="s">
        <v>37</v>
      </c>
      <c r="J154" s="4" t="s">
        <v>37</v>
      </c>
      <c r="K154" s="14" t="s">
        <v>37</v>
      </c>
    </row>
    <row r="155" spans="1:11" x14ac:dyDescent="0.2">
      <c r="A155" s="12"/>
      <c r="C155" s="4" t="s">
        <v>83</v>
      </c>
      <c r="D155" s="4">
        <v>1</v>
      </c>
      <c r="E155" s="4" t="s">
        <v>469</v>
      </c>
      <c r="F155" s="4" t="s">
        <v>15</v>
      </c>
      <c r="G155" s="4" t="s">
        <v>37</v>
      </c>
      <c r="H155" s="4" t="s">
        <v>80</v>
      </c>
      <c r="I155" s="4" t="s">
        <v>37</v>
      </c>
      <c r="J155" s="4" t="s">
        <v>80</v>
      </c>
      <c r="K155" s="14" t="s">
        <v>80</v>
      </c>
    </row>
    <row r="156" spans="1:11" x14ac:dyDescent="0.2">
      <c r="A156" s="12"/>
      <c r="C156" s="4" t="s">
        <v>470</v>
      </c>
      <c r="D156" s="4">
        <v>9</v>
      </c>
      <c r="E156" s="4" t="s">
        <v>471</v>
      </c>
      <c r="F156" s="4" t="s">
        <v>15</v>
      </c>
      <c r="G156" s="4" t="s">
        <v>37</v>
      </c>
      <c r="H156" s="4" t="s">
        <v>37</v>
      </c>
      <c r="I156" s="4" t="s">
        <v>37</v>
      </c>
      <c r="J156" s="4" t="s">
        <v>37</v>
      </c>
      <c r="K156" s="14" t="s">
        <v>37</v>
      </c>
    </row>
    <row r="157" spans="1:11" x14ac:dyDescent="0.2">
      <c r="A157" s="12"/>
      <c r="C157" s="4" t="s">
        <v>216</v>
      </c>
      <c r="D157" s="4">
        <v>17</v>
      </c>
      <c r="E157" s="4" t="s">
        <v>473</v>
      </c>
      <c r="F157" s="4" t="s">
        <v>15</v>
      </c>
      <c r="G157" s="4" t="s">
        <v>91</v>
      </c>
      <c r="H157" s="4" t="s">
        <v>37</v>
      </c>
      <c r="I157" s="4" t="s">
        <v>37</v>
      </c>
      <c r="J157" s="4" t="s">
        <v>37</v>
      </c>
      <c r="K157" s="14" t="s">
        <v>37</v>
      </c>
    </row>
    <row r="158" spans="1:11" x14ac:dyDescent="0.2">
      <c r="A158" s="12"/>
      <c r="C158" s="4" t="s">
        <v>122</v>
      </c>
      <c r="D158" s="4">
        <v>1</v>
      </c>
      <c r="E158" s="4" t="s">
        <v>474</v>
      </c>
      <c r="F158" s="4" t="s">
        <v>15</v>
      </c>
      <c r="G158" s="4" t="s">
        <v>37</v>
      </c>
      <c r="H158" s="4" t="s">
        <v>37</v>
      </c>
      <c r="I158" s="4" t="s">
        <v>37</v>
      </c>
      <c r="J158" s="4" t="s">
        <v>37</v>
      </c>
      <c r="K158" s="14" t="s">
        <v>37</v>
      </c>
    </row>
    <row r="159" spans="1:11" x14ac:dyDescent="0.2">
      <c r="A159" s="12"/>
      <c r="C159" s="4" t="s">
        <v>160</v>
      </c>
      <c r="D159" s="4">
        <v>2</v>
      </c>
      <c r="E159" s="4" t="s">
        <v>475</v>
      </c>
      <c r="F159" s="4" t="s">
        <v>15</v>
      </c>
      <c r="G159" s="4" t="s">
        <v>16</v>
      </c>
      <c r="H159" s="4" t="s">
        <v>16</v>
      </c>
      <c r="I159" s="4" t="s">
        <v>16</v>
      </c>
      <c r="J159" s="4" t="s">
        <v>16</v>
      </c>
      <c r="K159" s="14" t="s">
        <v>16</v>
      </c>
    </row>
    <row r="160" spans="1:11" x14ac:dyDescent="0.2">
      <c r="A160" s="12"/>
      <c r="C160" s="4" t="s">
        <v>83</v>
      </c>
      <c r="D160" s="4">
        <v>1</v>
      </c>
      <c r="E160" s="4" t="s">
        <v>476</v>
      </c>
      <c r="F160" s="4" t="s">
        <v>15</v>
      </c>
      <c r="G160" s="4" t="s">
        <v>37</v>
      </c>
      <c r="H160" s="4" t="s">
        <v>37</v>
      </c>
      <c r="I160" s="4" t="s">
        <v>37</v>
      </c>
      <c r="J160" s="4" t="s">
        <v>37</v>
      </c>
      <c r="K160" s="14" t="s">
        <v>37</v>
      </c>
    </row>
    <row r="161" spans="1:11" x14ac:dyDescent="0.2">
      <c r="A161" s="12"/>
      <c r="C161" s="4" t="s">
        <v>425</v>
      </c>
      <c r="D161" s="4">
        <v>35</v>
      </c>
      <c r="E161" s="4" t="s">
        <v>479</v>
      </c>
      <c r="F161" s="4" t="s">
        <v>15</v>
      </c>
      <c r="G161" s="4" t="s">
        <v>16</v>
      </c>
      <c r="H161" s="4" t="s">
        <v>16</v>
      </c>
      <c r="I161" s="4" t="s">
        <v>16</v>
      </c>
      <c r="J161" s="4" t="s">
        <v>16</v>
      </c>
      <c r="K161" s="14" t="s">
        <v>16</v>
      </c>
    </row>
    <row r="162" spans="1:11" x14ac:dyDescent="0.2">
      <c r="A162" s="12"/>
      <c r="C162" s="4" t="s">
        <v>481</v>
      </c>
      <c r="D162" s="4">
        <v>35</v>
      </c>
      <c r="E162" s="4" t="s">
        <v>482</v>
      </c>
      <c r="F162" s="4" t="s">
        <v>15</v>
      </c>
      <c r="G162" s="4" t="s">
        <v>37</v>
      </c>
      <c r="H162" s="4" t="s">
        <v>37</v>
      </c>
      <c r="I162" s="4" t="s">
        <v>37</v>
      </c>
      <c r="J162" s="4" t="s">
        <v>37</v>
      </c>
      <c r="K162" s="14" t="s">
        <v>37</v>
      </c>
    </row>
    <row r="163" spans="1:11" x14ac:dyDescent="0.2">
      <c r="A163" s="12"/>
      <c r="C163" s="4" t="s">
        <v>483</v>
      </c>
      <c r="D163" s="4">
        <v>60</v>
      </c>
      <c r="E163" s="4" t="s">
        <v>484</v>
      </c>
      <c r="F163" s="4" t="s">
        <v>15</v>
      </c>
      <c r="G163" s="4" t="s">
        <v>37</v>
      </c>
      <c r="H163" s="4" t="s">
        <v>36</v>
      </c>
      <c r="I163" s="4" t="s">
        <v>37</v>
      </c>
      <c r="J163" s="4" t="s">
        <v>36</v>
      </c>
      <c r="K163" s="14" t="s">
        <v>37</v>
      </c>
    </row>
    <row r="164" spans="1:11" x14ac:dyDescent="0.2">
      <c r="A164" s="12"/>
      <c r="C164" s="4" t="s">
        <v>485</v>
      </c>
      <c r="D164" s="4">
        <v>30</v>
      </c>
      <c r="E164" s="4" t="s">
        <v>486</v>
      </c>
      <c r="F164" s="4" t="s">
        <v>15</v>
      </c>
      <c r="G164" s="4" t="s">
        <v>37</v>
      </c>
      <c r="H164" s="4" t="s">
        <v>37</v>
      </c>
      <c r="I164" s="4" t="s">
        <v>37</v>
      </c>
      <c r="J164" s="4" t="s">
        <v>37</v>
      </c>
      <c r="K164" s="14" t="s">
        <v>37</v>
      </c>
    </row>
    <row r="165" spans="1:11" x14ac:dyDescent="0.2">
      <c r="A165" s="12"/>
      <c r="C165" s="4" t="s">
        <v>216</v>
      </c>
      <c r="D165" s="4">
        <v>14</v>
      </c>
      <c r="E165" s="4" t="s">
        <v>489</v>
      </c>
      <c r="F165" s="4" t="s">
        <v>15</v>
      </c>
      <c r="G165" s="4" t="s">
        <v>37</v>
      </c>
      <c r="H165" s="4" t="s">
        <v>37</v>
      </c>
      <c r="I165" s="4" t="s">
        <v>37</v>
      </c>
      <c r="J165" s="4" t="s">
        <v>37</v>
      </c>
      <c r="K165" s="14" t="s">
        <v>150</v>
      </c>
    </row>
    <row r="166" spans="1:11" x14ac:dyDescent="0.2">
      <c r="A166" s="12"/>
      <c r="C166" s="4" t="s">
        <v>83</v>
      </c>
      <c r="D166" s="4">
        <v>1</v>
      </c>
      <c r="E166" s="4" t="s">
        <v>491</v>
      </c>
      <c r="F166" s="4" t="s">
        <v>15</v>
      </c>
      <c r="G166" s="4" t="s">
        <v>37</v>
      </c>
      <c r="H166" s="4" t="s">
        <v>112</v>
      </c>
      <c r="I166" s="4" t="s">
        <v>112</v>
      </c>
      <c r="J166" s="4" t="s">
        <v>37</v>
      </c>
      <c r="K166" s="14" t="s">
        <v>37</v>
      </c>
    </row>
    <row r="167" spans="1:11" x14ac:dyDescent="0.2">
      <c r="A167" s="12"/>
      <c r="C167" s="4" t="s">
        <v>83</v>
      </c>
      <c r="D167" s="4">
        <v>2</v>
      </c>
      <c r="E167" s="4" t="s">
        <v>494</v>
      </c>
      <c r="F167" s="4" t="s">
        <v>15</v>
      </c>
      <c r="G167" s="4" t="s">
        <v>37</v>
      </c>
      <c r="H167" s="4" t="s">
        <v>37</v>
      </c>
      <c r="I167" s="4" t="s">
        <v>37</v>
      </c>
      <c r="J167" s="4" t="s">
        <v>37</v>
      </c>
      <c r="K167" s="14" t="s">
        <v>37</v>
      </c>
    </row>
    <row r="168" spans="1:11" x14ac:dyDescent="0.2">
      <c r="A168" s="12"/>
      <c r="C168" s="4" t="s">
        <v>145</v>
      </c>
      <c r="D168" s="4">
        <v>6</v>
      </c>
      <c r="E168" s="4" t="s">
        <v>495</v>
      </c>
      <c r="F168" s="4" t="s">
        <v>15</v>
      </c>
      <c r="G168" s="4" t="s">
        <v>37</v>
      </c>
      <c r="H168" s="4" t="s">
        <v>37</v>
      </c>
      <c r="I168" s="4" t="s">
        <v>37</v>
      </c>
      <c r="J168" s="4" t="s">
        <v>37</v>
      </c>
      <c r="K168" s="14" t="s">
        <v>37</v>
      </c>
    </row>
    <row r="169" spans="1:11" x14ac:dyDescent="0.2">
      <c r="A169" s="12"/>
      <c r="C169" s="4" t="s">
        <v>122</v>
      </c>
      <c r="D169" s="4">
        <v>2</v>
      </c>
      <c r="E169" s="4" t="s">
        <v>498</v>
      </c>
      <c r="F169" s="4" t="s">
        <v>15</v>
      </c>
      <c r="G169" s="4" t="s">
        <v>37</v>
      </c>
      <c r="H169" s="4" t="s">
        <v>37</v>
      </c>
      <c r="I169" s="4" t="s">
        <v>37</v>
      </c>
      <c r="J169" s="4" t="s">
        <v>37</v>
      </c>
      <c r="K169" s="14" t="s">
        <v>37</v>
      </c>
    </row>
    <row r="170" spans="1:11" x14ac:dyDescent="0.2">
      <c r="A170" s="12"/>
      <c r="C170" s="4" t="s">
        <v>145</v>
      </c>
      <c r="D170" s="4">
        <v>10</v>
      </c>
      <c r="E170" s="4" t="s">
        <v>499</v>
      </c>
      <c r="F170" s="4" t="s">
        <v>15</v>
      </c>
      <c r="G170" s="4" t="s">
        <v>36</v>
      </c>
      <c r="H170" s="4" t="s">
        <v>36</v>
      </c>
      <c r="I170" s="4" t="s">
        <v>16</v>
      </c>
      <c r="J170" s="4" t="s">
        <v>16</v>
      </c>
      <c r="K170" s="14" t="s">
        <v>91</v>
      </c>
    </row>
    <row r="171" spans="1:11" x14ac:dyDescent="0.2">
      <c r="A171" s="12"/>
      <c r="C171" s="4" t="s">
        <v>502</v>
      </c>
      <c r="D171" s="4">
        <v>12</v>
      </c>
      <c r="E171" s="4" t="s">
        <v>503</v>
      </c>
      <c r="F171" s="4" t="s">
        <v>15</v>
      </c>
      <c r="G171" s="4" t="s">
        <v>36</v>
      </c>
      <c r="H171" s="4" t="s">
        <v>36</v>
      </c>
      <c r="I171" s="4" t="s">
        <v>37</v>
      </c>
      <c r="J171" s="4" t="s">
        <v>36</v>
      </c>
      <c r="K171" s="14" t="s">
        <v>37</v>
      </c>
    </row>
    <row r="172" spans="1:11" x14ac:dyDescent="0.2">
      <c r="A172" s="12"/>
      <c r="C172" s="4" t="s">
        <v>172</v>
      </c>
      <c r="D172" s="4">
        <v>24</v>
      </c>
      <c r="E172" s="4" t="s">
        <v>504</v>
      </c>
      <c r="F172" s="4" t="s">
        <v>15</v>
      </c>
      <c r="G172" s="4" t="s">
        <v>37</v>
      </c>
      <c r="H172" s="4" t="s">
        <v>37</v>
      </c>
      <c r="I172" s="4" t="s">
        <v>37</v>
      </c>
      <c r="J172" s="4" t="s">
        <v>37</v>
      </c>
      <c r="K172" s="14" t="s">
        <v>505</v>
      </c>
    </row>
    <row r="173" spans="1:11" x14ac:dyDescent="0.2">
      <c r="A173" s="12"/>
      <c r="C173" s="4" t="s">
        <v>507</v>
      </c>
      <c r="D173" s="4">
        <v>15</v>
      </c>
      <c r="E173" s="4" t="s">
        <v>508</v>
      </c>
      <c r="F173" s="4" t="s">
        <v>15</v>
      </c>
      <c r="G173" s="4" t="s">
        <v>37</v>
      </c>
      <c r="H173" s="4" t="s">
        <v>37</v>
      </c>
      <c r="I173" s="4" t="s">
        <v>37</v>
      </c>
      <c r="J173" s="4" t="s">
        <v>151</v>
      </c>
      <c r="K173" s="14" t="s">
        <v>36</v>
      </c>
    </row>
    <row r="174" spans="1:11" x14ac:dyDescent="0.2">
      <c r="A174" s="12"/>
      <c r="C174" s="4" t="s">
        <v>297</v>
      </c>
      <c r="D174" s="4">
        <v>10</v>
      </c>
      <c r="E174" s="4" t="s">
        <v>510</v>
      </c>
      <c r="F174" s="4" t="s">
        <v>15</v>
      </c>
      <c r="G174" s="4" t="s">
        <v>91</v>
      </c>
      <c r="H174" s="4" t="s">
        <v>37</v>
      </c>
      <c r="I174" s="4" t="s">
        <v>37</v>
      </c>
      <c r="J174" s="4" t="s">
        <v>37</v>
      </c>
      <c r="K174" s="14" t="s">
        <v>91</v>
      </c>
    </row>
    <row r="175" spans="1:11" x14ac:dyDescent="0.2">
      <c r="A175" s="12"/>
      <c r="C175" s="4" t="s">
        <v>83</v>
      </c>
      <c r="D175" s="4">
        <v>2</v>
      </c>
      <c r="E175" s="4" t="s">
        <v>512</v>
      </c>
      <c r="F175" s="4" t="s">
        <v>15</v>
      </c>
      <c r="G175" s="4" t="s">
        <v>36</v>
      </c>
      <c r="H175" s="4" t="s">
        <v>36</v>
      </c>
      <c r="I175" s="4" t="s">
        <v>36</v>
      </c>
      <c r="J175" s="4" t="s">
        <v>16</v>
      </c>
      <c r="K175" s="14" t="s">
        <v>16</v>
      </c>
    </row>
    <row r="176" spans="1:11" x14ac:dyDescent="0.2">
      <c r="A176" s="12"/>
      <c r="C176" s="4" t="s">
        <v>64</v>
      </c>
      <c r="D176" s="4">
        <v>2</v>
      </c>
      <c r="E176" s="4" t="s">
        <v>515</v>
      </c>
      <c r="F176" s="4" t="s">
        <v>15</v>
      </c>
      <c r="G176" s="4" t="s">
        <v>37</v>
      </c>
      <c r="H176" s="4" t="s">
        <v>37</v>
      </c>
      <c r="I176" s="4" t="s">
        <v>37</v>
      </c>
      <c r="J176" s="4" t="s">
        <v>37</v>
      </c>
      <c r="K176" s="14" t="s">
        <v>37</v>
      </c>
    </row>
    <row r="177" spans="1:11" x14ac:dyDescent="0.2">
      <c r="A177" s="12"/>
      <c r="C177" s="4" t="s">
        <v>83</v>
      </c>
      <c r="D177" s="4">
        <v>1</v>
      </c>
      <c r="E177" s="4" t="s">
        <v>518</v>
      </c>
      <c r="F177" s="4" t="s">
        <v>15</v>
      </c>
      <c r="G177" s="4" t="s">
        <v>124</v>
      </c>
      <c r="H177" s="4" t="s">
        <v>124</v>
      </c>
      <c r="I177" s="4" t="s">
        <v>124</v>
      </c>
      <c r="J177" s="4" t="s">
        <v>124</v>
      </c>
      <c r="K177" s="14" t="s">
        <v>124</v>
      </c>
    </row>
    <row r="178" spans="1:11" x14ac:dyDescent="0.2">
      <c r="A178" s="12"/>
      <c r="C178" s="4" t="s">
        <v>315</v>
      </c>
      <c r="D178" s="4">
        <v>11</v>
      </c>
      <c r="E178" s="4" t="s">
        <v>519</v>
      </c>
      <c r="F178" s="4" t="s">
        <v>15</v>
      </c>
      <c r="G178" s="4" t="s">
        <v>36</v>
      </c>
      <c r="H178" s="4" t="s">
        <v>37</v>
      </c>
      <c r="I178" s="4" t="s">
        <v>37</v>
      </c>
      <c r="J178" s="4" t="s">
        <v>37</v>
      </c>
      <c r="K178" s="14" t="s">
        <v>36</v>
      </c>
    </row>
    <row r="179" spans="1:11" x14ac:dyDescent="0.2">
      <c r="A179" s="12"/>
      <c r="C179" s="4" t="s">
        <v>83</v>
      </c>
      <c r="D179" s="4">
        <v>2</v>
      </c>
      <c r="E179" s="4" t="s">
        <v>520</v>
      </c>
      <c r="F179" s="4" t="s">
        <v>15</v>
      </c>
      <c r="G179" s="4" t="s">
        <v>150</v>
      </c>
      <c r="H179" s="4" t="s">
        <v>37</v>
      </c>
      <c r="I179" s="4" t="s">
        <v>37</v>
      </c>
      <c r="J179" s="4" t="s">
        <v>37</v>
      </c>
      <c r="K179" s="14" t="s">
        <v>37</v>
      </c>
    </row>
    <row r="180" spans="1:11" x14ac:dyDescent="0.2">
      <c r="A180" s="12"/>
      <c r="C180" s="4" t="s">
        <v>78</v>
      </c>
      <c r="D180" s="4">
        <v>6</v>
      </c>
      <c r="E180" s="4" t="s">
        <v>521</v>
      </c>
      <c r="F180" s="4" t="s">
        <v>15</v>
      </c>
      <c r="G180" s="4" t="s">
        <v>37</v>
      </c>
      <c r="H180" s="4" t="s">
        <v>37</v>
      </c>
      <c r="I180" s="4" t="s">
        <v>37</v>
      </c>
      <c r="J180" s="4" t="s">
        <v>37</v>
      </c>
      <c r="K180" s="14" t="s">
        <v>37</v>
      </c>
    </row>
    <row r="181" spans="1:11" x14ac:dyDescent="0.2">
      <c r="A181" s="12"/>
      <c r="C181" s="4" t="s">
        <v>83</v>
      </c>
      <c r="D181" s="4">
        <v>1</v>
      </c>
      <c r="E181" s="4" t="s">
        <v>522</v>
      </c>
      <c r="F181" s="4" t="s">
        <v>15</v>
      </c>
      <c r="G181" s="4" t="s">
        <v>112</v>
      </c>
      <c r="H181" s="4" t="s">
        <v>112</v>
      </c>
      <c r="I181" s="4" t="s">
        <v>112</v>
      </c>
      <c r="J181" s="4" t="s">
        <v>112</v>
      </c>
      <c r="K181" s="14" t="s">
        <v>112</v>
      </c>
    </row>
    <row r="182" spans="1:11" x14ac:dyDescent="0.2">
      <c r="A182" s="12"/>
      <c r="C182" s="4" t="s">
        <v>122</v>
      </c>
      <c r="D182" s="4">
        <v>4</v>
      </c>
      <c r="E182" s="4" t="s">
        <v>525</v>
      </c>
      <c r="F182" s="4" t="s">
        <v>15</v>
      </c>
      <c r="G182" s="4" t="s">
        <v>80</v>
      </c>
      <c r="H182" s="4" t="s">
        <v>80</v>
      </c>
      <c r="I182" s="4" t="s">
        <v>80</v>
      </c>
      <c r="J182" s="4" t="s">
        <v>80</v>
      </c>
      <c r="K182" s="14" t="s">
        <v>80</v>
      </c>
    </row>
    <row r="183" spans="1:11" x14ac:dyDescent="0.2">
      <c r="A183" s="12"/>
      <c r="C183" s="4" t="s">
        <v>281</v>
      </c>
      <c r="D183" s="4">
        <v>10</v>
      </c>
      <c r="E183" s="4" t="s">
        <v>528</v>
      </c>
      <c r="F183" s="4" t="s">
        <v>15</v>
      </c>
      <c r="G183" s="4" t="s">
        <v>37</v>
      </c>
      <c r="H183" s="4" t="s">
        <v>37</v>
      </c>
      <c r="I183" s="4" t="s">
        <v>37</v>
      </c>
      <c r="J183" s="4" t="s">
        <v>37</v>
      </c>
      <c r="K183" s="14" t="s">
        <v>37</v>
      </c>
    </row>
    <row r="184" spans="1:11" x14ac:dyDescent="0.2">
      <c r="A184" s="12"/>
      <c r="C184" s="4" t="s">
        <v>529</v>
      </c>
      <c r="D184" s="4">
        <v>28</v>
      </c>
      <c r="E184" s="4" t="s">
        <v>530</v>
      </c>
      <c r="F184" s="4" t="s">
        <v>15</v>
      </c>
      <c r="G184" s="4" t="s">
        <v>36</v>
      </c>
      <c r="H184" s="4" t="s">
        <v>37</v>
      </c>
      <c r="I184" s="4" t="s">
        <v>151</v>
      </c>
      <c r="J184" s="4" t="s">
        <v>37</v>
      </c>
      <c r="K184" s="14" t="s">
        <v>36</v>
      </c>
    </row>
    <row r="185" spans="1:11" x14ac:dyDescent="0.2">
      <c r="A185" s="12"/>
      <c r="C185" s="4" t="s">
        <v>45</v>
      </c>
      <c r="D185" s="4">
        <v>30</v>
      </c>
      <c r="E185" s="4" t="s">
        <v>533</v>
      </c>
      <c r="F185" s="4" t="s">
        <v>15</v>
      </c>
      <c r="G185" s="4" t="s">
        <v>37</v>
      </c>
      <c r="H185" s="4" t="s">
        <v>37</v>
      </c>
      <c r="I185" s="4" t="s">
        <v>37</v>
      </c>
      <c r="J185" s="4" t="s">
        <v>37</v>
      </c>
      <c r="K185" s="14" t="s">
        <v>37</v>
      </c>
    </row>
    <row r="186" spans="1:11" x14ac:dyDescent="0.2">
      <c r="A186" s="12"/>
      <c r="C186" s="4" t="s">
        <v>185</v>
      </c>
      <c r="D186" s="4">
        <v>15</v>
      </c>
      <c r="E186" s="4" t="s">
        <v>536</v>
      </c>
      <c r="F186" s="4" t="s">
        <v>15</v>
      </c>
      <c r="G186" s="4" t="s">
        <v>36</v>
      </c>
      <c r="H186" s="4" t="s">
        <v>36</v>
      </c>
      <c r="I186" s="4" t="s">
        <v>36</v>
      </c>
      <c r="J186" s="4" t="s">
        <v>36</v>
      </c>
      <c r="K186" s="14" t="s">
        <v>37</v>
      </c>
    </row>
    <row r="187" spans="1:11" x14ac:dyDescent="0.2">
      <c r="A187" s="12"/>
      <c r="C187" s="4" t="s">
        <v>172</v>
      </c>
      <c r="D187" s="4">
        <v>20</v>
      </c>
      <c r="E187" s="4" t="s">
        <v>539</v>
      </c>
      <c r="F187" s="4" t="s">
        <v>15</v>
      </c>
      <c r="G187" s="4" t="s">
        <v>37</v>
      </c>
      <c r="H187" s="4" t="s">
        <v>37</v>
      </c>
      <c r="I187" s="4" t="s">
        <v>37</v>
      </c>
      <c r="J187" s="4" t="s">
        <v>36</v>
      </c>
      <c r="K187" s="14" t="s">
        <v>36</v>
      </c>
    </row>
    <row r="188" spans="1:11" x14ac:dyDescent="0.2">
      <c r="A188" s="12"/>
      <c r="C188" s="4" t="s">
        <v>442</v>
      </c>
      <c r="D188" s="4">
        <v>35</v>
      </c>
      <c r="E188" s="4" t="s">
        <v>541</v>
      </c>
      <c r="F188" s="4" t="s">
        <v>15</v>
      </c>
      <c r="G188" s="4" t="s">
        <v>31</v>
      </c>
      <c r="H188" s="4" t="s">
        <v>31</v>
      </c>
      <c r="I188" s="4" t="s">
        <v>31</v>
      </c>
      <c r="J188" s="4" t="s">
        <v>31</v>
      </c>
      <c r="K188" s="14" t="s">
        <v>91</v>
      </c>
    </row>
    <row r="189" spans="1:11" x14ac:dyDescent="0.2">
      <c r="A189" s="12"/>
      <c r="C189" s="4" t="s">
        <v>116</v>
      </c>
      <c r="D189" s="4">
        <v>12</v>
      </c>
      <c r="E189" s="4" t="s">
        <v>544</v>
      </c>
      <c r="F189" s="4" t="s">
        <v>15</v>
      </c>
      <c r="G189" s="4" t="s">
        <v>16</v>
      </c>
      <c r="H189" s="4" t="s">
        <v>16</v>
      </c>
      <c r="I189" s="4" t="s">
        <v>16</v>
      </c>
      <c r="J189" s="4" t="s">
        <v>16</v>
      </c>
      <c r="K189" s="14" t="s">
        <v>16</v>
      </c>
    </row>
    <row r="190" spans="1:11" x14ac:dyDescent="0.2">
      <c r="A190" s="12"/>
      <c r="C190" s="4" t="s">
        <v>116</v>
      </c>
      <c r="D190" s="4">
        <v>11</v>
      </c>
      <c r="E190" s="4" t="s">
        <v>547</v>
      </c>
      <c r="F190" s="4" t="s">
        <v>15</v>
      </c>
      <c r="G190" s="4" t="s">
        <v>36</v>
      </c>
      <c r="H190" s="4" t="s">
        <v>37</v>
      </c>
      <c r="I190" s="4" t="s">
        <v>124</v>
      </c>
      <c r="J190" s="4" t="s">
        <v>37</v>
      </c>
      <c r="K190" s="14" t="s">
        <v>36</v>
      </c>
    </row>
    <row r="191" spans="1:11" x14ac:dyDescent="0.2">
      <c r="A191" s="12"/>
      <c r="C191" s="4" t="s">
        <v>548</v>
      </c>
      <c r="D191" s="4">
        <v>31</v>
      </c>
      <c r="E191" s="4" t="s">
        <v>549</v>
      </c>
      <c r="F191" s="4" t="s">
        <v>15</v>
      </c>
      <c r="G191" s="4" t="s">
        <v>37</v>
      </c>
      <c r="H191" s="4" t="s">
        <v>37</v>
      </c>
      <c r="I191" s="4" t="s">
        <v>37</v>
      </c>
      <c r="J191" s="4" t="s">
        <v>37</v>
      </c>
      <c r="K191" s="14" t="s">
        <v>37</v>
      </c>
    </row>
    <row r="192" spans="1:11" x14ac:dyDescent="0.2">
      <c r="A192" s="12"/>
      <c r="C192" s="4" t="s">
        <v>83</v>
      </c>
      <c r="D192" s="4">
        <v>2</v>
      </c>
      <c r="E192" s="4" t="s">
        <v>550</v>
      </c>
      <c r="F192" s="4" t="s">
        <v>15</v>
      </c>
      <c r="G192" s="4" t="s">
        <v>37</v>
      </c>
      <c r="H192" s="4" t="s">
        <v>37</v>
      </c>
      <c r="I192" s="4" t="s">
        <v>37</v>
      </c>
      <c r="J192" s="4" t="s">
        <v>91</v>
      </c>
      <c r="K192" s="14" t="s">
        <v>91</v>
      </c>
    </row>
    <row r="193" spans="1:11" x14ac:dyDescent="0.2">
      <c r="A193" s="12"/>
      <c r="C193" s="4" t="s">
        <v>106</v>
      </c>
      <c r="D193" s="4">
        <v>5</v>
      </c>
      <c r="E193" s="4" t="s">
        <v>552</v>
      </c>
      <c r="F193" s="4" t="s">
        <v>15</v>
      </c>
      <c r="G193" s="4" t="s">
        <v>37</v>
      </c>
      <c r="H193" s="4" t="s">
        <v>37</v>
      </c>
      <c r="I193" s="4" t="s">
        <v>37</v>
      </c>
      <c r="J193" s="4" t="s">
        <v>37</v>
      </c>
      <c r="K193" s="14" t="s">
        <v>37</v>
      </c>
    </row>
    <row r="194" spans="1:11" x14ac:dyDescent="0.2">
      <c r="A194" s="12"/>
      <c r="C194" s="4" t="s">
        <v>64</v>
      </c>
      <c r="D194" s="4">
        <v>1</v>
      </c>
      <c r="E194" s="4" t="s">
        <v>553</v>
      </c>
      <c r="F194" s="4" t="s">
        <v>15</v>
      </c>
      <c r="G194" s="4" t="s">
        <v>37</v>
      </c>
      <c r="H194" s="4" t="s">
        <v>37</v>
      </c>
      <c r="I194" s="4" t="s">
        <v>112</v>
      </c>
      <c r="J194" s="4" t="s">
        <v>37</v>
      </c>
      <c r="K194" s="14" t="s">
        <v>37</v>
      </c>
    </row>
    <row r="195" spans="1:11" x14ac:dyDescent="0.2">
      <c r="A195" s="12"/>
      <c r="C195" s="4" t="s">
        <v>554</v>
      </c>
      <c r="D195" s="4">
        <v>29</v>
      </c>
      <c r="E195" s="4" t="s">
        <v>555</v>
      </c>
      <c r="F195" s="4" t="s">
        <v>15</v>
      </c>
      <c r="G195" s="4" t="s">
        <v>37</v>
      </c>
      <c r="H195" s="4" t="s">
        <v>37</v>
      </c>
      <c r="I195" s="4" t="s">
        <v>37</v>
      </c>
      <c r="J195" s="4" t="s">
        <v>37</v>
      </c>
      <c r="K195" s="14" t="s">
        <v>37</v>
      </c>
    </row>
    <row r="196" spans="1:11" x14ac:dyDescent="0.2">
      <c r="A196" s="12"/>
      <c r="C196" s="4" t="s">
        <v>145</v>
      </c>
      <c r="D196" s="4">
        <v>6</v>
      </c>
      <c r="E196" s="4" t="s">
        <v>557</v>
      </c>
      <c r="F196" s="4" t="s">
        <v>15</v>
      </c>
      <c r="G196" s="4" t="s">
        <v>37</v>
      </c>
      <c r="H196" s="4" t="s">
        <v>37</v>
      </c>
      <c r="I196" s="4" t="s">
        <v>37</v>
      </c>
      <c r="J196" s="4" t="s">
        <v>37</v>
      </c>
      <c r="K196" s="14" t="s">
        <v>37</v>
      </c>
    </row>
    <row r="197" spans="1:11" x14ac:dyDescent="0.2">
      <c r="A197" s="12"/>
      <c r="C197" s="4" t="s">
        <v>122</v>
      </c>
      <c r="D197" s="4">
        <v>3</v>
      </c>
      <c r="E197" s="4" t="s">
        <v>559</v>
      </c>
      <c r="F197" s="4" t="s">
        <v>15</v>
      </c>
      <c r="G197" s="4" t="s">
        <v>560</v>
      </c>
      <c r="H197" s="4" t="s">
        <v>560</v>
      </c>
      <c r="I197" s="4" t="s">
        <v>560</v>
      </c>
      <c r="J197" s="4" t="s">
        <v>560</v>
      </c>
      <c r="K197" s="14" t="s">
        <v>560</v>
      </c>
    </row>
    <row r="198" spans="1:11" x14ac:dyDescent="0.2">
      <c r="A198" s="12"/>
      <c r="C198" s="4" t="s">
        <v>122</v>
      </c>
      <c r="D198" s="4">
        <v>4</v>
      </c>
      <c r="E198" s="4" t="s">
        <v>561</v>
      </c>
      <c r="F198" s="4" t="s">
        <v>15</v>
      </c>
      <c r="G198" s="4" t="s">
        <v>396</v>
      </c>
      <c r="H198" s="4" t="s">
        <v>396</v>
      </c>
      <c r="I198" s="4" t="s">
        <v>396</v>
      </c>
      <c r="J198" s="4" t="s">
        <v>396</v>
      </c>
      <c r="K198" s="14" t="s">
        <v>396</v>
      </c>
    </row>
    <row r="199" spans="1:11" x14ac:dyDescent="0.2">
      <c r="A199" s="12"/>
      <c r="C199" s="4" t="s">
        <v>50</v>
      </c>
      <c r="D199" s="4">
        <v>15</v>
      </c>
      <c r="E199" s="4" t="s">
        <v>562</v>
      </c>
      <c r="F199" s="4" t="s">
        <v>15</v>
      </c>
      <c r="G199" s="4" t="s">
        <v>37</v>
      </c>
      <c r="H199" s="4" t="s">
        <v>37</v>
      </c>
      <c r="I199" s="4" t="s">
        <v>37</v>
      </c>
      <c r="J199" s="4" t="s">
        <v>37</v>
      </c>
      <c r="K199" s="14" t="s">
        <v>37</v>
      </c>
    </row>
    <row r="200" spans="1:11" x14ac:dyDescent="0.2">
      <c r="A200" s="12"/>
      <c r="C200" s="4" t="s">
        <v>563</v>
      </c>
      <c r="D200" s="4">
        <v>28</v>
      </c>
      <c r="E200" s="4" t="s">
        <v>564</v>
      </c>
      <c r="F200" s="4" t="s">
        <v>15</v>
      </c>
      <c r="G200" s="4" t="s">
        <v>37</v>
      </c>
      <c r="H200" s="4" t="s">
        <v>37</v>
      </c>
      <c r="I200" s="4" t="s">
        <v>37</v>
      </c>
      <c r="J200" s="4" t="s">
        <v>37</v>
      </c>
      <c r="K200" s="14" t="s">
        <v>37</v>
      </c>
    </row>
    <row r="201" spans="1:11" x14ac:dyDescent="0.2">
      <c r="A201" s="12"/>
      <c r="C201" s="4" t="s">
        <v>185</v>
      </c>
      <c r="D201" s="4">
        <v>14</v>
      </c>
      <c r="E201" s="4" t="s">
        <v>566</v>
      </c>
      <c r="F201" s="4" t="s">
        <v>15</v>
      </c>
      <c r="G201" s="4" t="s">
        <v>37</v>
      </c>
      <c r="H201" s="4" t="s">
        <v>37</v>
      </c>
      <c r="I201" s="4" t="s">
        <v>37</v>
      </c>
      <c r="J201" s="4" t="s">
        <v>37</v>
      </c>
      <c r="K201" s="14" t="s">
        <v>37</v>
      </c>
    </row>
    <row r="202" spans="1:11" x14ac:dyDescent="0.2">
      <c r="A202" s="12"/>
      <c r="C202" s="4" t="s">
        <v>57</v>
      </c>
      <c r="D202" s="4">
        <v>18</v>
      </c>
      <c r="E202" s="4" t="s">
        <v>567</v>
      </c>
      <c r="F202" s="4" t="s">
        <v>15</v>
      </c>
      <c r="G202" s="4" t="s">
        <v>37</v>
      </c>
      <c r="H202" s="4" t="s">
        <v>37</v>
      </c>
      <c r="I202" s="4" t="s">
        <v>37</v>
      </c>
      <c r="J202" s="4" t="s">
        <v>37</v>
      </c>
      <c r="K202" s="14" t="s">
        <v>37</v>
      </c>
    </row>
    <row r="203" spans="1:11" x14ac:dyDescent="0.2">
      <c r="A203" s="12"/>
      <c r="C203" s="4" t="s">
        <v>570</v>
      </c>
      <c r="D203" s="4">
        <v>26</v>
      </c>
      <c r="E203" s="4" t="s">
        <v>571</v>
      </c>
      <c r="F203" s="4" t="s">
        <v>15</v>
      </c>
      <c r="G203" s="4" t="s">
        <v>37</v>
      </c>
      <c r="H203" s="4" t="s">
        <v>37</v>
      </c>
      <c r="I203" s="4" t="s">
        <v>37</v>
      </c>
      <c r="J203" s="4" t="s">
        <v>37</v>
      </c>
      <c r="K203" s="14" t="s">
        <v>37</v>
      </c>
    </row>
    <row r="204" spans="1:11" x14ac:dyDescent="0.2">
      <c r="A204" s="12"/>
      <c r="C204" s="4" t="s">
        <v>574</v>
      </c>
      <c r="D204" s="4">
        <v>6</v>
      </c>
      <c r="E204" s="4" t="s">
        <v>575</v>
      </c>
      <c r="F204" s="4" t="s">
        <v>15</v>
      </c>
      <c r="G204" s="4" t="s">
        <v>37</v>
      </c>
      <c r="H204" s="4" t="s">
        <v>37</v>
      </c>
      <c r="I204" s="4" t="s">
        <v>37</v>
      </c>
      <c r="J204" s="4" t="s">
        <v>37</v>
      </c>
      <c r="K204" s="14" t="s">
        <v>37</v>
      </c>
    </row>
    <row r="205" spans="1:11" x14ac:dyDescent="0.2">
      <c r="A205" s="12"/>
      <c r="C205" s="4" t="s">
        <v>577</v>
      </c>
      <c r="D205" s="4">
        <v>50</v>
      </c>
      <c r="E205" s="4" t="s">
        <v>578</v>
      </c>
      <c r="F205" s="4" t="s">
        <v>15</v>
      </c>
      <c r="G205" s="4" t="s">
        <v>37</v>
      </c>
      <c r="H205" s="4" t="s">
        <v>37</v>
      </c>
      <c r="I205" s="4" t="s">
        <v>37</v>
      </c>
      <c r="J205" s="4" t="s">
        <v>37</v>
      </c>
      <c r="K205" s="14" t="s">
        <v>37</v>
      </c>
    </row>
    <row r="206" spans="1:11" x14ac:dyDescent="0.2">
      <c r="A206" s="12"/>
      <c r="C206" s="4" t="s">
        <v>83</v>
      </c>
      <c r="D206" s="4">
        <v>1</v>
      </c>
      <c r="E206" s="4" t="s">
        <v>579</v>
      </c>
      <c r="F206" s="4" t="s">
        <v>15</v>
      </c>
      <c r="G206" s="4" t="s">
        <v>37</v>
      </c>
      <c r="H206" s="4" t="s">
        <v>37</v>
      </c>
      <c r="I206" s="4" t="s">
        <v>37</v>
      </c>
      <c r="J206" s="4" t="s">
        <v>37</v>
      </c>
      <c r="K206" s="14" t="s">
        <v>37</v>
      </c>
    </row>
    <row r="207" spans="1:11" x14ac:dyDescent="0.2">
      <c r="A207" s="12"/>
      <c r="C207" s="4" t="s">
        <v>78</v>
      </c>
      <c r="D207" s="4">
        <v>8</v>
      </c>
      <c r="E207" s="4" t="s">
        <v>581</v>
      </c>
      <c r="F207" s="4" t="s">
        <v>15</v>
      </c>
      <c r="G207" s="4" t="s">
        <v>37</v>
      </c>
      <c r="H207" s="4" t="s">
        <v>37</v>
      </c>
      <c r="I207" s="4" t="s">
        <v>37</v>
      </c>
      <c r="J207" s="4" t="s">
        <v>37</v>
      </c>
      <c r="K207" s="14" t="s">
        <v>37</v>
      </c>
    </row>
    <row r="208" spans="1:11" x14ac:dyDescent="0.2">
      <c r="A208" s="12"/>
      <c r="C208" s="4" t="s">
        <v>106</v>
      </c>
      <c r="D208" s="4">
        <v>8</v>
      </c>
      <c r="E208" s="4" t="s">
        <v>583</v>
      </c>
      <c r="F208" s="4" t="s">
        <v>15</v>
      </c>
      <c r="G208" s="4" t="s">
        <v>80</v>
      </c>
      <c r="H208" s="4" t="s">
        <v>80</v>
      </c>
      <c r="I208" s="4" t="s">
        <v>36</v>
      </c>
      <c r="J208" s="4" t="s">
        <v>80</v>
      </c>
      <c r="K208" s="14" t="s">
        <v>80</v>
      </c>
    </row>
    <row r="209" spans="1:11" x14ac:dyDescent="0.2">
      <c r="A209" s="12"/>
      <c r="C209" s="4" t="s">
        <v>122</v>
      </c>
      <c r="D209" s="4">
        <v>3</v>
      </c>
      <c r="E209" s="4" t="s">
        <v>585</v>
      </c>
      <c r="F209" s="4" t="s">
        <v>15</v>
      </c>
      <c r="G209" s="4" t="s">
        <v>37</v>
      </c>
      <c r="H209" s="4" t="s">
        <v>37</v>
      </c>
      <c r="I209" s="4" t="s">
        <v>37</v>
      </c>
      <c r="J209" s="4" t="s">
        <v>37</v>
      </c>
      <c r="K209" s="14" t="s">
        <v>37</v>
      </c>
    </row>
    <row r="210" spans="1:11" x14ac:dyDescent="0.2">
      <c r="A210" s="12"/>
      <c r="C210" s="4" t="s">
        <v>64</v>
      </c>
      <c r="D210" s="4">
        <v>2</v>
      </c>
      <c r="E210" s="4" t="s">
        <v>586</v>
      </c>
      <c r="F210" s="4" t="s">
        <v>15</v>
      </c>
      <c r="G210" s="4" t="s">
        <v>124</v>
      </c>
      <c r="H210" s="4" t="s">
        <v>150</v>
      </c>
      <c r="I210" s="4" t="s">
        <v>124</v>
      </c>
      <c r="J210" s="4" t="s">
        <v>150</v>
      </c>
      <c r="K210" s="14" t="s">
        <v>150</v>
      </c>
    </row>
    <row r="211" spans="1:11" x14ac:dyDescent="0.2">
      <c r="A211" s="12"/>
      <c r="C211" s="4" t="s">
        <v>83</v>
      </c>
      <c r="D211" s="4">
        <v>10</v>
      </c>
      <c r="E211" s="4" t="s">
        <v>587</v>
      </c>
      <c r="F211" s="4" t="s">
        <v>15</v>
      </c>
      <c r="G211" s="4" t="s">
        <v>80</v>
      </c>
      <c r="H211" s="4" t="s">
        <v>80</v>
      </c>
      <c r="I211" s="4" t="s">
        <v>37</v>
      </c>
      <c r="J211" s="4" t="s">
        <v>37</v>
      </c>
      <c r="K211" s="14" t="s">
        <v>36</v>
      </c>
    </row>
    <row r="212" spans="1:11" x14ac:dyDescent="0.2">
      <c r="A212" s="12"/>
      <c r="C212" s="4" t="s">
        <v>64</v>
      </c>
      <c r="D212" s="4">
        <v>4</v>
      </c>
      <c r="E212" s="4" t="s">
        <v>588</v>
      </c>
      <c r="F212" s="4" t="s">
        <v>15</v>
      </c>
      <c r="G212" s="4" t="s">
        <v>37</v>
      </c>
      <c r="H212" s="4" t="s">
        <v>37</v>
      </c>
      <c r="I212" s="4" t="s">
        <v>37</v>
      </c>
      <c r="J212" s="4" t="s">
        <v>150</v>
      </c>
      <c r="K212" s="14" t="s">
        <v>150</v>
      </c>
    </row>
    <row r="213" spans="1:11" x14ac:dyDescent="0.2">
      <c r="A213" s="12"/>
      <c r="C213" s="4" t="s">
        <v>64</v>
      </c>
      <c r="D213" s="4">
        <v>4</v>
      </c>
      <c r="E213" s="4" t="s">
        <v>589</v>
      </c>
      <c r="F213" s="4" t="s">
        <v>15</v>
      </c>
      <c r="G213" s="4" t="s">
        <v>37</v>
      </c>
      <c r="H213" s="4" t="s">
        <v>37</v>
      </c>
      <c r="I213" s="4" t="s">
        <v>37</v>
      </c>
      <c r="J213" s="4" t="s">
        <v>37</v>
      </c>
      <c r="K213" s="14" t="s">
        <v>37</v>
      </c>
    </row>
    <row r="214" spans="1:11" x14ac:dyDescent="0.2">
      <c r="A214" s="12"/>
      <c r="C214" s="4" t="s">
        <v>122</v>
      </c>
      <c r="D214" s="4">
        <v>4</v>
      </c>
      <c r="E214" s="4" t="s">
        <v>590</v>
      </c>
      <c r="F214" s="4" t="s">
        <v>15</v>
      </c>
      <c r="G214" s="4" t="s">
        <v>37</v>
      </c>
      <c r="H214" s="4" t="s">
        <v>36</v>
      </c>
      <c r="I214" s="4" t="s">
        <v>37</v>
      </c>
      <c r="J214" s="4" t="s">
        <v>37</v>
      </c>
      <c r="K214" s="14" t="s">
        <v>36</v>
      </c>
    </row>
    <row r="215" spans="1:11" x14ac:dyDescent="0.2">
      <c r="A215" s="12"/>
      <c r="C215" s="4" t="s">
        <v>83</v>
      </c>
      <c r="D215" s="4">
        <v>2</v>
      </c>
      <c r="E215" s="4" t="s">
        <v>593</v>
      </c>
      <c r="F215" s="4" t="s">
        <v>15</v>
      </c>
      <c r="G215" s="4" t="s">
        <v>37</v>
      </c>
      <c r="H215" s="4" t="s">
        <v>37</v>
      </c>
      <c r="I215" s="4" t="s">
        <v>37</v>
      </c>
      <c r="J215" s="4" t="s">
        <v>37</v>
      </c>
      <c r="K215" s="14" t="s">
        <v>150</v>
      </c>
    </row>
    <row r="216" spans="1:11" x14ac:dyDescent="0.2">
      <c r="A216" s="12"/>
      <c r="C216" s="4" t="s">
        <v>116</v>
      </c>
      <c r="D216" s="4">
        <v>10</v>
      </c>
      <c r="E216" s="4" t="s">
        <v>596</v>
      </c>
      <c r="F216" s="4" t="s">
        <v>15</v>
      </c>
      <c r="G216" s="4" t="s">
        <v>37</v>
      </c>
      <c r="H216" s="4" t="s">
        <v>37</v>
      </c>
      <c r="I216" s="4" t="s">
        <v>37</v>
      </c>
      <c r="J216" s="4" t="s">
        <v>37</v>
      </c>
      <c r="K216" s="14" t="s">
        <v>37</v>
      </c>
    </row>
    <row r="217" spans="1:11" x14ac:dyDescent="0.2">
      <c r="A217" s="12"/>
      <c r="C217" s="4" t="s">
        <v>83</v>
      </c>
      <c r="D217" s="4">
        <v>1</v>
      </c>
      <c r="E217" s="4" t="s">
        <v>597</v>
      </c>
      <c r="F217" s="4" t="s">
        <v>15</v>
      </c>
      <c r="G217" s="4" t="s">
        <v>112</v>
      </c>
      <c r="H217" s="4" t="s">
        <v>112</v>
      </c>
      <c r="I217" s="4" t="s">
        <v>112</v>
      </c>
      <c r="J217" s="4" t="s">
        <v>112</v>
      </c>
      <c r="K217" s="14" t="s">
        <v>112</v>
      </c>
    </row>
    <row r="218" spans="1:11" x14ac:dyDescent="0.2">
      <c r="A218" s="12"/>
      <c r="C218" s="4" t="s">
        <v>29</v>
      </c>
      <c r="D218" s="4">
        <v>25</v>
      </c>
      <c r="E218" s="4" t="s">
        <v>599</v>
      </c>
      <c r="F218" s="4" t="s">
        <v>15</v>
      </c>
      <c r="G218" s="4" t="s">
        <v>37</v>
      </c>
      <c r="H218" s="4" t="s">
        <v>37</v>
      </c>
      <c r="I218" s="4" t="s">
        <v>37</v>
      </c>
      <c r="J218" s="4" t="s">
        <v>37</v>
      </c>
      <c r="K218" s="14" t="s">
        <v>37</v>
      </c>
    </row>
    <row r="219" spans="1:11" x14ac:dyDescent="0.2">
      <c r="A219" s="12"/>
      <c r="C219" s="4" t="s">
        <v>83</v>
      </c>
      <c r="D219" s="4">
        <v>1</v>
      </c>
      <c r="E219" s="4" t="s">
        <v>600</v>
      </c>
      <c r="F219" s="4" t="s">
        <v>15</v>
      </c>
      <c r="G219" s="4" t="s">
        <v>112</v>
      </c>
      <c r="H219" s="4" t="s">
        <v>112</v>
      </c>
      <c r="I219" s="4" t="s">
        <v>112</v>
      </c>
      <c r="J219" s="4" t="s">
        <v>112</v>
      </c>
      <c r="K219" s="14" t="s">
        <v>112</v>
      </c>
    </row>
    <row r="220" spans="1:11" x14ac:dyDescent="0.2">
      <c r="A220" s="12"/>
      <c r="C220" s="4" t="s">
        <v>574</v>
      </c>
      <c r="D220" s="4">
        <v>5</v>
      </c>
      <c r="E220" s="4" t="s">
        <v>603</v>
      </c>
      <c r="F220" s="4" t="s">
        <v>15</v>
      </c>
      <c r="G220" s="4" t="s">
        <v>37</v>
      </c>
      <c r="H220" s="4" t="s">
        <v>37</v>
      </c>
      <c r="I220" s="4" t="s">
        <v>37</v>
      </c>
      <c r="J220" s="4" t="s">
        <v>37</v>
      </c>
      <c r="K220" s="14" t="s">
        <v>37</v>
      </c>
    </row>
    <row r="221" spans="1:11" x14ac:dyDescent="0.2">
      <c r="A221" s="12"/>
      <c r="C221" s="4" t="s">
        <v>83</v>
      </c>
      <c r="D221" s="4">
        <v>1</v>
      </c>
      <c r="E221" s="4" t="s">
        <v>604</v>
      </c>
      <c r="F221" s="4" t="s">
        <v>15</v>
      </c>
      <c r="G221" s="4" t="s">
        <v>37</v>
      </c>
      <c r="H221" s="4" t="s">
        <v>36</v>
      </c>
      <c r="I221" s="4" t="s">
        <v>37</v>
      </c>
      <c r="J221" s="4" t="s">
        <v>37</v>
      </c>
      <c r="K221" s="14" t="s">
        <v>36</v>
      </c>
    </row>
    <row r="222" spans="1:11" x14ac:dyDescent="0.2">
      <c r="A222" s="12"/>
      <c r="C222" s="4" t="s">
        <v>78</v>
      </c>
      <c r="D222" s="4">
        <v>16</v>
      </c>
      <c r="E222" s="4" t="s">
        <v>607</v>
      </c>
      <c r="F222" s="4" t="s">
        <v>15</v>
      </c>
      <c r="G222" s="4" t="s">
        <v>37</v>
      </c>
      <c r="H222" s="4" t="s">
        <v>37</v>
      </c>
      <c r="I222" s="4" t="s">
        <v>37</v>
      </c>
      <c r="J222" s="4" t="s">
        <v>37</v>
      </c>
      <c r="K222" s="14" t="s">
        <v>37</v>
      </c>
    </row>
    <row r="223" spans="1:11" x14ac:dyDescent="0.2">
      <c r="A223" s="12"/>
      <c r="C223" s="4" t="s">
        <v>326</v>
      </c>
      <c r="D223" s="4">
        <v>25</v>
      </c>
      <c r="E223" s="4" t="s">
        <v>610</v>
      </c>
      <c r="F223" s="4" t="s">
        <v>15</v>
      </c>
      <c r="G223" s="4" t="s">
        <v>37</v>
      </c>
      <c r="H223" s="4" t="s">
        <v>37</v>
      </c>
      <c r="I223" s="4" t="s">
        <v>37</v>
      </c>
      <c r="J223" s="4" t="s">
        <v>37</v>
      </c>
      <c r="K223" s="14" t="s">
        <v>37</v>
      </c>
    </row>
    <row r="224" spans="1:11" x14ac:dyDescent="0.2">
      <c r="A224" s="12"/>
      <c r="C224" s="4" t="s">
        <v>574</v>
      </c>
      <c r="D224" s="4">
        <v>12</v>
      </c>
      <c r="E224" s="4" t="s">
        <v>611</v>
      </c>
      <c r="F224" s="4" t="s">
        <v>15</v>
      </c>
      <c r="G224" s="4" t="s">
        <v>37</v>
      </c>
      <c r="H224" s="4" t="s">
        <v>37</v>
      </c>
      <c r="I224" s="4" t="s">
        <v>37</v>
      </c>
      <c r="J224" s="4" t="s">
        <v>37</v>
      </c>
      <c r="K224" s="14" t="s">
        <v>37</v>
      </c>
    </row>
    <row r="225" spans="1:11" x14ac:dyDescent="0.2">
      <c r="A225" s="12"/>
      <c r="C225" s="4" t="s">
        <v>83</v>
      </c>
      <c r="D225" s="4">
        <v>3</v>
      </c>
      <c r="E225" s="4" t="s">
        <v>612</v>
      </c>
      <c r="F225" s="4" t="s">
        <v>15</v>
      </c>
      <c r="G225" s="4" t="s">
        <v>37</v>
      </c>
      <c r="H225" s="4" t="s">
        <v>37</v>
      </c>
      <c r="I225" s="4" t="s">
        <v>37</v>
      </c>
      <c r="J225" s="4" t="s">
        <v>37</v>
      </c>
      <c r="K225" s="14" t="s">
        <v>36</v>
      </c>
    </row>
    <row r="226" spans="1:11" x14ac:dyDescent="0.2">
      <c r="A226" s="12"/>
      <c r="C226" s="4" t="s">
        <v>116</v>
      </c>
      <c r="D226" s="4">
        <v>13</v>
      </c>
      <c r="E226" s="4" t="s">
        <v>613</v>
      </c>
      <c r="F226" s="4" t="s">
        <v>15</v>
      </c>
      <c r="G226" s="4" t="s">
        <v>36</v>
      </c>
      <c r="H226" s="4" t="s">
        <v>37</v>
      </c>
      <c r="I226" s="4" t="s">
        <v>37</v>
      </c>
      <c r="J226" s="4" t="s">
        <v>37</v>
      </c>
      <c r="K226" s="14" t="s">
        <v>36</v>
      </c>
    </row>
    <row r="227" spans="1:11" x14ac:dyDescent="0.2">
      <c r="A227" s="12"/>
      <c r="C227" s="4" t="s">
        <v>614</v>
      </c>
      <c r="D227" s="4">
        <v>37</v>
      </c>
      <c r="E227" s="4" t="s">
        <v>615</v>
      </c>
      <c r="F227" s="4" t="s">
        <v>15</v>
      </c>
      <c r="G227" s="4" t="s">
        <v>31</v>
      </c>
      <c r="H227" s="4" t="s">
        <v>31</v>
      </c>
      <c r="I227" s="4" t="s">
        <v>414</v>
      </c>
      <c r="J227" s="4" t="s">
        <v>31</v>
      </c>
      <c r="K227" s="14" t="s">
        <v>31</v>
      </c>
    </row>
    <row r="228" spans="1:11" x14ac:dyDescent="0.2">
      <c r="A228" s="12"/>
      <c r="C228" s="4" t="s">
        <v>616</v>
      </c>
      <c r="D228" s="4">
        <v>28</v>
      </c>
      <c r="E228" s="4" t="s">
        <v>617</v>
      </c>
      <c r="F228" s="4" t="s">
        <v>15</v>
      </c>
      <c r="G228" s="4" t="s">
        <v>37</v>
      </c>
      <c r="H228" s="4" t="s">
        <v>37</v>
      </c>
      <c r="I228" s="4" t="s">
        <v>37</v>
      </c>
      <c r="J228" s="4" t="s">
        <v>37</v>
      </c>
      <c r="K228" s="14" t="s">
        <v>37</v>
      </c>
    </row>
    <row r="229" spans="1:11" x14ac:dyDescent="0.2">
      <c r="A229" s="12"/>
      <c r="C229" s="4" t="s">
        <v>50</v>
      </c>
      <c r="D229" s="4">
        <v>18</v>
      </c>
      <c r="E229" s="4" t="s">
        <v>620</v>
      </c>
      <c r="F229" s="4" t="s">
        <v>15</v>
      </c>
      <c r="G229" s="4" t="s">
        <v>37</v>
      </c>
      <c r="H229" s="4" t="s">
        <v>37</v>
      </c>
      <c r="I229" s="4" t="s">
        <v>37</v>
      </c>
      <c r="J229" s="4" t="s">
        <v>80</v>
      </c>
      <c r="K229" s="14" t="s">
        <v>80</v>
      </c>
    </row>
    <row r="230" spans="1:11" x14ac:dyDescent="0.2">
      <c r="A230" s="12"/>
      <c r="C230" s="4" t="s">
        <v>52</v>
      </c>
      <c r="D230" s="4">
        <v>13</v>
      </c>
      <c r="E230" s="4" t="s">
        <v>623</v>
      </c>
      <c r="F230" s="4" t="s">
        <v>15</v>
      </c>
      <c r="G230" s="4" t="s">
        <v>36</v>
      </c>
      <c r="H230" s="4" t="s">
        <v>37</v>
      </c>
      <c r="I230" s="4" t="s">
        <v>37</v>
      </c>
      <c r="J230" s="4" t="s">
        <v>37</v>
      </c>
      <c r="K230" s="14" t="s">
        <v>36</v>
      </c>
    </row>
    <row r="231" spans="1:11" x14ac:dyDescent="0.2">
      <c r="A231" s="12"/>
      <c r="C231" s="4" t="s">
        <v>122</v>
      </c>
      <c r="D231" s="4">
        <v>3</v>
      </c>
      <c r="E231" s="4" t="s">
        <v>624</v>
      </c>
      <c r="F231" s="4" t="s">
        <v>15</v>
      </c>
      <c r="G231" s="4" t="s">
        <v>37</v>
      </c>
      <c r="H231" s="4" t="s">
        <v>37</v>
      </c>
      <c r="I231" s="4" t="s">
        <v>37</v>
      </c>
      <c r="J231" s="4" t="s">
        <v>37</v>
      </c>
      <c r="K231" s="14" t="s">
        <v>37</v>
      </c>
    </row>
    <row r="232" spans="1:11" x14ac:dyDescent="0.2">
      <c r="A232" s="12"/>
      <c r="C232" s="4" t="s">
        <v>83</v>
      </c>
      <c r="D232" s="4">
        <v>2</v>
      </c>
      <c r="E232" s="4" t="s">
        <v>625</v>
      </c>
      <c r="F232" s="4" t="s">
        <v>15</v>
      </c>
      <c r="G232" s="4" t="s">
        <v>37</v>
      </c>
      <c r="H232" s="4" t="s">
        <v>37</v>
      </c>
      <c r="I232" s="4" t="s">
        <v>37</v>
      </c>
      <c r="J232" s="4" t="s">
        <v>37</v>
      </c>
      <c r="K232" s="14" t="s">
        <v>37</v>
      </c>
    </row>
    <row r="233" spans="1:11" x14ac:dyDescent="0.2">
      <c r="A233" s="12"/>
      <c r="C233" s="4" t="s">
        <v>78</v>
      </c>
      <c r="D233" s="4">
        <v>5</v>
      </c>
      <c r="E233" s="4" t="s">
        <v>628</v>
      </c>
      <c r="F233" s="4" t="s">
        <v>15</v>
      </c>
      <c r="G233" s="4" t="s">
        <v>37</v>
      </c>
      <c r="H233" s="4" t="s">
        <v>37</v>
      </c>
      <c r="I233" s="4" t="s">
        <v>37</v>
      </c>
      <c r="J233" s="4" t="s">
        <v>37</v>
      </c>
      <c r="K233" s="14" t="s">
        <v>37</v>
      </c>
    </row>
    <row r="234" spans="1:11" x14ac:dyDescent="0.2">
      <c r="A234" s="12"/>
      <c r="C234" s="4" t="s">
        <v>630</v>
      </c>
      <c r="D234" s="4">
        <v>56</v>
      </c>
      <c r="E234" s="4" t="s">
        <v>631</v>
      </c>
      <c r="F234" s="4" t="s">
        <v>15</v>
      </c>
      <c r="G234" s="4" t="s">
        <v>36</v>
      </c>
      <c r="H234" s="4" t="s">
        <v>36</v>
      </c>
      <c r="I234" s="4" t="s">
        <v>36</v>
      </c>
      <c r="J234" s="4" t="s">
        <v>36</v>
      </c>
      <c r="K234" s="14" t="s">
        <v>36</v>
      </c>
    </row>
    <row r="235" spans="1:11" x14ac:dyDescent="0.2">
      <c r="A235" s="12"/>
      <c r="C235" s="4" t="s">
        <v>116</v>
      </c>
      <c r="D235" s="4">
        <v>11</v>
      </c>
      <c r="E235" s="4" t="s">
        <v>633</v>
      </c>
      <c r="F235" s="4" t="s">
        <v>15</v>
      </c>
      <c r="G235" s="4" t="s">
        <v>36</v>
      </c>
      <c r="H235" s="4" t="s">
        <v>37</v>
      </c>
      <c r="I235" s="4" t="s">
        <v>37</v>
      </c>
      <c r="J235" s="4" t="s">
        <v>36</v>
      </c>
      <c r="K235" s="14" t="s">
        <v>37</v>
      </c>
    </row>
    <row r="236" spans="1:11" x14ac:dyDescent="0.2">
      <c r="A236" s="12"/>
      <c r="C236" s="4" t="s">
        <v>634</v>
      </c>
      <c r="D236" s="4">
        <v>2</v>
      </c>
      <c r="E236" s="4" t="s">
        <v>635</v>
      </c>
      <c r="F236" s="4" t="s">
        <v>15</v>
      </c>
      <c r="G236" s="4" t="s">
        <v>124</v>
      </c>
      <c r="H236" s="4" t="s">
        <v>124</v>
      </c>
      <c r="I236" s="4" t="s">
        <v>124</v>
      </c>
      <c r="J236" s="4" t="s">
        <v>124</v>
      </c>
      <c r="K236" s="14" t="s">
        <v>124</v>
      </c>
    </row>
    <row r="237" spans="1:11" x14ac:dyDescent="0.2">
      <c r="A237" s="12"/>
      <c r="C237" s="4" t="s">
        <v>637</v>
      </c>
      <c r="D237" s="4">
        <v>33</v>
      </c>
      <c r="E237" s="4" t="s">
        <v>638</v>
      </c>
      <c r="F237" s="4" t="s">
        <v>15</v>
      </c>
      <c r="G237" s="4" t="s">
        <v>36</v>
      </c>
      <c r="H237" s="4" t="s">
        <v>16</v>
      </c>
      <c r="I237" s="4" t="s">
        <v>36</v>
      </c>
      <c r="J237" s="4" t="s">
        <v>16</v>
      </c>
      <c r="K237" s="14" t="s">
        <v>16</v>
      </c>
    </row>
    <row r="238" spans="1:11" x14ac:dyDescent="0.2">
      <c r="A238" s="12"/>
      <c r="C238" s="4" t="s">
        <v>50</v>
      </c>
      <c r="D238" s="4">
        <v>16</v>
      </c>
      <c r="E238" s="4" t="s">
        <v>641</v>
      </c>
      <c r="F238" s="4" t="s">
        <v>15</v>
      </c>
      <c r="G238" s="4" t="s">
        <v>37</v>
      </c>
      <c r="H238" s="4" t="s">
        <v>37</v>
      </c>
      <c r="I238" s="4" t="s">
        <v>37</v>
      </c>
      <c r="J238" s="4" t="s">
        <v>37</v>
      </c>
      <c r="K238" s="14" t="s">
        <v>37</v>
      </c>
    </row>
    <row r="239" spans="1:11" x14ac:dyDescent="0.2">
      <c r="A239" s="12"/>
      <c r="C239" s="4" t="s">
        <v>106</v>
      </c>
      <c r="D239" s="4">
        <v>6</v>
      </c>
      <c r="E239" s="4" t="s">
        <v>644</v>
      </c>
      <c r="F239" s="4" t="s">
        <v>15</v>
      </c>
      <c r="G239" s="4" t="s">
        <v>37</v>
      </c>
      <c r="H239" s="4" t="s">
        <v>37</v>
      </c>
      <c r="I239" s="4" t="s">
        <v>37</v>
      </c>
      <c r="J239" s="4" t="s">
        <v>37</v>
      </c>
      <c r="K239" s="14" t="s">
        <v>37</v>
      </c>
    </row>
    <row r="240" spans="1:11" x14ac:dyDescent="0.2">
      <c r="A240" s="12"/>
      <c r="C240" s="4" t="s">
        <v>647</v>
      </c>
      <c r="D240" s="4">
        <v>20</v>
      </c>
      <c r="E240" s="4" t="s">
        <v>648</v>
      </c>
      <c r="F240" s="4" t="s">
        <v>15</v>
      </c>
      <c r="G240" s="4" t="s">
        <v>36</v>
      </c>
      <c r="H240" s="4" t="s">
        <v>37</v>
      </c>
      <c r="I240" s="4" t="s">
        <v>37</v>
      </c>
      <c r="J240" s="4" t="s">
        <v>37</v>
      </c>
      <c r="K240" s="14" t="s">
        <v>36</v>
      </c>
    </row>
    <row r="241" spans="1:11" x14ac:dyDescent="0.2">
      <c r="A241" s="12"/>
      <c r="C241" s="4" t="s">
        <v>156</v>
      </c>
      <c r="D241" s="4">
        <v>7</v>
      </c>
      <c r="E241" s="4" t="s">
        <v>649</v>
      </c>
      <c r="F241" s="4" t="s">
        <v>15</v>
      </c>
      <c r="G241" s="4" t="s">
        <v>36</v>
      </c>
      <c r="H241" s="4" t="s">
        <v>37</v>
      </c>
      <c r="I241" s="4" t="s">
        <v>37</v>
      </c>
      <c r="J241" s="4" t="s">
        <v>37</v>
      </c>
      <c r="K241" s="14" t="s">
        <v>36</v>
      </c>
    </row>
    <row r="242" spans="1:11" x14ac:dyDescent="0.2">
      <c r="A242" s="12"/>
      <c r="C242" s="4" t="s">
        <v>83</v>
      </c>
      <c r="D242" s="4">
        <v>1</v>
      </c>
      <c r="E242" s="4" t="s">
        <v>652</v>
      </c>
      <c r="F242" s="4" t="s">
        <v>15</v>
      </c>
      <c r="G242" s="4" t="s">
        <v>36</v>
      </c>
      <c r="H242" s="4" t="s">
        <v>37</v>
      </c>
      <c r="I242" s="4" t="s">
        <v>37</v>
      </c>
      <c r="J242" s="4" t="s">
        <v>37</v>
      </c>
      <c r="K242" s="14" t="s">
        <v>37</v>
      </c>
    </row>
    <row r="243" spans="1:11" x14ac:dyDescent="0.2">
      <c r="A243" s="12"/>
      <c r="C243" s="4" t="s">
        <v>34</v>
      </c>
      <c r="D243" s="4">
        <v>18</v>
      </c>
      <c r="E243" s="4" t="s">
        <v>655</v>
      </c>
      <c r="F243" s="4" t="s">
        <v>15</v>
      </c>
      <c r="G243" s="4" t="s">
        <v>414</v>
      </c>
      <c r="H243" s="4" t="s">
        <v>414</v>
      </c>
      <c r="I243" s="4" t="s">
        <v>414</v>
      </c>
      <c r="J243" s="4" t="s">
        <v>414</v>
      </c>
      <c r="K243" s="14" t="s">
        <v>414</v>
      </c>
    </row>
    <row r="244" spans="1:11" x14ac:dyDescent="0.2">
      <c r="A244" s="12"/>
      <c r="C244" s="4" t="s">
        <v>57</v>
      </c>
      <c r="D244" s="4">
        <v>15</v>
      </c>
      <c r="E244" s="4" t="s">
        <v>656</v>
      </c>
      <c r="F244" s="4" t="s">
        <v>15</v>
      </c>
      <c r="G244" s="4" t="s">
        <v>37</v>
      </c>
      <c r="H244" s="4" t="s">
        <v>37</v>
      </c>
      <c r="I244" s="4" t="s">
        <v>37</v>
      </c>
      <c r="J244" s="4" t="s">
        <v>37</v>
      </c>
      <c r="K244" s="14" t="s">
        <v>37</v>
      </c>
    </row>
    <row r="245" spans="1:11" x14ac:dyDescent="0.2">
      <c r="A245" s="12"/>
      <c r="C245" s="4" t="s">
        <v>116</v>
      </c>
      <c r="D245" s="4">
        <v>12</v>
      </c>
      <c r="E245" s="4" t="s">
        <v>659</v>
      </c>
      <c r="F245" s="4" t="s">
        <v>15</v>
      </c>
      <c r="G245" s="4" t="s">
        <v>151</v>
      </c>
      <c r="H245" s="4" t="s">
        <v>37</v>
      </c>
      <c r="I245" s="4" t="s">
        <v>37</v>
      </c>
      <c r="J245" s="4" t="s">
        <v>36</v>
      </c>
      <c r="K245" s="14" t="s">
        <v>36</v>
      </c>
    </row>
    <row r="246" spans="1:11" x14ac:dyDescent="0.2">
      <c r="A246" s="12"/>
      <c r="C246" s="4" t="s">
        <v>83</v>
      </c>
      <c r="D246" s="4">
        <v>2</v>
      </c>
      <c r="E246" s="4" t="s">
        <v>662</v>
      </c>
      <c r="F246" s="4" t="s">
        <v>15</v>
      </c>
      <c r="G246" s="4" t="s">
        <v>124</v>
      </c>
      <c r="H246" s="4" t="s">
        <v>124</v>
      </c>
      <c r="I246" s="4" t="s">
        <v>124</v>
      </c>
      <c r="J246" s="4" t="s">
        <v>124</v>
      </c>
      <c r="K246" s="14" t="s">
        <v>124</v>
      </c>
    </row>
    <row r="247" spans="1:11" x14ac:dyDescent="0.2">
      <c r="A247" s="12"/>
      <c r="C247" s="4" t="s">
        <v>83</v>
      </c>
      <c r="D247" s="4">
        <v>12</v>
      </c>
      <c r="E247" s="4" t="s">
        <v>665</v>
      </c>
      <c r="F247" s="4" t="s">
        <v>15</v>
      </c>
      <c r="G247" s="4" t="s">
        <v>37</v>
      </c>
      <c r="H247" s="4" t="s">
        <v>37</v>
      </c>
      <c r="I247" s="4" t="s">
        <v>37</v>
      </c>
      <c r="J247" s="4" t="s">
        <v>37</v>
      </c>
      <c r="K247" s="14" t="s">
        <v>91</v>
      </c>
    </row>
    <row r="248" spans="1:11" x14ac:dyDescent="0.2">
      <c r="A248" s="12"/>
      <c r="C248" s="4" t="s">
        <v>668</v>
      </c>
      <c r="D248" s="4">
        <v>30</v>
      </c>
      <c r="E248" s="4" t="s">
        <v>669</v>
      </c>
      <c r="F248" s="4" t="s">
        <v>15</v>
      </c>
      <c r="G248" s="4" t="s">
        <v>16</v>
      </c>
      <c r="H248" s="4" t="s">
        <v>16</v>
      </c>
      <c r="I248" s="4" t="s">
        <v>16</v>
      </c>
      <c r="J248" s="4" t="s">
        <v>16</v>
      </c>
      <c r="K248" s="14" t="s">
        <v>16</v>
      </c>
    </row>
    <row r="249" spans="1:11" x14ac:dyDescent="0.2">
      <c r="A249" s="12"/>
      <c r="C249" s="4" t="s">
        <v>672</v>
      </c>
      <c r="D249" s="4">
        <v>22</v>
      </c>
      <c r="E249" s="4" t="s">
        <v>673</v>
      </c>
      <c r="F249" s="4" t="s">
        <v>15</v>
      </c>
      <c r="G249" s="4" t="s">
        <v>37</v>
      </c>
      <c r="H249" s="4" t="s">
        <v>37</v>
      </c>
      <c r="I249" s="4" t="s">
        <v>37</v>
      </c>
      <c r="J249" s="4" t="s">
        <v>37</v>
      </c>
      <c r="K249" s="14" t="s">
        <v>37</v>
      </c>
    </row>
    <row r="250" spans="1:11" x14ac:dyDescent="0.2">
      <c r="A250" s="12"/>
      <c r="C250" s="4" t="s">
        <v>83</v>
      </c>
      <c r="D250" s="4">
        <v>5</v>
      </c>
      <c r="E250" s="4" t="s">
        <v>674</v>
      </c>
      <c r="F250" s="4" t="s">
        <v>15</v>
      </c>
      <c r="G250" s="4" t="s">
        <v>16</v>
      </c>
      <c r="H250" s="4" t="s">
        <v>16</v>
      </c>
      <c r="I250" s="4" t="s">
        <v>16</v>
      </c>
      <c r="J250" s="4" t="s">
        <v>16</v>
      </c>
      <c r="K250" s="14" t="s">
        <v>16</v>
      </c>
    </row>
    <row r="251" spans="1:11" x14ac:dyDescent="0.2">
      <c r="A251" s="12"/>
      <c r="C251" s="4" t="s">
        <v>668</v>
      </c>
      <c r="D251" s="4">
        <v>31</v>
      </c>
      <c r="E251" s="4" t="s">
        <v>676</v>
      </c>
      <c r="F251" s="4" t="s">
        <v>15</v>
      </c>
      <c r="G251" s="4" t="s">
        <v>37</v>
      </c>
      <c r="H251" s="4" t="s">
        <v>37</v>
      </c>
      <c r="I251" s="4" t="s">
        <v>37</v>
      </c>
      <c r="J251" s="4" t="s">
        <v>37</v>
      </c>
      <c r="K251" s="14" t="s">
        <v>37</v>
      </c>
    </row>
    <row r="252" spans="1:11" x14ac:dyDescent="0.2">
      <c r="A252" s="12"/>
      <c r="C252" s="4" t="s">
        <v>83</v>
      </c>
      <c r="D252" s="4">
        <v>1</v>
      </c>
      <c r="E252" s="4" t="s">
        <v>678</v>
      </c>
      <c r="F252" s="4" t="s">
        <v>15</v>
      </c>
      <c r="G252" s="4" t="s">
        <v>36</v>
      </c>
      <c r="H252" s="4" t="s">
        <v>36</v>
      </c>
      <c r="I252" s="4" t="s">
        <v>37</v>
      </c>
      <c r="J252" s="4" t="s">
        <v>37</v>
      </c>
      <c r="K252" s="14" t="s">
        <v>36</v>
      </c>
    </row>
    <row r="253" spans="1:11" x14ac:dyDescent="0.2">
      <c r="A253" s="12"/>
      <c r="C253" s="4" t="s">
        <v>83</v>
      </c>
      <c r="D253" s="4">
        <v>1</v>
      </c>
      <c r="E253" s="4" t="s">
        <v>681</v>
      </c>
      <c r="F253" s="4" t="s">
        <v>15</v>
      </c>
      <c r="G253" s="4" t="s">
        <v>124</v>
      </c>
      <c r="H253" s="4" t="s">
        <v>124</v>
      </c>
      <c r="I253" s="4" t="s">
        <v>124</v>
      </c>
      <c r="J253" s="4" t="s">
        <v>124</v>
      </c>
      <c r="K253" s="14" t="s">
        <v>124</v>
      </c>
    </row>
    <row r="254" spans="1:11" x14ac:dyDescent="0.2">
      <c r="A254" s="12"/>
      <c r="C254" s="4" t="s">
        <v>684</v>
      </c>
      <c r="D254" s="4">
        <v>14</v>
      </c>
      <c r="E254" s="4" t="s">
        <v>685</v>
      </c>
      <c r="F254" s="4" t="s">
        <v>15</v>
      </c>
      <c r="G254" s="4" t="s">
        <v>37</v>
      </c>
      <c r="H254" s="4" t="s">
        <v>31</v>
      </c>
      <c r="I254" s="4" t="s">
        <v>37</v>
      </c>
      <c r="J254" s="4" t="s">
        <v>37</v>
      </c>
      <c r="K254" s="14" t="s">
        <v>37</v>
      </c>
    </row>
    <row r="255" spans="1:11" x14ac:dyDescent="0.2">
      <c r="A255" s="12"/>
      <c r="C255" s="4" t="s">
        <v>687</v>
      </c>
      <c r="D255" s="4">
        <v>41</v>
      </c>
      <c r="E255" s="4" t="s">
        <v>688</v>
      </c>
      <c r="F255" s="4" t="s">
        <v>15</v>
      </c>
      <c r="G255" s="4" t="s">
        <v>36</v>
      </c>
      <c r="H255" s="4" t="s">
        <v>37</v>
      </c>
      <c r="I255" s="4" t="s">
        <v>37</v>
      </c>
      <c r="J255" s="4" t="s">
        <v>37</v>
      </c>
      <c r="K255" s="14" t="s">
        <v>36</v>
      </c>
    </row>
    <row r="256" spans="1:11" x14ac:dyDescent="0.2">
      <c r="A256" s="12"/>
      <c r="C256" s="4" t="s">
        <v>691</v>
      </c>
      <c r="D256" s="4">
        <v>4</v>
      </c>
      <c r="E256" s="4" t="s">
        <v>692</v>
      </c>
      <c r="F256" s="4" t="s">
        <v>15</v>
      </c>
      <c r="G256" s="4" t="s">
        <v>16</v>
      </c>
      <c r="H256" s="4" t="s">
        <v>16</v>
      </c>
      <c r="I256" s="4" t="s">
        <v>16</v>
      </c>
      <c r="J256" s="4" t="s">
        <v>16</v>
      </c>
      <c r="K256" s="14" t="s">
        <v>16</v>
      </c>
    </row>
    <row r="257" spans="1:11" x14ac:dyDescent="0.2">
      <c r="A257" s="12"/>
      <c r="C257" s="4" t="s">
        <v>83</v>
      </c>
      <c r="D257" s="4">
        <v>1</v>
      </c>
      <c r="E257" s="4" t="s">
        <v>693</v>
      </c>
      <c r="F257" s="4" t="s">
        <v>15</v>
      </c>
      <c r="G257" s="4" t="s">
        <v>16</v>
      </c>
      <c r="H257" s="4" t="s">
        <v>16</v>
      </c>
      <c r="I257" s="4" t="s">
        <v>16</v>
      </c>
      <c r="J257" s="4" t="s">
        <v>16</v>
      </c>
      <c r="K257" s="14" t="s">
        <v>16</v>
      </c>
    </row>
    <row r="258" spans="1:11" x14ac:dyDescent="0.2">
      <c r="A258" s="12"/>
      <c r="C258" s="4" t="s">
        <v>83</v>
      </c>
      <c r="D258" s="4">
        <v>3</v>
      </c>
      <c r="E258" s="4" t="s">
        <v>696</v>
      </c>
      <c r="F258" s="4" t="s">
        <v>15</v>
      </c>
      <c r="G258" s="4" t="s">
        <v>36</v>
      </c>
      <c r="H258" s="4" t="s">
        <v>37</v>
      </c>
      <c r="I258" s="4" t="s">
        <v>37</v>
      </c>
      <c r="J258" s="4" t="s">
        <v>36</v>
      </c>
      <c r="K258" s="14" t="s">
        <v>37</v>
      </c>
    </row>
    <row r="259" spans="1:11" x14ac:dyDescent="0.2">
      <c r="A259" s="12"/>
      <c r="C259" s="4" t="s">
        <v>699</v>
      </c>
      <c r="D259" s="4">
        <v>43</v>
      </c>
      <c r="E259" s="4" t="s">
        <v>700</v>
      </c>
      <c r="F259" s="4" t="s">
        <v>15</v>
      </c>
      <c r="G259" s="4" t="s">
        <v>36</v>
      </c>
      <c r="H259" s="4" t="s">
        <v>37</v>
      </c>
      <c r="I259" s="4" t="s">
        <v>37</v>
      </c>
      <c r="J259" s="4" t="s">
        <v>37</v>
      </c>
      <c r="K259" s="14" t="s">
        <v>36</v>
      </c>
    </row>
    <row r="260" spans="1:11" x14ac:dyDescent="0.2">
      <c r="A260" s="12"/>
      <c r="C260" s="4" t="s">
        <v>684</v>
      </c>
      <c r="D260" s="4">
        <v>14</v>
      </c>
      <c r="E260" s="4" t="s">
        <v>703</v>
      </c>
      <c r="F260" s="4" t="s">
        <v>15</v>
      </c>
      <c r="G260" s="4" t="s">
        <v>37</v>
      </c>
      <c r="H260" s="4" t="s">
        <v>37</v>
      </c>
      <c r="I260" s="4" t="s">
        <v>37</v>
      </c>
      <c r="J260" s="4" t="s">
        <v>37</v>
      </c>
      <c r="K260" s="14" t="s">
        <v>37</v>
      </c>
    </row>
    <row r="261" spans="1:11" x14ac:dyDescent="0.2">
      <c r="A261" s="12"/>
      <c r="C261" s="4" t="s">
        <v>29</v>
      </c>
      <c r="D261" s="4">
        <v>24</v>
      </c>
      <c r="E261" s="4" t="s">
        <v>704</v>
      </c>
      <c r="F261" s="4" t="s">
        <v>15</v>
      </c>
      <c r="G261" s="4" t="s">
        <v>37</v>
      </c>
      <c r="H261" s="4" t="s">
        <v>37</v>
      </c>
      <c r="I261" s="4" t="s">
        <v>37</v>
      </c>
      <c r="J261" s="4" t="s">
        <v>36</v>
      </c>
      <c r="K261" s="14" t="s">
        <v>37</v>
      </c>
    </row>
    <row r="262" spans="1:11" x14ac:dyDescent="0.2">
      <c r="A262" s="12"/>
      <c r="C262" s="4" t="s">
        <v>83</v>
      </c>
      <c r="D262" s="4">
        <v>2</v>
      </c>
      <c r="E262" s="4" t="s">
        <v>705</v>
      </c>
      <c r="F262" s="4" t="s">
        <v>15</v>
      </c>
      <c r="G262" s="4" t="s">
        <v>124</v>
      </c>
      <c r="H262" s="4" t="s">
        <v>124</v>
      </c>
      <c r="I262" s="4" t="s">
        <v>124</v>
      </c>
      <c r="J262" s="4" t="s">
        <v>124</v>
      </c>
      <c r="K262" s="14" t="s">
        <v>124</v>
      </c>
    </row>
    <row r="263" spans="1:11" x14ac:dyDescent="0.2">
      <c r="A263" s="12"/>
      <c r="C263" s="4" t="s">
        <v>708</v>
      </c>
      <c r="D263" s="4">
        <v>59</v>
      </c>
      <c r="E263" s="4" t="s">
        <v>709</v>
      </c>
      <c r="F263" s="4" t="s">
        <v>15</v>
      </c>
      <c r="G263" s="4" t="s">
        <v>36</v>
      </c>
      <c r="H263" s="4" t="s">
        <v>36</v>
      </c>
      <c r="I263" s="4" t="s">
        <v>36</v>
      </c>
      <c r="J263" s="4" t="s">
        <v>36</v>
      </c>
      <c r="K263" s="14" t="s">
        <v>36</v>
      </c>
    </row>
    <row r="264" spans="1:11" x14ac:dyDescent="0.2">
      <c r="A264" s="12"/>
      <c r="C264" s="4" t="s">
        <v>83</v>
      </c>
      <c r="D264" s="4">
        <v>1</v>
      </c>
      <c r="E264" s="4" t="s">
        <v>712</v>
      </c>
      <c r="F264" s="4" t="s">
        <v>15</v>
      </c>
      <c r="G264" s="4" t="s">
        <v>112</v>
      </c>
      <c r="H264" s="4" t="s">
        <v>112</v>
      </c>
      <c r="I264" s="4" t="s">
        <v>112</v>
      </c>
      <c r="J264" s="4" t="s">
        <v>151</v>
      </c>
      <c r="K264" s="14" t="s">
        <v>112</v>
      </c>
    </row>
    <row r="265" spans="1:11" x14ac:dyDescent="0.2">
      <c r="A265" s="12"/>
      <c r="C265" s="4" t="s">
        <v>64</v>
      </c>
      <c r="D265" s="4">
        <v>2</v>
      </c>
      <c r="E265" s="4" t="s">
        <v>714</v>
      </c>
      <c r="F265" s="4" t="s">
        <v>15</v>
      </c>
      <c r="G265" s="4" t="s">
        <v>37</v>
      </c>
      <c r="H265" s="4" t="s">
        <v>37</v>
      </c>
      <c r="I265" s="4" t="s">
        <v>37</v>
      </c>
      <c r="J265" s="4" t="s">
        <v>37</v>
      </c>
      <c r="K265" s="14" t="s">
        <v>37</v>
      </c>
    </row>
    <row r="266" spans="1:11" x14ac:dyDescent="0.2">
      <c r="A266" s="12"/>
      <c r="C266" s="4" t="s">
        <v>106</v>
      </c>
      <c r="D266" s="4">
        <v>4</v>
      </c>
      <c r="E266" s="4" t="s">
        <v>716</v>
      </c>
      <c r="F266" s="4" t="s">
        <v>15</v>
      </c>
      <c r="G266" s="4" t="s">
        <v>37</v>
      </c>
      <c r="H266" s="4" t="s">
        <v>37</v>
      </c>
      <c r="I266" s="4" t="s">
        <v>37</v>
      </c>
      <c r="J266" s="4" t="s">
        <v>37</v>
      </c>
      <c r="K266" s="14" t="s">
        <v>37</v>
      </c>
    </row>
    <row r="267" spans="1:11" x14ac:dyDescent="0.2">
      <c r="A267" s="12"/>
      <c r="C267" s="4" t="s">
        <v>160</v>
      </c>
      <c r="D267" s="4">
        <v>1</v>
      </c>
      <c r="E267" s="4" t="s">
        <v>717</v>
      </c>
      <c r="F267" s="4" t="s">
        <v>15</v>
      </c>
      <c r="G267" s="4" t="s">
        <v>37</v>
      </c>
      <c r="H267" s="4" t="s">
        <v>37</v>
      </c>
      <c r="I267" s="4" t="s">
        <v>37</v>
      </c>
      <c r="J267" s="4" t="s">
        <v>37</v>
      </c>
      <c r="K267" s="14" t="s">
        <v>37</v>
      </c>
    </row>
    <row r="268" spans="1:11" x14ac:dyDescent="0.2">
      <c r="A268" s="12"/>
      <c r="C268" s="4" t="s">
        <v>574</v>
      </c>
      <c r="D268" s="4">
        <v>20</v>
      </c>
      <c r="E268" s="4" t="s">
        <v>718</v>
      </c>
      <c r="F268" s="4" t="s">
        <v>15</v>
      </c>
      <c r="G268" s="4" t="s">
        <v>37</v>
      </c>
      <c r="H268" s="4" t="s">
        <v>37</v>
      </c>
      <c r="I268" s="4" t="s">
        <v>37</v>
      </c>
      <c r="J268" s="4" t="s">
        <v>37</v>
      </c>
      <c r="K268" s="14" t="s">
        <v>37</v>
      </c>
    </row>
    <row r="269" spans="1:11" ht="0.75" customHeight="1" x14ac:dyDescent="0.2">
      <c r="A269" s="12"/>
      <c r="C269" s="4" t="s">
        <v>83</v>
      </c>
      <c r="D269" s="4">
        <v>4</v>
      </c>
      <c r="E269" s="4" t="s">
        <v>719</v>
      </c>
      <c r="F269" s="4" t="s">
        <v>15</v>
      </c>
      <c r="G269" s="4" t="s">
        <v>37</v>
      </c>
      <c r="H269" s="4" t="s">
        <v>37</v>
      </c>
      <c r="I269" s="4" t="s">
        <v>227</v>
      </c>
      <c r="J269" s="4" t="s">
        <v>227</v>
      </c>
      <c r="K269" s="14" t="s">
        <v>37</v>
      </c>
    </row>
    <row r="270" spans="1:11" x14ac:dyDescent="0.2">
      <c r="A270" s="12"/>
      <c r="C270" s="4" t="s">
        <v>116</v>
      </c>
      <c r="D270" s="4">
        <v>9</v>
      </c>
      <c r="E270" s="4" t="s">
        <v>721</v>
      </c>
      <c r="F270" s="4" t="s">
        <v>15</v>
      </c>
      <c r="G270" s="4" t="s">
        <v>37</v>
      </c>
      <c r="H270" s="4" t="s">
        <v>151</v>
      </c>
      <c r="I270" s="4" t="s">
        <v>37</v>
      </c>
      <c r="J270" s="4" t="s">
        <v>80</v>
      </c>
      <c r="K270" s="14" t="s">
        <v>37</v>
      </c>
    </row>
    <row r="271" spans="1:11" x14ac:dyDescent="0.2">
      <c r="A271" s="12"/>
      <c r="C271" s="4" t="s">
        <v>297</v>
      </c>
      <c r="D271" s="4">
        <v>12</v>
      </c>
      <c r="E271" s="4" t="s">
        <v>724</v>
      </c>
      <c r="F271" s="4" t="s">
        <v>15</v>
      </c>
      <c r="G271" s="4" t="s">
        <v>37</v>
      </c>
      <c r="H271" s="4" t="s">
        <v>37</v>
      </c>
      <c r="I271" s="4" t="s">
        <v>37</v>
      </c>
      <c r="J271" s="4" t="s">
        <v>91</v>
      </c>
      <c r="K271" s="14" t="s">
        <v>91</v>
      </c>
    </row>
    <row r="272" spans="1:11" x14ac:dyDescent="0.2">
      <c r="A272" s="12"/>
      <c r="C272" s="4" t="s">
        <v>725</v>
      </c>
      <c r="D272" s="4">
        <v>33</v>
      </c>
      <c r="E272" s="4" t="s">
        <v>726</v>
      </c>
      <c r="F272" s="4" t="s">
        <v>15</v>
      </c>
      <c r="G272" s="4" t="s">
        <v>16</v>
      </c>
      <c r="H272" s="4" t="s">
        <v>16</v>
      </c>
      <c r="I272" s="4" t="s">
        <v>16</v>
      </c>
      <c r="J272" s="4" t="s">
        <v>16</v>
      </c>
      <c r="K272" s="14" t="s">
        <v>16</v>
      </c>
    </row>
    <row r="273" spans="1:11" x14ac:dyDescent="0.2">
      <c r="A273" s="12"/>
      <c r="C273" s="4" t="s">
        <v>297</v>
      </c>
      <c r="D273" s="4">
        <v>13</v>
      </c>
      <c r="E273" s="4" t="s">
        <v>727</v>
      </c>
      <c r="F273" s="4" t="s">
        <v>15</v>
      </c>
      <c r="G273" s="4" t="s">
        <v>37</v>
      </c>
      <c r="H273" s="4" t="s">
        <v>37</v>
      </c>
      <c r="I273" s="4" t="s">
        <v>37</v>
      </c>
      <c r="J273" s="4" t="s">
        <v>37</v>
      </c>
      <c r="K273" s="14" t="s">
        <v>37</v>
      </c>
    </row>
    <row r="274" spans="1:11" x14ac:dyDescent="0.2">
      <c r="A274" s="12"/>
      <c r="C274" s="4" t="s">
        <v>297</v>
      </c>
      <c r="D274" s="4">
        <v>8</v>
      </c>
      <c r="E274" s="4" t="s">
        <v>729</v>
      </c>
      <c r="F274" s="4" t="s">
        <v>15</v>
      </c>
      <c r="G274" s="4" t="s">
        <v>80</v>
      </c>
      <c r="H274" s="4" t="s">
        <v>37</v>
      </c>
      <c r="I274" s="4" t="s">
        <v>80</v>
      </c>
      <c r="J274" s="4" t="s">
        <v>80</v>
      </c>
      <c r="K274" s="14" t="s">
        <v>80</v>
      </c>
    </row>
    <row r="275" spans="1:11" x14ac:dyDescent="0.2">
      <c r="A275" s="12"/>
      <c r="C275" s="4" t="s">
        <v>281</v>
      </c>
      <c r="D275" s="4">
        <v>7</v>
      </c>
      <c r="E275" s="4" t="s">
        <v>732</v>
      </c>
      <c r="F275" s="4" t="s">
        <v>15</v>
      </c>
      <c r="G275" s="4" t="s">
        <v>16</v>
      </c>
      <c r="H275" s="4" t="s">
        <v>80</v>
      </c>
      <c r="I275" s="4" t="s">
        <v>80</v>
      </c>
      <c r="J275" s="4" t="s">
        <v>80</v>
      </c>
      <c r="K275" s="14" t="s">
        <v>80</v>
      </c>
    </row>
    <row r="276" spans="1:11" x14ac:dyDescent="0.2">
      <c r="A276" s="12"/>
      <c r="C276" s="4" t="s">
        <v>733</v>
      </c>
      <c r="D276" s="4">
        <v>29</v>
      </c>
      <c r="E276" s="4" t="s">
        <v>734</v>
      </c>
      <c r="F276" s="4" t="s">
        <v>15</v>
      </c>
      <c r="G276" s="4" t="s">
        <v>36</v>
      </c>
      <c r="H276" s="4" t="s">
        <v>37</v>
      </c>
      <c r="I276" s="4" t="s">
        <v>37</v>
      </c>
      <c r="J276" s="4" t="s">
        <v>36</v>
      </c>
      <c r="K276" s="14" t="s">
        <v>37</v>
      </c>
    </row>
    <row r="277" spans="1:11" x14ac:dyDescent="0.2">
      <c r="A277" s="12"/>
      <c r="C277" s="4" t="s">
        <v>736</v>
      </c>
      <c r="D277" s="4">
        <v>27</v>
      </c>
      <c r="E277" s="4" t="s">
        <v>737</v>
      </c>
      <c r="F277" s="4" t="s">
        <v>15</v>
      </c>
      <c r="G277" s="4" t="s">
        <v>37</v>
      </c>
      <c r="H277" s="4" t="s">
        <v>37</v>
      </c>
      <c r="I277" s="4" t="s">
        <v>37</v>
      </c>
      <c r="J277" s="4" t="s">
        <v>37</v>
      </c>
      <c r="K277" s="14" t="s">
        <v>37</v>
      </c>
    </row>
    <row r="278" spans="1:11" x14ac:dyDescent="0.2">
      <c r="A278" s="12"/>
      <c r="C278" s="4" t="s">
        <v>29</v>
      </c>
      <c r="D278" s="4">
        <v>26</v>
      </c>
      <c r="E278" s="4" t="s">
        <v>739</v>
      </c>
      <c r="F278" s="4" t="s">
        <v>15</v>
      </c>
      <c r="G278" s="4" t="s">
        <v>37</v>
      </c>
      <c r="H278" s="4" t="s">
        <v>37</v>
      </c>
      <c r="I278" s="4" t="s">
        <v>37</v>
      </c>
      <c r="J278" s="4" t="s">
        <v>37</v>
      </c>
      <c r="K278" s="14" t="s">
        <v>37</v>
      </c>
    </row>
    <row r="279" spans="1:11" x14ac:dyDescent="0.2">
      <c r="A279" s="12"/>
      <c r="C279" s="4" t="s">
        <v>122</v>
      </c>
      <c r="D279" s="4">
        <v>5</v>
      </c>
      <c r="E279" s="4" t="s">
        <v>741</v>
      </c>
      <c r="F279" s="4" t="s">
        <v>15</v>
      </c>
      <c r="G279" s="4" t="s">
        <v>80</v>
      </c>
      <c r="H279" s="4" t="s">
        <v>80</v>
      </c>
      <c r="I279" s="4" t="s">
        <v>80</v>
      </c>
      <c r="J279" s="4" t="s">
        <v>80</v>
      </c>
      <c r="K279" s="14" t="s">
        <v>37</v>
      </c>
    </row>
    <row r="280" spans="1:11" x14ac:dyDescent="0.2">
      <c r="A280" s="12"/>
      <c r="C280" s="4" t="s">
        <v>742</v>
      </c>
      <c r="D280" s="4">
        <v>31</v>
      </c>
      <c r="E280" s="4" t="s">
        <v>743</v>
      </c>
      <c r="F280" s="4" t="s">
        <v>15</v>
      </c>
      <c r="G280" s="4" t="s">
        <v>37</v>
      </c>
      <c r="H280" s="4" t="s">
        <v>37</v>
      </c>
      <c r="I280" s="4" t="s">
        <v>37</v>
      </c>
      <c r="J280" s="4" t="s">
        <v>37</v>
      </c>
      <c r="K280" s="14" t="s">
        <v>37</v>
      </c>
    </row>
    <row r="281" spans="1:11" x14ac:dyDescent="0.2">
      <c r="A281" s="12"/>
      <c r="C281" s="4" t="s">
        <v>96</v>
      </c>
      <c r="D281" s="4">
        <v>32</v>
      </c>
      <c r="E281" s="4" t="s">
        <v>744</v>
      </c>
      <c r="F281" s="4" t="s">
        <v>15</v>
      </c>
      <c r="G281" s="4" t="s">
        <v>37</v>
      </c>
      <c r="H281" s="4" t="s">
        <v>37</v>
      </c>
      <c r="I281" s="4" t="s">
        <v>37</v>
      </c>
      <c r="J281" s="4" t="s">
        <v>36</v>
      </c>
      <c r="K281" s="14" t="s">
        <v>36</v>
      </c>
    </row>
    <row r="282" spans="1:11" x14ac:dyDescent="0.2">
      <c r="A282" s="12"/>
      <c r="C282" s="4" t="s">
        <v>160</v>
      </c>
      <c r="D282" s="4">
        <v>1</v>
      </c>
      <c r="E282" s="4" t="s">
        <v>747</v>
      </c>
      <c r="F282" s="4" t="s">
        <v>15</v>
      </c>
      <c r="G282" s="4" t="s">
        <v>36</v>
      </c>
      <c r="H282" s="4" t="s">
        <v>16</v>
      </c>
      <c r="I282" s="4" t="s">
        <v>36</v>
      </c>
      <c r="J282" s="4" t="s">
        <v>16</v>
      </c>
      <c r="K282" s="14" t="s">
        <v>16</v>
      </c>
    </row>
    <row r="283" spans="1:11" x14ac:dyDescent="0.2">
      <c r="A283" s="12"/>
      <c r="C283" s="4" t="s">
        <v>750</v>
      </c>
      <c r="D283" s="4">
        <v>33</v>
      </c>
      <c r="E283" s="4" t="s">
        <v>751</v>
      </c>
      <c r="F283" s="4" t="s">
        <v>15</v>
      </c>
      <c r="G283" s="4" t="s">
        <v>16</v>
      </c>
      <c r="H283" s="4" t="s">
        <v>36</v>
      </c>
      <c r="I283" s="4" t="s">
        <v>16</v>
      </c>
      <c r="J283" s="4" t="s">
        <v>16</v>
      </c>
      <c r="K283" s="14" t="s">
        <v>36</v>
      </c>
    </row>
    <row r="284" spans="1:11" x14ac:dyDescent="0.2">
      <c r="A284" s="12"/>
      <c r="C284" s="4" t="s">
        <v>326</v>
      </c>
      <c r="D284" s="4">
        <v>28</v>
      </c>
      <c r="E284" s="4" t="s">
        <v>752</v>
      </c>
      <c r="F284" s="4" t="s">
        <v>15</v>
      </c>
      <c r="G284" s="4" t="s">
        <v>36</v>
      </c>
      <c r="H284" s="4" t="s">
        <v>37</v>
      </c>
      <c r="I284" s="4" t="s">
        <v>37</v>
      </c>
      <c r="J284" s="4" t="s">
        <v>37</v>
      </c>
      <c r="K284" s="14" t="s">
        <v>36</v>
      </c>
    </row>
    <row r="285" spans="1:11" x14ac:dyDescent="0.2">
      <c r="A285" s="12"/>
      <c r="C285" s="4" t="s">
        <v>106</v>
      </c>
      <c r="D285" s="4">
        <v>7</v>
      </c>
      <c r="E285" s="4" t="s">
        <v>755</v>
      </c>
      <c r="F285" s="4" t="s">
        <v>15</v>
      </c>
      <c r="G285" s="4" t="s">
        <v>37</v>
      </c>
      <c r="H285" s="4" t="s">
        <v>37</v>
      </c>
      <c r="I285" s="4" t="s">
        <v>37</v>
      </c>
      <c r="J285" s="4" t="s">
        <v>37</v>
      </c>
      <c r="K285" s="14" t="s">
        <v>36</v>
      </c>
    </row>
    <row r="286" spans="1:11" x14ac:dyDescent="0.2">
      <c r="A286" s="12"/>
      <c r="C286" s="4" t="s">
        <v>122</v>
      </c>
      <c r="D286" s="4">
        <v>2</v>
      </c>
      <c r="E286" s="4" t="s">
        <v>757</v>
      </c>
      <c r="F286" s="4" t="s">
        <v>15</v>
      </c>
      <c r="G286" s="4" t="s">
        <v>37</v>
      </c>
      <c r="H286" s="4" t="s">
        <v>37</v>
      </c>
      <c r="I286" s="4" t="s">
        <v>37</v>
      </c>
      <c r="J286" s="4" t="s">
        <v>37</v>
      </c>
      <c r="K286" s="14" t="s">
        <v>37</v>
      </c>
    </row>
    <row r="287" spans="1:11" x14ac:dyDescent="0.2">
      <c r="A287" s="12"/>
      <c r="C287" s="4" t="s">
        <v>83</v>
      </c>
      <c r="D287" s="4">
        <v>1</v>
      </c>
      <c r="E287" s="4" t="s">
        <v>760</v>
      </c>
      <c r="F287" s="4" t="s">
        <v>15</v>
      </c>
      <c r="G287" s="4" t="s">
        <v>37</v>
      </c>
      <c r="H287" s="4" t="s">
        <v>37</v>
      </c>
      <c r="I287" s="4" t="s">
        <v>37</v>
      </c>
      <c r="J287" s="4" t="s">
        <v>37</v>
      </c>
      <c r="K287" s="14" t="s">
        <v>37</v>
      </c>
    </row>
    <row r="288" spans="1:11" x14ac:dyDescent="0.2">
      <c r="A288" s="12"/>
      <c r="C288" s="4" t="s">
        <v>83</v>
      </c>
      <c r="D288" s="4">
        <v>1</v>
      </c>
      <c r="E288" s="4" t="s">
        <v>761</v>
      </c>
      <c r="F288" s="4" t="s">
        <v>15</v>
      </c>
      <c r="G288" s="4" t="s">
        <v>414</v>
      </c>
      <c r="H288" s="4" t="s">
        <v>414</v>
      </c>
      <c r="I288" s="4" t="s">
        <v>414</v>
      </c>
      <c r="J288" s="4" t="s">
        <v>112</v>
      </c>
      <c r="K288" s="14" t="s">
        <v>414</v>
      </c>
    </row>
    <row r="289" spans="1:11" x14ac:dyDescent="0.2">
      <c r="A289" s="12"/>
      <c r="C289" s="4" t="s">
        <v>764</v>
      </c>
      <c r="D289" s="4">
        <v>2</v>
      </c>
      <c r="E289" s="4" t="s">
        <v>765</v>
      </c>
      <c r="F289" s="4" t="s">
        <v>15</v>
      </c>
      <c r="G289" s="4" t="s">
        <v>16</v>
      </c>
      <c r="H289" s="4" t="s">
        <v>16</v>
      </c>
      <c r="I289" s="4" t="s">
        <v>16</v>
      </c>
      <c r="J289" s="4" t="s">
        <v>16</v>
      </c>
      <c r="K289" s="14" t="s">
        <v>16</v>
      </c>
    </row>
    <row r="290" spans="1:11" x14ac:dyDescent="0.2">
      <c r="A290" s="12"/>
      <c r="C290" s="4" t="s">
        <v>768</v>
      </c>
      <c r="D290" s="4">
        <v>42</v>
      </c>
      <c r="E290" s="4" t="s">
        <v>769</v>
      </c>
      <c r="F290" s="4" t="s">
        <v>15</v>
      </c>
      <c r="G290" s="4" t="s">
        <v>37</v>
      </c>
      <c r="H290" s="4" t="s">
        <v>37</v>
      </c>
      <c r="I290" s="4" t="s">
        <v>37</v>
      </c>
      <c r="J290" s="4" t="s">
        <v>37</v>
      </c>
      <c r="K290" s="14" t="s">
        <v>37</v>
      </c>
    </row>
    <row r="291" spans="1:11" x14ac:dyDescent="0.2">
      <c r="A291" s="12"/>
      <c r="C291" s="4" t="s">
        <v>122</v>
      </c>
      <c r="D291" s="4">
        <v>6</v>
      </c>
      <c r="E291" s="4" t="s">
        <v>770</v>
      </c>
      <c r="F291" s="4" t="s">
        <v>15</v>
      </c>
      <c r="G291" s="4" t="s">
        <v>37</v>
      </c>
      <c r="H291" s="4" t="s">
        <v>37</v>
      </c>
      <c r="I291" s="4" t="s">
        <v>37</v>
      </c>
      <c r="J291" s="4" t="s">
        <v>37</v>
      </c>
      <c r="K291" s="14" t="s">
        <v>37</v>
      </c>
    </row>
    <row r="292" spans="1:11" x14ac:dyDescent="0.2">
      <c r="A292" s="12"/>
      <c r="C292" s="4" t="s">
        <v>83</v>
      </c>
      <c r="D292" s="4">
        <v>1</v>
      </c>
      <c r="E292" s="4" t="s">
        <v>771</v>
      </c>
      <c r="F292" s="4" t="s">
        <v>15</v>
      </c>
      <c r="G292" s="4" t="s">
        <v>16</v>
      </c>
      <c r="H292" s="4" t="s">
        <v>16</v>
      </c>
      <c r="I292" s="4" t="s">
        <v>16</v>
      </c>
      <c r="J292" s="4" t="s">
        <v>16</v>
      </c>
      <c r="K292" s="14" t="s">
        <v>16</v>
      </c>
    </row>
    <row r="293" spans="1:11" x14ac:dyDescent="0.2">
      <c r="A293" s="12"/>
      <c r="C293" s="4" t="s">
        <v>574</v>
      </c>
      <c r="D293" s="4">
        <v>6</v>
      </c>
      <c r="E293" s="4" t="s">
        <v>773</v>
      </c>
      <c r="F293" s="4" t="s">
        <v>15</v>
      </c>
      <c r="G293" s="4" t="s">
        <v>151</v>
      </c>
      <c r="H293" s="4" t="s">
        <v>151</v>
      </c>
      <c r="I293" s="4" t="s">
        <v>151</v>
      </c>
      <c r="J293" s="4" t="s">
        <v>151</v>
      </c>
      <c r="K293" s="14" t="s">
        <v>151</v>
      </c>
    </row>
    <row r="294" spans="1:11" x14ac:dyDescent="0.2">
      <c r="A294" s="12"/>
      <c r="C294" s="4" t="s">
        <v>470</v>
      </c>
      <c r="D294" s="4">
        <v>12</v>
      </c>
      <c r="E294" s="4" t="s">
        <v>776</v>
      </c>
      <c r="F294" s="4" t="s">
        <v>15</v>
      </c>
      <c r="G294" s="4" t="s">
        <v>37</v>
      </c>
      <c r="H294" s="4" t="s">
        <v>37</v>
      </c>
      <c r="I294" s="4" t="s">
        <v>37</v>
      </c>
      <c r="J294" s="4" t="s">
        <v>37</v>
      </c>
      <c r="K294" s="14" t="s">
        <v>37</v>
      </c>
    </row>
    <row r="295" spans="1:11" x14ac:dyDescent="0.2">
      <c r="A295" s="12"/>
      <c r="C295" s="4" t="s">
        <v>733</v>
      </c>
      <c r="D295" s="4">
        <v>24</v>
      </c>
      <c r="E295" s="4" t="s">
        <v>779</v>
      </c>
      <c r="F295" s="4" t="s">
        <v>15</v>
      </c>
      <c r="G295" s="4" t="s">
        <v>150</v>
      </c>
      <c r="H295" s="4" t="s">
        <v>37</v>
      </c>
      <c r="I295" s="4" t="s">
        <v>150</v>
      </c>
      <c r="J295" s="4" t="s">
        <v>37</v>
      </c>
      <c r="K295" s="14" t="s">
        <v>150</v>
      </c>
    </row>
    <row r="296" spans="1:11" x14ac:dyDescent="0.2">
      <c r="A296" s="12"/>
      <c r="C296" s="4" t="s">
        <v>64</v>
      </c>
      <c r="D296" s="4">
        <v>3</v>
      </c>
      <c r="E296" s="4" t="s">
        <v>781</v>
      </c>
      <c r="F296" s="4" t="s">
        <v>15</v>
      </c>
      <c r="G296" s="4" t="s">
        <v>37</v>
      </c>
      <c r="H296" s="4" t="s">
        <v>37</v>
      </c>
      <c r="I296" s="4" t="s">
        <v>37</v>
      </c>
      <c r="J296" s="4" t="s">
        <v>37</v>
      </c>
      <c r="K296" s="14" t="s">
        <v>37</v>
      </c>
    </row>
    <row r="297" spans="1:11" x14ac:dyDescent="0.2">
      <c r="A297" s="12"/>
      <c r="C297" s="4" t="s">
        <v>225</v>
      </c>
      <c r="D297" s="4">
        <v>20</v>
      </c>
      <c r="E297" s="4" t="s">
        <v>784</v>
      </c>
      <c r="F297" s="4" t="s">
        <v>15</v>
      </c>
      <c r="G297" s="4" t="s">
        <v>36</v>
      </c>
      <c r="H297" s="4" t="s">
        <v>37</v>
      </c>
      <c r="I297" s="4" t="s">
        <v>37</v>
      </c>
      <c r="J297" s="4" t="s">
        <v>37</v>
      </c>
      <c r="K297" s="14" t="s">
        <v>36</v>
      </c>
    </row>
    <row r="298" spans="1:11" x14ac:dyDescent="0.2">
      <c r="A298" s="12"/>
      <c r="C298" s="4" t="s">
        <v>83</v>
      </c>
      <c r="D298" s="4">
        <v>1</v>
      </c>
      <c r="E298" s="4" t="s">
        <v>785</v>
      </c>
      <c r="F298" s="4" t="s">
        <v>15</v>
      </c>
      <c r="G298" s="4" t="s">
        <v>37</v>
      </c>
      <c r="H298" s="4" t="s">
        <v>37</v>
      </c>
      <c r="I298" s="4" t="s">
        <v>37</v>
      </c>
      <c r="J298" s="4" t="s">
        <v>37</v>
      </c>
      <c r="K298" s="14" t="s">
        <v>37</v>
      </c>
    </row>
    <row r="299" spans="1:11" x14ac:dyDescent="0.2">
      <c r="A299" s="12"/>
      <c r="C299" s="4" t="s">
        <v>64</v>
      </c>
      <c r="D299" s="4">
        <v>4</v>
      </c>
      <c r="E299" s="4" t="s">
        <v>786</v>
      </c>
      <c r="F299" s="4" t="s">
        <v>15</v>
      </c>
      <c r="G299" s="4" t="s">
        <v>414</v>
      </c>
      <c r="H299" s="4" t="s">
        <v>414</v>
      </c>
      <c r="I299" s="4" t="s">
        <v>414</v>
      </c>
      <c r="J299" s="4" t="s">
        <v>414</v>
      </c>
      <c r="K299" s="14" t="s">
        <v>414</v>
      </c>
    </row>
    <row r="300" spans="1:11" x14ac:dyDescent="0.2">
      <c r="A300" s="12"/>
      <c r="C300" s="4" t="s">
        <v>83</v>
      </c>
      <c r="D300" s="4">
        <v>2</v>
      </c>
      <c r="E300" s="4" t="s">
        <v>789</v>
      </c>
      <c r="F300" s="4" t="s">
        <v>15</v>
      </c>
      <c r="G300" s="4" t="s">
        <v>124</v>
      </c>
      <c r="H300" s="4" t="s">
        <v>124</v>
      </c>
      <c r="I300" s="4" t="s">
        <v>37</v>
      </c>
      <c r="J300" s="4" t="s">
        <v>124</v>
      </c>
      <c r="K300" s="14" t="s">
        <v>124</v>
      </c>
    </row>
    <row r="301" spans="1:11" x14ac:dyDescent="0.2">
      <c r="A301" s="12"/>
      <c r="C301" s="4" t="s">
        <v>326</v>
      </c>
      <c r="D301" s="4">
        <v>27</v>
      </c>
      <c r="E301" s="4" t="s">
        <v>790</v>
      </c>
      <c r="F301" s="4" t="s">
        <v>15</v>
      </c>
      <c r="G301" s="4" t="s">
        <v>16</v>
      </c>
      <c r="H301" s="4" t="s">
        <v>16</v>
      </c>
      <c r="I301" s="4" t="s">
        <v>16</v>
      </c>
      <c r="J301" s="4" t="s">
        <v>16</v>
      </c>
      <c r="K301" s="14" t="s">
        <v>16</v>
      </c>
    </row>
    <row r="302" spans="1:11" x14ac:dyDescent="0.2">
      <c r="A302" s="12"/>
      <c r="C302" s="4" t="s">
        <v>315</v>
      </c>
      <c r="D302" s="4">
        <v>9</v>
      </c>
      <c r="E302" s="4" t="s">
        <v>793</v>
      </c>
      <c r="F302" s="4" t="s">
        <v>15</v>
      </c>
      <c r="G302" s="4" t="s">
        <v>37</v>
      </c>
      <c r="H302" s="4" t="s">
        <v>37</v>
      </c>
      <c r="I302" s="4" t="s">
        <v>37</v>
      </c>
      <c r="J302" s="4" t="s">
        <v>37</v>
      </c>
      <c r="K302" s="14" t="s">
        <v>37</v>
      </c>
    </row>
    <row r="303" spans="1:11" x14ac:dyDescent="0.2">
      <c r="A303" s="12"/>
      <c r="C303" s="4" t="s">
        <v>794</v>
      </c>
      <c r="D303" s="4">
        <v>27</v>
      </c>
      <c r="E303" s="4" t="s">
        <v>795</v>
      </c>
      <c r="F303" s="4" t="s">
        <v>15</v>
      </c>
      <c r="G303" s="4" t="s">
        <v>16</v>
      </c>
      <c r="H303" s="4" t="s">
        <v>16</v>
      </c>
      <c r="I303" s="4" t="s">
        <v>16</v>
      </c>
      <c r="J303" s="4" t="s">
        <v>16</v>
      </c>
      <c r="K303" s="14" t="s">
        <v>36</v>
      </c>
    </row>
    <row r="304" spans="1:11" x14ac:dyDescent="0.2">
      <c r="A304" s="12"/>
      <c r="C304" s="4" t="s">
        <v>122</v>
      </c>
      <c r="D304" s="4">
        <v>5</v>
      </c>
      <c r="E304" s="4" t="s">
        <v>796</v>
      </c>
      <c r="F304" s="4" t="s">
        <v>15</v>
      </c>
      <c r="G304" s="4" t="s">
        <v>37</v>
      </c>
      <c r="H304" s="4" t="s">
        <v>37</v>
      </c>
      <c r="I304" s="4" t="s">
        <v>37</v>
      </c>
      <c r="J304" s="4" t="s">
        <v>37</v>
      </c>
      <c r="K304" s="14" t="s">
        <v>37</v>
      </c>
    </row>
    <row r="305" spans="1:11" x14ac:dyDescent="0.2">
      <c r="A305" s="12"/>
      <c r="C305" s="4" t="s">
        <v>156</v>
      </c>
      <c r="D305" s="4">
        <v>12</v>
      </c>
      <c r="E305" s="4" t="s">
        <v>799</v>
      </c>
      <c r="F305" s="4" t="s">
        <v>15</v>
      </c>
      <c r="G305" s="4" t="s">
        <v>414</v>
      </c>
      <c r="H305" s="4" t="s">
        <v>414</v>
      </c>
      <c r="I305" s="4" t="s">
        <v>414</v>
      </c>
      <c r="J305" s="4" t="s">
        <v>16</v>
      </c>
      <c r="K305" s="14" t="s">
        <v>16</v>
      </c>
    </row>
    <row r="306" spans="1:11" x14ac:dyDescent="0.2">
      <c r="A306" s="12"/>
      <c r="C306" s="4" t="s">
        <v>83</v>
      </c>
      <c r="D306" s="4">
        <v>1</v>
      </c>
      <c r="E306" s="4" t="s">
        <v>800</v>
      </c>
      <c r="F306" s="4" t="s">
        <v>15</v>
      </c>
      <c r="G306" s="4" t="s">
        <v>112</v>
      </c>
      <c r="H306" s="4" t="s">
        <v>112</v>
      </c>
      <c r="I306" s="4" t="s">
        <v>112</v>
      </c>
      <c r="J306" s="4" t="s">
        <v>112</v>
      </c>
      <c r="K306" s="14" t="s">
        <v>112</v>
      </c>
    </row>
    <row r="307" spans="1:11" x14ac:dyDescent="0.2">
      <c r="A307" s="12"/>
      <c r="C307" s="4" t="s">
        <v>64</v>
      </c>
      <c r="D307" s="4">
        <v>2</v>
      </c>
      <c r="E307" s="4" t="s">
        <v>801</v>
      </c>
      <c r="F307" s="4" t="s">
        <v>15</v>
      </c>
      <c r="G307" s="4" t="s">
        <v>37</v>
      </c>
      <c r="H307" s="4" t="s">
        <v>37</v>
      </c>
      <c r="I307" s="4" t="s">
        <v>37</v>
      </c>
      <c r="J307" s="4" t="s">
        <v>36</v>
      </c>
      <c r="K307" s="14" t="s">
        <v>36</v>
      </c>
    </row>
    <row r="308" spans="1:11" x14ac:dyDescent="0.2">
      <c r="A308" s="12"/>
      <c r="C308" s="4" t="s">
        <v>145</v>
      </c>
      <c r="D308" s="4">
        <v>6</v>
      </c>
      <c r="E308" s="4" t="s">
        <v>804</v>
      </c>
      <c r="F308" s="4" t="s">
        <v>15</v>
      </c>
      <c r="G308" s="4" t="s">
        <v>37</v>
      </c>
      <c r="H308" s="4" t="s">
        <v>37</v>
      </c>
      <c r="I308" s="4" t="s">
        <v>37</v>
      </c>
      <c r="J308" s="4" t="s">
        <v>37</v>
      </c>
      <c r="K308" s="14" t="s">
        <v>37</v>
      </c>
    </row>
    <row r="309" spans="1:11" x14ac:dyDescent="0.2">
      <c r="A309" s="12"/>
      <c r="C309" s="4" t="s">
        <v>691</v>
      </c>
      <c r="D309" s="4">
        <v>5</v>
      </c>
      <c r="E309" s="4" t="s">
        <v>807</v>
      </c>
      <c r="F309" s="4" t="s">
        <v>15</v>
      </c>
      <c r="G309" s="4" t="s">
        <v>37</v>
      </c>
      <c r="H309" s="4" t="s">
        <v>37</v>
      </c>
      <c r="I309" s="4" t="s">
        <v>37</v>
      </c>
      <c r="J309" s="4" t="s">
        <v>37</v>
      </c>
      <c r="K309" s="14" t="s">
        <v>37</v>
      </c>
    </row>
    <row r="310" spans="1:11" x14ac:dyDescent="0.2">
      <c r="A310" s="12"/>
      <c r="C310" s="4" t="s">
        <v>808</v>
      </c>
      <c r="D310" s="4">
        <v>45</v>
      </c>
      <c r="E310" s="4" t="s">
        <v>809</v>
      </c>
      <c r="F310" s="4" t="s">
        <v>15</v>
      </c>
      <c r="G310" s="4" t="s">
        <v>37</v>
      </c>
      <c r="H310" s="4" t="s">
        <v>37</v>
      </c>
      <c r="I310" s="4" t="s">
        <v>37</v>
      </c>
      <c r="J310" s="4" t="s">
        <v>36</v>
      </c>
      <c r="K310" s="14" t="s">
        <v>36</v>
      </c>
    </row>
    <row r="311" spans="1:11" x14ac:dyDescent="0.2">
      <c r="A311" s="12"/>
      <c r="C311" s="4" t="s">
        <v>83</v>
      </c>
      <c r="D311" s="4">
        <v>1</v>
      </c>
      <c r="E311" s="4" t="s">
        <v>812</v>
      </c>
      <c r="F311" s="4" t="s">
        <v>15</v>
      </c>
      <c r="G311" s="4" t="s">
        <v>37</v>
      </c>
      <c r="H311" s="4" t="s">
        <v>37</v>
      </c>
      <c r="I311" s="4" t="s">
        <v>37</v>
      </c>
      <c r="J311" s="4" t="s">
        <v>37</v>
      </c>
      <c r="K311" s="14" t="s">
        <v>37</v>
      </c>
    </row>
    <row r="312" spans="1:11" x14ac:dyDescent="0.2">
      <c r="A312" s="12"/>
      <c r="C312" s="4" t="s">
        <v>64</v>
      </c>
      <c r="D312" s="4">
        <v>3</v>
      </c>
      <c r="E312" s="4" t="s">
        <v>815</v>
      </c>
      <c r="F312" s="4" t="s">
        <v>15</v>
      </c>
      <c r="G312" s="4" t="s">
        <v>80</v>
      </c>
      <c r="H312" s="4" t="s">
        <v>80</v>
      </c>
      <c r="I312" s="4" t="s">
        <v>80</v>
      </c>
      <c r="J312" s="4" t="s">
        <v>91</v>
      </c>
      <c r="K312" s="14" t="s">
        <v>91</v>
      </c>
    </row>
    <row r="313" spans="1:11" x14ac:dyDescent="0.2">
      <c r="A313" s="12"/>
      <c r="C313" s="4" t="s">
        <v>817</v>
      </c>
      <c r="D313" s="4">
        <v>15</v>
      </c>
      <c r="E313" s="4" t="s">
        <v>818</v>
      </c>
      <c r="F313" s="4" t="s">
        <v>15</v>
      </c>
      <c r="G313" s="4" t="s">
        <v>16</v>
      </c>
      <c r="H313" s="4" t="s">
        <v>16</v>
      </c>
      <c r="I313" s="4" t="s">
        <v>16</v>
      </c>
      <c r="J313" s="4" t="s">
        <v>16</v>
      </c>
      <c r="K313" s="14" t="s">
        <v>16</v>
      </c>
    </row>
    <row r="314" spans="1:11" x14ac:dyDescent="0.2">
      <c r="A314" s="12"/>
      <c r="C314" s="4" t="s">
        <v>691</v>
      </c>
      <c r="D314" s="4">
        <v>7</v>
      </c>
      <c r="E314" s="4" t="s">
        <v>819</v>
      </c>
      <c r="F314" s="4" t="s">
        <v>15</v>
      </c>
      <c r="G314" s="4" t="s">
        <v>560</v>
      </c>
      <c r="H314" s="4" t="s">
        <v>560</v>
      </c>
      <c r="I314" s="4" t="s">
        <v>560</v>
      </c>
      <c r="J314" s="4" t="s">
        <v>37</v>
      </c>
      <c r="K314" s="14" t="s">
        <v>37</v>
      </c>
    </row>
    <row r="315" spans="1:11" x14ac:dyDescent="0.2">
      <c r="A315" s="12"/>
      <c r="C315" s="4" t="s">
        <v>83</v>
      </c>
      <c r="D315" s="4">
        <v>1</v>
      </c>
      <c r="E315" s="4" t="s">
        <v>822</v>
      </c>
      <c r="F315" s="4" t="s">
        <v>15</v>
      </c>
      <c r="G315" s="4" t="s">
        <v>80</v>
      </c>
      <c r="H315" s="4" t="s">
        <v>80</v>
      </c>
      <c r="I315" s="4" t="s">
        <v>80</v>
      </c>
      <c r="J315" s="4" t="s">
        <v>80</v>
      </c>
      <c r="K315" s="14" t="s">
        <v>80</v>
      </c>
    </row>
    <row r="316" spans="1:11" x14ac:dyDescent="0.2">
      <c r="A316" s="12"/>
      <c r="C316" s="4" t="s">
        <v>736</v>
      </c>
      <c r="D316" s="4">
        <v>30</v>
      </c>
      <c r="E316" s="4" t="s">
        <v>824</v>
      </c>
      <c r="F316" s="4" t="s">
        <v>15</v>
      </c>
      <c r="G316" s="4" t="s">
        <v>31</v>
      </c>
      <c r="H316" s="4" t="s">
        <v>31</v>
      </c>
      <c r="I316" s="4" t="s">
        <v>31</v>
      </c>
      <c r="J316" s="4" t="s">
        <v>36</v>
      </c>
      <c r="K316" s="14" t="s">
        <v>37</v>
      </c>
    </row>
    <row r="317" spans="1:11" x14ac:dyDescent="0.2">
      <c r="A317" s="12"/>
      <c r="C317" s="4" t="s">
        <v>574</v>
      </c>
      <c r="D317" s="4">
        <v>15</v>
      </c>
      <c r="E317" s="4" t="s">
        <v>827</v>
      </c>
      <c r="F317" s="4" t="s">
        <v>15</v>
      </c>
      <c r="G317" s="4" t="s">
        <v>151</v>
      </c>
      <c r="H317" s="4" t="s">
        <v>151</v>
      </c>
      <c r="I317" s="4" t="s">
        <v>36</v>
      </c>
      <c r="J317" s="4" t="s">
        <v>36</v>
      </c>
      <c r="K317" s="14" t="s">
        <v>36</v>
      </c>
    </row>
    <row r="318" spans="1:11" x14ac:dyDescent="0.2">
      <c r="A318" s="12"/>
      <c r="C318" s="4" t="s">
        <v>616</v>
      </c>
      <c r="D318" s="4">
        <v>26</v>
      </c>
      <c r="E318" s="4" t="s">
        <v>830</v>
      </c>
      <c r="F318" s="4" t="s">
        <v>15</v>
      </c>
      <c r="G318" s="4" t="s">
        <v>36</v>
      </c>
      <c r="H318" s="4" t="s">
        <v>16</v>
      </c>
      <c r="I318" s="4" t="s">
        <v>16</v>
      </c>
      <c r="J318" s="4" t="s">
        <v>16</v>
      </c>
      <c r="K318" s="14" t="s">
        <v>36</v>
      </c>
    </row>
    <row r="319" spans="1:11" x14ac:dyDescent="0.2">
      <c r="A319" s="12"/>
      <c r="C319" s="4" t="s">
        <v>83</v>
      </c>
      <c r="D319" s="4">
        <v>1</v>
      </c>
      <c r="E319" s="4" t="s">
        <v>831</v>
      </c>
      <c r="F319" s="4" t="s">
        <v>15</v>
      </c>
      <c r="G319" s="4" t="s">
        <v>124</v>
      </c>
      <c r="H319" s="4" t="s">
        <v>150</v>
      </c>
      <c r="I319" s="4" t="s">
        <v>150</v>
      </c>
      <c r="J319" s="4" t="s">
        <v>124</v>
      </c>
      <c r="K319" s="14" t="s">
        <v>124</v>
      </c>
    </row>
    <row r="320" spans="1:11" x14ac:dyDescent="0.2">
      <c r="A320" s="12"/>
      <c r="C320" s="4" t="s">
        <v>736</v>
      </c>
      <c r="D320" s="4">
        <v>31</v>
      </c>
      <c r="E320" s="4" t="s">
        <v>833</v>
      </c>
      <c r="F320" s="4" t="s">
        <v>15</v>
      </c>
      <c r="G320" s="4" t="s">
        <v>36</v>
      </c>
      <c r="H320" s="4" t="s">
        <v>37</v>
      </c>
      <c r="I320" s="4" t="s">
        <v>37</v>
      </c>
      <c r="J320" s="4" t="s">
        <v>37</v>
      </c>
      <c r="K320" s="14" t="s">
        <v>36</v>
      </c>
    </row>
    <row r="321" spans="1:11" x14ac:dyDescent="0.2">
      <c r="A321" s="12"/>
      <c r="C321" s="4" t="s">
        <v>116</v>
      </c>
      <c r="D321" s="4">
        <v>10</v>
      </c>
      <c r="E321" s="4" t="s">
        <v>835</v>
      </c>
      <c r="F321" s="4" t="s">
        <v>15</v>
      </c>
      <c r="G321" s="4" t="s">
        <v>91</v>
      </c>
      <c r="H321" s="4" t="s">
        <v>91</v>
      </c>
      <c r="I321" s="4" t="s">
        <v>91</v>
      </c>
      <c r="J321" s="4" t="s">
        <v>91</v>
      </c>
      <c r="K321" s="14" t="s">
        <v>91</v>
      </c>
    </row>
    <row r="322" spans="1:11" x14ac:dyDescent="0.2">
      <c r="A322" s="12"/>
      <c r="C322" s="4" t="s">
        <v>838</v>
      </c>
      <c r="D322" s="4">
        <v>26</v>
      </c>
      <c r="E322" s="4" t="s">
        <v>839</v>
      </c>
      <c r="F322" s="4" t="s">
        <v>15</v>
      </c>
      <c r="G322" s="4" t="s">
        <v>37</v>
      </c>
      <c r="H322" s="4" t="s">
        <v>37</v>
      </c>
      <c r="I322" s="4" t="s">
        <v>37</v>
      </c>
      <c r="J322" s="4" t="s">
        <v>227</v>
      </c>
      <c r="K322" s="14" t="s">
        <v>227</v>
      </c>
    </row>
    <row r="323" spans="1:11" x14ac:dyDescent="0.2">
      <c r="A323" s="12"/>
      <c r="C323" s="4" t="s">
        <v>83</v>
      </c>
      <c r="D323" s="4">
        <v>1</v>
      </c>
      <c r="E323" s="4" t="s">
        <v>841</v>
      </c>
      <c r="F323" s="4" t="s">
        <v>15</v>
      </c>
      <c r="G323" s="4" t="s">
        <v>37</v>
      </c>
      <c r="H323" s="4" t="s">
        <v>37</v>
      </c>
      <c r="I323" s="4" t="s">
        <v>37</v>
      </c>
      <c r="J323" s="4" t="s">
        <v>37</v>
      </c>
      <c r="K323" s="14" t="s">
        <v>37</v>
      </c>
    </row>
    <row r="324" spans="1:11" x14ac:dyDescent="0.2">
      <c r="A324" s="12"/>
      <c r="C324" s="4" t="s">
        <v>83</v>
      </c>
      <c r="D324" s="4">
        <v>1</v>
      </c>
      <c r="E324" s="4" t="s">
        <v>842</v>
      </c>
      <c r="F324" s="4" t="s">
        <v>15</v>
      </c>
      <c r="G324" s="4" t="s">
        <v>112</v>
      </c>
      <c r="H324" s="4" t="s">
        <v>112</v>
      </c>
      <c r="I324" s="4" t="s">
        <v>112</v>
      </c>
      <c r="J324" s="4" t="s">
        <v>37</v>
      </c>
      <c r="K324" s="14" t="s">
        <v>150</v>
      </c>
    </row>
    <row r="325" spans="1:11" x14ac:dyDescent="0.2">
      <c r="A325" s="12"/>
      <c r="C325" s="4" t="s">
        <v>281</v>
      </c>
      <c r="D325" s="4">
        <v>10</v>
      </c>
      <c r="E325" s="4" t="s">
        <v>843</v>
      </c>
      <c r="F325" s="4" t="s">
        <v>15</v>
      </c>
      <c r="G325" s="4" t="s">
        <v>37</v>
      </c>
      <c r="H325" s="4" t="s">
        <v>37</v>
      </c>
      <c r="I325" s="4" t="s">
        <v>37</v>
      </c>
      <c r="J325" s="4" t="s">
        <v>37</v>
      </c>
      <c r="K325" s="14" t="s">
        <v>37</v>
      </c>
    </row>
    <row r="326" spans="1:11" x14ac:dyDescent="0.2">
      <c r="A326" s="12"/>
      <c r="C326" s="4" t="s">
        <v>122</v>
      </c>
      <c r="D326" s="4">
        <v>3</v>
      </c>
      <c r="E326" s="4" t="s">
        <v>845</v>
      </c>
      <c r="F326" s="4" t="s">
        <v>15</v>
      </c>
      <c r="G326" s="4" t="s">
        <v>37</v>
      </c>
      <c r="H326" s="4" t="s">
        <v>37</v>
      </c>
      <c r="I326" s="4" t="s">
        <v>36</v>
      </c>
      <c r="J326" s="4" t="s">
        <v>36</v>
      </c>
      <c r="K326" s="14" t="s">
        <v>151</v>
      </c>
    </row>
    <row r="327" spans="1:11" x14ac:dyDescent="0.2">
      <c r="A327" s="12"/>
      <c r="C327" s="4" t="s">
        <v>83</v>
      </c>
      <c r="D327" s="4">
        <v>15</v>
      </c>
      <c r="E327" s="4" t="s">
        <v>846</v>
      </c>
      <c r="F327" s="4" t="s">
        <v>15</v>
      </c>
      <c r="G327" s="4" t="s">
        <v>16</v>
      </c>
      <c r="H327" s="4" t="s">
        <v>16</v>
      </c>
      <c r="I327" s="4" t="s">
        <v>16</v>
      </c>
      <c r="J327" s="4" t="s">
        <v>16</v>
      </c>
      <c r="K327" s="14" t="s">
        <v>16</v>
      </c>
    </row>
    <row r="328" spans="1:11" x14ac:dyDescent="0.2">
      <c r="A328" s="12"/>
      <c r="C328" s="4" t="s">
        <v>848</v>
      </c>
      <c r="D328" s="4">
        <v>20</v>
      </c>
      <c r="E328" s="4" t="s">
        <v>849</v>
      </c>
      <c r="F328" s="4" t="s">
        <v>15</v>
      </c>
      <c r="G328" s="4" t="s">
        <v>36</v>
      </c>
      <c r="H328" s="4" t="s">
        <v>16</v>
      </c>
      <c r="I328" s="4" t="s">
        <v>16</v>
      </c>
      <c r="J328" s="4" t="s">
        <v>16</v>
      </c>
      <c r="K328" s="14" t="s">
        <v>91</v>
      </c>
    </row>
    <row r="329" spans="1:11" x14ac:dyDescent="0.2">
      <c r="A329" s="12"/>
      <c r="C329" s="4" t="s">
        <v>851</v>
      </c>
      <c r="D329" s="4">
        <v>12</v>
      </c>
      <c r="E329" s="4" t="s">
        <v>852</v>
      </c>
      <c r="F329" s="4" t="s">
        <v>15</v>
      </c>
      <c r="G329" s="4" t="s">
        <v>414</v>
      </c>
      <c r="H329" s="4" t="s">
        <v>414</v>
      </c>
      <c r="I329" s="4" t="s">
        <v>414</v>
      </c>
      <c r="J329" s="4" t="s">
        <v>37</v>
      </c>
      <c r="K329" s="14" t="s">
        <v>36</v>
      </c>
    </row>
    <row r="330" spans="1:11" x14ac:dyDescent="0.2">
      <c r="A330" s="12"/>
      <c r="C330" s="4" t="s">
        <v>297</v>
      </c>
      <c r="D330" s="4">
        <v>12</v>
      </c>
      <c r="E330" s="4" t="s">
        <v>854</v>
      </c>
      <c r="F330" s="4" t="s">
        <v>15</v>
      </c>
      <c r="G330" s="4" t="s">
        <v>36</v>
      </c>
      <c r="H330" s="4" t="s">
        <v>37</v>
      </c>
      <c r="I330" s="4" t="s">
        <v>37</v>
      </c>
      <c r="J330" s="4" t="s">
        <v>37</v>
      </c>
      <c r="K330" s="14" t="s">
        <v>37</v>
      </c>
    </row>
    <row r="331" spans="1:11" x14ac:dyDescent="0.2">
      <c r="A331" s="12"/>
      <c r="C331" s="4" t="s">
        <v>83</v>
      </c>
      <c r="D331" s="4">
        <v>2</v>
      </c>
      <c r="E331" s="4" t="s">
        <v>855</v>
      </c>
      <c r="F331" s="4" t="s">
        <v>15</v>
      </c>
      <c r="G331" s="4" t="s">
        <v>37</v>
      </c>
      <c r="H331" s="4" t="s">
        <v>37</v>
      </c>
      <c r="I331" s="4" t="s">
        <v>37</v>
      </c>
      <c r="J331" s="4" t="s">
        <v>37</v>
      </c>
      <c r="K331" s="14" t="s">
        <v>37</v>
      </c>
    </row>
    <row r="332" spans="1:11" x14ac:dyDescent="0.2">
      <c r="A332" s="12"/>
      <c r="C332" s="4" t="s">
        <v>83</v>
      </c>
      <c r="D332" s="4">
        <v>1</v>
      </c>
      <c r="E332" s="4" t="s">
        <v>858</v>
      </c>
      <c r="F332" s="4" t="s">
        <v>15</v>
      </c>
      <c r="G332" s="4" t="s">
        <v>112</v>
      </c>
      <c r="H332" s="4" t="s">
        <v>112</v>
      </c>
      <c r="I332" s="4" t="s">
        <v>112</v>
      </c>
      <c r="J332" s="4" t="s">
        <v>112</v>
      </c>
      <c r="K332" s="14" t="s">
        <v>112</v>
      </c>
    </row>
    <row r="333" spans="1:11" x14ac:dyDescent="0.2">
      <c r="A333" s="12"/>
      <c r="C333" s="4" t="s">
        <v>83</v>
      </c>
      <c r="D333" s="4">
        <v>2</v>
      </c>
      <c r="E333" s="4" t="s">
        <v>860</v>
      </c>
      <c r="F333" s="4" t="s">
        <v>15</v>
      </c>
      <c r="G333" s="4" t="s">
        <v>37</v>
      </c>
      <c r="H333" s="4" t="s">
        <v>37</v>
      </c>
      <c r="I333" s="4" t="s">
        <v>37</v>
      </c>
      <c r="J333" s="4" t="s">
        <v>37</v>
      </c>
      <c r="K333" s="14" t="s">
        <v>37</v>
      </c>
    </row>
    <row r="334" spans="1:11" x14ac:dyDescent="0.2">
      <c r="A334" s="12"/>
      <c r="C334" s="4" t="s">
        <v>861</v>
      </c>
      <c r="D334" s="4">
        <v>19</v>
      </c>
      <c r="E334" s="4" t="s">
        <v>862</v>
      </c>
      <c r="F334" s="4" t="s">
        <v>15</v>
      </c>
      <c r="G334" s="4" t="s">
        <v>36</v>
      </c>
      <c r="H334" s="4" t="s">
        <v>37</v>
      </c>
      <c r="I334" s="4" t="s">
        <v>151</v>
      </c>
      <c r="J334" s="4" t="s">
        <v>37</v>
      </c>
      <c r="K334" s="14" t="s">
        <v>36</v>
      </c>
    </row>
    <row r="335" spans="1:11" x14ac:dyDescent="0.2">
      <c r="A335" s="12"/>
      <c r="C335" s="4" t="s">
        <v>865</v>
      </c>
      <c r="D335" s="4">
        <v>36</v>
      </c>
      <c r="E335" s="4" t="s">
        <v>866</v>
      </c>
      <c r="F335" s="4" t="s">
        <v>15</v>
      </c>
      <c r="G335" s="4" t="s">
        <v>36</v>
      </c>
      <c r="H335" s="4" t="s">
        <v>151</v>
      </c>
      <c r="I335" s="4" t="s">
        <v>37</v>
      </c>
      <c r="J335" s="4" t="s">
        <v>37</v>
      </c>
      <c r="K335" s="14" t="s">
        <v>36</v>
      </c>
    </row>
    <row r="336" spans="1:11" x14ac:dyDescent="0.2">
      <c r="A336" s="12"/>
      <c r="C336" s="4" t="s">
        <v>116</v>
      </c>
      <c r="D336" s="4">
        <v>10</v>
      </c>
      <c r="E336" s="4" t="s">
        <v>868</v>
      </c>
      <c r="F336" s="4" t="s">
        <v>15</v>
      </c>
      <c r="G336" s="4" t="s">
        <v>414</v>
      </c>
      <c r="H336" s="4" t="s">
        <v>414</v>
      </c>
      <c r="I336" s="4" t="s">
        <v>414</v>
      </c>
      <c r="J336" s="4" t="s">
        <v>37</v>
      </c>
      <c r="K336" s="14" t="s">
        <v>37</v>
      </c>
    </row>
    <row r="337" spans="1:11" x14ac:dyDescent="0.2">
      <c r="A337" s="12"/>
      <c r="C337" s="4" t="s">
        <v>574</v>
      </c>
      <c r="D337" s="4">
        <v>10</v>
      </c>
      <c r="E337" s="4" t="s">
        <v>870</v>
      </c>
      <c r="F337" s="4" t="s">
        <v>15</v>
      </c>
      <c r="G337" s="4" t="s">
        <v>37</v>
      </c>
      <c r="H337" s="4" t="s">
        <v>37</v>
      </c>
      <c r="I337" s="4" t="s">
        <v>37</v>
      </c>
      <c r="J337" s="4" t="s">
        <v>37</v>
      </c>
      <c r="K337" s="14" t="s">
        <v>37</v>
      </c>
    </row>
    <row r="338" spans="1:11" x14ac:dyDescent="0.2">
      <c r="A338" s="12"/>
      <c r="C338" s="4" t="s">
        <v>145</v>
      </c>
      <c r="D338" s="4">
        <v>6</v>
      </c>
      <c r="E338" s="4" t="s">
        <v>871</v>
      </c>
      <c r="F338" s="4" t="s">
        <v>15</v>
      </c>
      <c r="G338" s="4" t="s">
        <v>37</v>
      </c>
      <c r="H338" s="4" t="s">
        <v>37</v>
      </c>
      <c r="I338" s="4" t="s">
        <v>37</v>
      </c>
      <c r="J338" s="4" t="s">
        <v>37</v>
      </c>
      <c r="K338" s="14" t="s">
        <v>37</v>
      </c>
    </row>
    <row r="339" spans="1:11" x14ac:dyDescent="0.2">
      <c r="A339" s="12"/>
      <c r="C339" s="4" t="s">
        <v>83</v>
      </c>
      <c r="D339" s="4">
        <v>2</v>
      </c>
      <c r="E339" s="4" t="s">
        <v>873</v>
      </c>
      <c r="F339" s="4" t="s">
        <v>15</v>
      </c>
      <c r="G339" s="4" t="s">
        <v>16</v>
      </c>
      <c r="H339" s="4" t="s">
        <v>16</v>
      </c>
      <c r="I339" s="4" t="s">
        <v>16</v>
      </c>
      <c r="J339" s="4" t="s">
        <v>16</v>
      </c>
      <c r="K339" s="14" t="s">
        <v>16</v>
      </c>
    </row>
    <row r="340" spans="1:11" x14ac:dyDescent="0.2">
      <c r="A340" s="12"/>
      <c r="C340" s="4" t="s">
        <v>83</v>
      </c>
      <c r="D340" s="4">
        <v>1</v>
      </c>
      <c r="E340" s="4" t="s">
        <v>875</v>
      </c>
      <c r="F340" s="4" t="s">
        <v>15</v>
      </c>
      <c r="G340" s="4" t="s">
        <v>112</v>
      </c>
      <c r="H340" s="4" t="s">
        <v>36</v>
      </c>
      <c r="I340" s="4" t="s">
        <v>112</v>
      </c>
      <c r="J340" s="4" t="s">
        <v>112</v>
      </c>
      <c r="K340" s="14" t="s">
        <v>36</v>
      </c>
    </row>
    <row r="341" spans="1:11" x14ac:dyDescent="0.2">
      <c r="A341" s="12"/>
      <c r="C341" s="4" t="s">
        <v>145</v>
      </c>
      <c r="D341" s="4">
        <v>7</v>
      </c>
      <c r="E341" s="4" t="s">
        <v>877</v>
      </c>
      <c r="F341" s="4" t="s">
        <v>15</v>
      </c>
      <c r="G341" s="4" t="s">
        <v>37</v>
      </c>
      <c r="H341" s="4" t="s">
        <v>37</v>
      </c>
      <c r="I341" s="4" t="s">
        <v>37</v>
      </c>
      <c r="J341" s="4" t="s">
        <v>37</v>
      </c>
      <c r="K341" s="14" t="s">
        <v>37</v>
      </c>
    </row>
    <row r="342" spans="1:11" x14ac:dyDescent="0.2">
      <c r="A342" s="12"/>
      <c r="C342" s="4" t="s">
        <v>879</v>
      </c>
      <c r="D342" s="4">
        <v>34</v>
      </c>
      <c r="E342" s="4" t="s">
        <v>880</v>
      </c>
      <c r="F342" s="4" t="s">
        <v>15</v>
      </c>
      <c r="G342" s="4" t="s">
        <v>150</v>
      </c>
      <c r="H342" s="4" t="s">
        <v>16</v>
      </c>
      <c r="I342" s="4" t="s">
        <v>31</v>
      </c>
      <c r="J342" s="4" t="s">
        <v>31</v>
      </c>
      <c r="K342" s="14" t="s">
        <v>36</v>
      </c>
    </row>
    <row r="343" spans="1:11" x14ac:dyDescent="0.2">
      <c r="A343" s="12"/>
      <c r="C343" s="4" t="s">
        <v>145</v>
      </c>
      <c r="D343" s="4">
        <v>4</v>
      </c>
      <c r="E343" s="4" t="s">
        <v>882</v>
      </c>
      <c r="F343" s="4" t="s">
        <v>15</v>
      </c>
      <c r="G343" s="4" t="s">
        <v>37</v>
      </c>
      <c r="H343" s="4" t="s">
        <v>37</v>
      </c>
      <c r="I343" s="4" t="s">
        <v>37</v>
      </c>
      <c r="J343" s="4" t="s">
        <v>37</v>
      </c>
      <c r="K343" s="14" t="s">
        <v>37</v>
      </c>
    </row>
    <row r="344" spans="1:11" x14ac:dyDescent="0.2">
      <c r="A344" s="12"/>
      <c r="C344" s="4" t="s">
        <v>145</v>
      </c>
      <c r="D344" s="4">
        <v>6</v>
      </c>
      <c r="E344" s="4" t="s">
        <v>885</v>
      </c>
      <c r="F344" s="4" t="s">
        <v>15</v>
      </c>
      <c r="G344" s="4" t="s">
        <v>37</v>
      </c>
      <c r="H344" s="4" t="s">
        <v>37</v>
      </c>
      <c r="I344" s="4" t="s">
        <v>37</v>
      </c>
      <c r="J344" s="4" t="s">
        <v>37</v>
      </c>
      <c r="K344" s="14" t="s">
        <v>37</v>
      </c>
    </row>
    <row r="345" spans="1:11" x14ac:dyDescent="0.2">
      <c r="A345" s="12"/>
      <c r="C345" s="4" t="s">
        <v>326</v>
      </c>
      <c r="D345" s="4">
        <v>27</v>
      </c>
      <c r="E345" s="4" t="s">
        <v>888</v>
      </c>
      <c r="F345" s="4" t="s">
        <v>15</v>
      </c>
      <c r="G345" s="4" t="s">
        <v>37</v>
      </c>
      <c r="H345" s="4" t="s">
        <v>37</v>
      </c>
      <c r="I345" s="4" t="s">
        <v>37</v>
      </c>
      <c r="J345" s="4" t="s">
        <v>37</v>
      </c>
      <c r="K345" s="14" t="s">
        <v>37</v>
      </c>
    </row>
    <row r="346" spans="1:11" x14ac:dyDescent="0.2">
      <c r="A346" s="12"/>
      <c r="C346" s="4" t="s">
        <v>300</v>
      </c>
      <c r="D346" s="4">
        <v>9</v>
      </c>
      <c r="E346" s="4" t="s">
        <v>891</v>
      </c>
      <c r="F346" s="4" t="s">
        <v>15</v>
      </c>
      <c r="G346" s="4" t="s">
        <v>37</v>
      </c>
      <c r="H346" s="4" t="s">
        <v>37</v>
      </c>
      <c r="I346" s="4" t="s">
        <v>37</v>
      </c>
      <c r="J346" s="4" t="s">
        <v>37</v>
      </c>
      <c r="K346" s="14" t="s">
        <v>37</v>
      </c>
    </row>
    <row r="347" spans="1:11" x14ac:dyDescent="0.2">
      <c r="A347" s="12"/>
      <c r="C347" s="4" t="s">
        <v>122</v>
      </c>
      <c r="D347" s="4">
        <v>1</v>
      </c>
      <c r="E347" s="4" t="s">
        <v>894</v>
      </c>
      <c r="F347" s="4" t="s">
        <v>15</v>
      </c>
      <c r="G347" s="4" t="s">
        <v>16</v>
      </c>
      <c r="H347" s="4" t="s">
        <v>16</v>
      </c>
      <c r="I347" s="4" t="s">
        <v>16</v>
      </c>
      <c r="J347" s="4" t="s">
        <v>16</v>
      </c>
      <c r="K347" s="14" t="s">
        <v>16</v>
      </c>
    </row>
    <row r="348" spans="1:11" x14ac:dyDescent="0.2">
      <c r="A348" s="12"/>
      <c r="C348" s="4" t="s">
        <v>83</v>
      </c>
      <c r="D348" s="4">
        <v>1</v>
      </c>
      <c r="E348" s="4" t="s">
        <v>895</v>
      </c>
      <c r="F348" s="4" t="s">
        <v>15</v>
      </c>
      <c r="G348" s="4" t="s">
        <v>112</v>
      </c>
      <c r="H348" s="4" t="s">
        <v>112</v>
      </c>
      <c r="I348" s="4" t="s">
        <v>112</v>
      </c>
      <c r="J348" s="4" t="s">
        <v>112</v>
      </c>
      <c r="K348" s="14" t="s">
        <v>112</v>
      </c>
    </row>
    <row r="349" spans="1:11" x14ac:dyDescent="0.2">
      <c r="A349" s="12"/>
      <c r="C349" s="4" t="s">
        <v>172</v>
      </c>
      <c r="D349" s="4">
        <v>21</v>
      </c>
      <c r="E349" s="4" t="s">
        <v>897</v>
      </c>
      <c r="F349" s="4" t="s">
        <v>15</v>
      </c>
      <c r="G349" s="4" t="s">
        <v>414</v>
      </c>
      <c r="H349" s="4" t="s">
        <v>414</v>
      </c>
      <c r="I349" s="4" t="s">
        <v>414</v>
      </c>
      <c r="J349" s="4" t="s">
        <v>414</v>
      </c>
      <c r="K349" s="14" t="s">
        <v>414</v>
      </c>
    </row>
    <row r="350" spans="1:11" x14ac:dyDescent="0.2">
      <c r="A350" s="12"/>
      <c r="C350" s="4" t="s">
        <v>83</v>
      </c>
      <c r="D350" s="4">
        <v>1</v>
      </c>
      <c r="E350" s="4" t="s">
        <v>898</v>
      </c>
      <c r="F350" s="4" t="s">
        <v>15</v>
      </c>
      <c r="G350" s="4" t="s">
        <v>36</v>
      </c>
      <c r="H350" s="4" t="s">
        <v>112</v>
      </c>
      <c r="I350" s="4" t="s">
        <v>112</v>
      </c>
      <c r="J350" s="4" t="s">
        <v>112</v>
      </c>
      <c r="K350" s="14" t="s">
        <v>36</v>
      </c>
    </row>
    <row r="351" spans="1:11" x14ac:dyDescent="0.2">
      <c r="A351" s="12"/>
      <c r="C351" s="4" t="s">
        <v>900</v>
      </c>
      <c r="D351" s="4">
        <v>25</v>
      </c>
      <c r="E351" s="4" t="s">
        <v>901</v>
      </c>
      <c r="F351" s="4" t="s">
        <v>15</v>
      </c>
      <c r="G351" s="4" t="s">
        <v>16</v>
      </c>
      <c r="H351" s="4" t="s">
        <v>16</v>
      </c>
      <c r="I351" s="4" t="s">
        <v>16</v>
      </c>
      <c r="J351" s="4" t="s">
        <v>16</v>
      </c>
      <c r="K351" s="14" t="s">
        <v>16</v>
      </c>
    </row>
    <row r="352" spans="1:11" x14ac:dyDescent="0.2">
      <c r="A352" s="12"/>
      <c r="C352" s="4" t="s">
        <v>903</v>
      </c>
      <c r="D352" s="4">
        <v>39</v>
      </c>
      <c r="E352" s="4" t="s">
        <v>904</v>
      </c>
      <c r="F352" s="4" t="s">
        <v>15</v>
      </c>
      <c r="G352" s="4" t="s">
        <v>80</v>
      </c>
      <c r="H352" s="4" t="s">
        <v>80</v>
      </c>
      <c r="I352" s="4" t="s">
        <v>80</v>
      </c>
      <c r="J352" s="4" t="s">
        <v>80</v>
      </c>
      <c r="K352" s="14" t="s">
        <v>80</v>
      </c>
    </row>
    <row r="353" spans="1:11" x14ac:dyDescent="0.2">
      <c r="A353" s="12"/>
      <c r="C353" s="4" t="s">
        <v>116</v>
      </c>
      <c r="D353" s="4">
        <v>10</v>
      </c>
      <c r="E353" s="4" t="s">
        <v>906</v>
      </c>
      <c r="F353" s="4" t="s">
        <v>15</v>
      </c>
      <c r="G353" s="4" t="s">
        <v>91</v>
      </c>
      <c r="H353" s="4" t="s">
        <v>37</v>
      </c>
      <c r="I353" s="4" t="s">
        <v>37</v>
      </c>
      <c r="J353" s="4" t="s">
        <v>36</v>
      </c>
      <c r="K353" s="14" t="s">
        <v>37</v>
      </c>
    </row>
    <row r="354" spans="1:11" x14ac:dyDescent="0.2">
      <c r="A354" s="12"/>
      <c r="C354" s="4" t="s">
        <v>279</v>
      </c>
      <c r="D354" s="4">
        <v>28</v>
      </c>
      <c r="E354" s="4" t="s">
        <v>909</v>
      </c>
      <c r="F354" s="4" t="s">
        <v>15</v>
      </c>
      <c r="G354" s="4" t="s">
        <v>37</v>
      </c>
      <c r="H354" s="4" t="s">
        <v>37</v>
      </c>
      <c r="I354" s="4" t="s">
        <v>37</v>
      </c>
      <c r="J354" s="4" t="s">
        <v>37</v>
      </c>
      <c r="K354" s="14" t="s">
        <v>37</v>
      </c>
    </row>
    <row r="355" spans="1:11" x14ac:dyDescent="0.2">
      <c r="A355" s="12"/>
      <c r="C355" s="4" t="s">
        <v>122</v>
      </c>
      <c r="D355" s="4">
        <v>3</v>
      </c>
      <c r="E355" s="4" t="s">
        <v>911</v>
      </c>
      <c r="F355" s="4" t="s">
        <v>15</v>
      </c>
      <c r="G355" s="4" t="s">
        <v>80</v>
      </c>
      <c r="H355" s="4" t="s">
        <v>37</v>
      </c>
      <c r="I355" s="4" t="s">
        <v>80</v>
      </c>
      <c r="J355" s="4" t="s">
        <v>37</v>
      </c>
      <c r="K355" s="14" t="s">
        <v>80</v>
      </c>
    </row>
    <row r="356" spans="1:11" x14ac:dyDescent="0.2">
      <c r="A356" s="12"/>
      <c r="C356" s="4" t="s">
        <v>304</v>
      </c>
      <c r="D356" s="4">
        <v>12</v>
      </c>
      <c r="E356" s="4" t="s">
        <v>913</v>
      </c>
      <c r="F356" s="4" t="s">
        <v>15</v>
      </c>
      <c r="G356" s="4" t="s">
        <v>37</v>
      </c>
      <c r="H356" s="4" t="s">
        <v>36</v>
      </c>
      <c r="I356" s="4" t="s">
        <v>37</v>
      </c>
      <c r="J356" s="4" t="s">
        <v>37</v>
      </c>
      <c r="K356" s="14" t="s">
        <v>36</v>
      </c>
    </row>
    <row r="357" spans="1:11" x14ac:dyDescent="0.2">
      <c r="A357" s="12"/>
      <c r="K357" s="14"/>
    </row>
    <row r="358" spans="1:11" x14ac:dyDescent="0.2">
      <c r="A358" s="12"/>
      <c r="K358" s="14"/>
    </row>
    <row r="359" spans="1:11" x14ac:dyDescent="0.2">
      <c r="A359" s="12"/>
      <c r="K359" s="14"/>
    </row>
    <row r="360" spans="1:11" x14ac:dyDescent="0.2">
      <c r="A360" s="12"/>
      <c r="K360" s="14"/>
    </row>
    <row r="361" spans="1:11" x14ac:dyDescent="0.2">
      <c r="A361" s="12"/>
      <c r="K361" s="14"/>
    </row>
    <row r="362" spans="1:11" x14ac:dyDescent="0.2">
      <c r="A362" s="12"/>
      <c r="K362" s="14"/>
    </row>
    <row r="363" spans="1:11" x14ac:dyDescent="0.2">
      <c r="A363" s="12"/>
      <c r="K363" s="14"/>
    </row>
    <row r="364" spans="1:11" x14ac:dyDescent="0.2">
      <c r="A364" s="12"/>
      <c r="K364" s="14"/>
    </row>
    <row r="365" spans="1:11" x14ac:dyDescent="0.2">
      <c r="A365" s="12"/>
      <c r="K365" s="14"/>
    </row>
    <row r="366" spans="1:11" x14ac:dyDescent="0.2">
      <c r="A366" s="12"/>
      <c r="K366" s="14"/>
    </row>
    <row r="367" spans="1:11" x14ac:dyDescent="0.2">
      <c r="A367" s="12"/>
      <c r="K367" s="14"/>
    </row>
    <row r="368" spans="1:11" x14ac:dyDescent="0.2">
      <c r="A368" s="12"/>
      <c r="K368" s="14"/>
    </row>
    <row r="369" spans="1:11" x14ac:dyDescent="0.2">
      <c r="A369" s="12"/>
      <c r="K369" s="14"/>
    </row>
    <row r="370" spans="1:11" x14ac:dyDescent="0.2">
      <c r="A370" s="12"/>
      <c r="K370" s="14"/>
    </row>
    <row r="371" spans="1:11" x14ac:dyDescent="0.2">
      <c r="A371" s="12"/>
      <c r="K371" s="14"/>
    </row>
    <row r="372" spans="1:11" x14ac:dyDescent="0.2">
      <c r="A372" s="12"/>
      <c r="K372" s="14"/>
    </row>
    <row r="373" spans="1:11" x14ac:dyDescent="0.2">
      <c r="A373" s="12"/>
      <c r="K373" s="14"/>
    </row>
    <row r="374" spans="1:11" x14ac:dyDescent="0.2">
      <c r="A374" s="12"/>
      <c r="K374" s="14"/>
    </row>
    <row r="375" spans="1:11" x14ac:dyDescent="0.2">
      <c r="A375" s="12"/>
      <c r="K375" s="14"/>
    </row>
    <row r="376" spans="1:11" x14ac:dyDescent="0.2">
      <c r="A376" s="12"/>
      <c r="K376" s="14"/>
    </row>
    <row r="377" spans="1:11" x14ac:dyDescent="0.2">
      <c r="A377" s="12"/>
      <c r="K377" s="14"/>
    </row>
    <row r="378" spans="1:11" x14ac:dyDescent="0.2">
      <c r="A378" s="12"/>
      <c r="K378" s="14"/>
    </row>
    <row r="379" spans="1:11" x14ac:dyDescent="0.2">
      <c r="A379" s="12"/>
      <c r="K379" s="14"/>
    </row>
    <row r="380" spans="1:11" x14ac:dyDescent="0.2">
      <c r="A380" s="12"/>
      <c r="K380" s="14"/>
    </row>
    <row r="381" spans="1:11" x14ac:dyDescent="0.2">
      <c r="A381" s="12"/>
      <c r="K381" s="14"/>
    </row>
    <row r="382" spans="1:11" x14ac:dyDescent="0.2">
      <c r="A382" s="12"/>
      <c r="K382" s="14"/>
    </row>
    <row r="383" spans="1:11" x14ac:dyDescent="0.2">
      <c r="A383" s="12"/>
      <c r="K383" s="14"/>
    </row>
    <row r="384" spans="1:11" x14ac:dyDescent="0.2">
      <c r="A384" s="12"/>
      <c r="K384" s="14"/>
    </row>
    <row r="385" spans="1:11" x14ac:dyDescent="0.2">
      <c r="A385" s="12"/>
      <c r="K385" s="14"/>
    </row>
    <row r="386" spans="1:11" x14ac:dyDescent="0.2">
      <c r="A386" s="12"/>
      <c r="K386" s="14"/>
    </row>
    <row r="387" spans="1:11" x14ac:dyDescent="0.2">
      <c r="A387" s="12"/>
      <c r="K387" s="14"/>
    </row>
    <row r="388" spans="1:11" x14ac:dyDescent="0.2">
      <c r="A388" s="12"/>
      <c r="K388" s="14"/>
    </row>
    <row r="389" spans="1:11" x14ac:dyDescent="0.2">
      <c r="A389" s="12"/>
      <c r="K389" s="14"/>
    </row>
    <row r="390" spans="1:11" x14ac:dyDescent="0.2">
      <c r="A390" s="12"/>
      <c r="K390" s="14"/>
    </row>
    <row r="391" spans="1:11" x14ac:dyDescent="0.2">
      <c r="A391" s="12"/>
      <c r="K391" s="14"/>
    </row>
    <row r="392" spans="1:11" x14ac:dyDescent="0.2">
      <c r="A392" s="12"/>
      <c r="K392" s="14"/>
    </row>
    <row r="393" spans="1:11" x14ac:dyDescent="0.2">
      <c r="A393" s="12"/>
      <c r="K393" s="14"/>
    </row>
    <row r="394" spans="1:11" x14ac:dyDescent="0.2">
      <c r="A394" s="12"/>
      <c r="K394" s="14"/>
    </row>
    <row r="395" spans="1:11" x14ac:dyDescent="0.2">
      <c r="A395" s="12"/>
      <c r="K395" s="14"/>
    </row>
    <row r="396" spans="1:11" x14ac:dyDescent="0.2">
      <c r="A396" s="12"/>
      <c r="K396" s="14"/>
    </row>
    <row r="397" spans="1:11" x14ac:dyDescent="0.2">
      <c r="A397" s="12"/>
      <c r="K397" s="14"/>
    </row>
    <row r="398" spans="1:11" x14ac:dyDescent="0.2">
      <c r="A398" s="12"/>
      <c r="K398" s="14"/>
    </row>
    <row r="399" spans="1:11" x14ac:dyDescent="0.2">
      <c r="A399" s="12"/>
      <c r="K399" s="14"/>
    </row>
    <row r="400" spans="1:11" x14ac:dyDescent="0.2">
      <c r="A400" s="12"/>
      <c r="K400" s="14"/>
    </row>
    <row r="401" spans="1:11" x14ac:dyDescent="0.2">
      <c r="A401" s="12"/>
      <c r="K401" s="14"/>
    </row>
    <row r="402" spans="1:11" x14ac:dyDescent="0.2">
      <c r="A402" s="12"/>
      <c r="K402" s="14"/>
    </row>
    <row r="403" spans="1:11" x14ac:dyDescent="0.2">
      <c r="A403" s="12"/>
      <c r="K403" s="14"/>
    </row>
    <row r="404" spans="1:11" x14ac:dyDescent="0.2">
      <c r="A404" s="12"/>
      <c r="K404" s="14"/>
    </row>
    <row r="405" spans="1:11" x14ac:dyDescent="0.2">
      <c r="A405" s="12"/>
      <c r="K405" s="14"/>
    </row>
    <row r="406" spans="1:11" x14ac:dyDescent="0.2">
      <c r="A406" s="12"/>
      <c r="K406" s="14"/>
    </row>
    <row r="407" spans="1:11" x14ac:dyDescent="0.2">
      <c r="A407" s="12"/>
      <c r="K407" s="14"/>
    </row>
    <row r="408" spans="1:11" x14ac:dyDescent="0.2">
      <c r="A408" s="12"/>
      <c r="K408" s="14"/>
    </row>
    <row r="409" spans="1:11" x14ac:dyDescent="0.2">
      <c r="A409" s="12"/>
      <c r="K409" s="14"/>
    </row>
    <row r="410" spans="1:11" x14ac:dyDescent="0.2">
      <c r="A410" s="12"/>
      <c r="K410" s="14"/>
    </row>
    <row r="411" spans="1:11" x14ac:dyDescent="0.2">
      <c r="A411" s="12"/>
      <c r="K411" s="14"/>
    </row>
    <row r="412" spans="1:11" x14ac:dyDescent="0.2">
      <c r="A412" s="12"/>
      <c r="K412" s="14"/>
    </row>
    <row r="413" spans="1:11" x14ac:dyDescent="0.2">
      <c r="A413" s="12"/>
      <c r="K413" s="14"/>
    </row>
    <row r="414" spans="1:11" x14ac:dyDescent="0.2">
      <c r="A414" s="12"/>
      <c r="K414" s="14"/>
    </row>
    <row r="415" spans="1:11" x14ac:dyDescent="0.2">
      <c r="A415" s="12"/>
      <c r="K415" s="14"/>
    </row>
    <row r="416" spans="1:11" x14ac:dyDescent="0.2">
      <c r="A416" s="12"/>
      <c r="K416" s="14"/>
    </row>
    <row r="417" spans="1:11" x14ac:dyDescent="0.2">
      <c r="A417" s="12"/>
      <c r="K417" s="14"/>
    </row>
    <row r="418" spans="1:11" x14ac:dyDescent="0.2">
      <c r="A418" s="12"/>
      <c r="K418" s="14"/>
    </row>
    <row r="419" spans="1:11" x14ac:dyDescent="0.2">
      <c r="A419" s="12"/>
      <c r="K419" s="14"/>
    </row>
    <row r="420" spans="1:11" x14ac:dyDescent="0.2">
      <c r="A420" s="12"/>
      <c r="K420" s="14"/>
    </row>
    <row r="421" spans="1:11" x14ac:dyDescent="0.2">
      <c r="A421" s="12"/>
      <c r="K421" s="14"/>
    </row>
    <row r="422" spans="1:11" x14ac:dyDescent="0.2">
      <c r="A422" s="65"/>
      <c r="B422" s="59"/>
      <c r="C422" s="59"/>
      <c r="D422" s="59"/>
      <c r="E422" s="59"/>
      <c r="F422" s="59"/>
      <c r="G422" s="59"/>
      <c r="H422" s="59"/>
      <c r="I422" s="59"/>
      <c r="J422" s="59"/>
      <c r="K422" s="66"/>
    </row>
    <row r="552" ht="14.25" customHeight="1" x14ac:dyDescent="0.2"/>
  </sheetData>
  <mergeCells count="12">
    <mergeCell ref="O21:P21"/>
    <mergeCell ref="M1:W1"/>
    <mergeCell ref="M8:X8"/>
    <mergeCell ref="O12:Q12"/>
    <mergeCell ref="O13:P13"/>
    <mergeCell ref="O14:P14"/>
    <mergeCell ref="O15:P15"/>
    <mergeCell ref="O16:P16"/>
    <mergeCell ref="O17:P17"/>
    <mergeCell ref="O18:P18"/>
    <mergeCell ref="O19:P19"/>
    <mergeCell ref="O20:P2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C86E-4881-4C1E-8106-2D6A533E1AE3}">
  <dimension ref="A1:X552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6.83203125" style="4" bestFit="1" customWidth="1"/>
    <col min="2" max="2" width="19.5" style="4" bestFit="1" customWidth="1"/>
    <col min="3" max="3" width="9.1640625" style="4"/>
    <col min="4" max="4" width="26.1640625" style="4" bestFit="1" customWidth="1"/>
    <col min="5" max="5" width="14.5" style="4" bestFit="1" customWidth="1"/>
    <col min="6" max="6" width="30.6640625" style="4" bestFit="1" customWidth="1"/>
    <col min="7" max="11" width="25.83203125" style="4" bestFit="1" customWidth="1"/>
    <col min="13" max="13" width="34.83203125" customWidth="1"/>
    <col min="14" max="14" width="14.6640625" customWidth="1"/>
    <col min="16" max="16" width="12.6640625" customWidth="1"/>
    <col min="17" max="17" width="16.33203125" customWidth="1"/>
    <col min="18" max="18" width="17.33203125" customWidth="1"/>
    <col min="19" max="19" width="13.6640625" customWidth="1"/>
    <col min="20" max="20" width="16.6640625" customWidth="1"/>
    <col min="21" max="21" width="18.5" customWidth="1"/>
    <col min="22" max="22" width="15" customWidth="1"/>
    <col min="24" max="24" width="17.1640625" customWidth="1"/>
    <col min="25" max="25" width="19.33203125" customWidth="1"/>
  </cols>
  <sheetData>
    <row r="1" spans="1:24" ht="16.5" customHeight="1" x14ac:dyDescent="0.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  <c r="M1" s="71" t="s">
        <v>11</v>
      </c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4" x14ac:dyDescent="0.2">
      <c r="A2" s="11"/>
      <c r="B2" s="9"/>
      <c r="C2" s="9">
        <v>91711</v>
      </c>
      <c r="D2" s="9">
        <v>0.1</v>
      </c>
      <c r="E2" s="9">
        <v>10355979</v>
      </c>
      <c r="F2" s="9" t="s">
        <v>914</v>
      </c>
      <c r="G2" s="9" t="s">
        <v>92</v>
      </c>
      <c r="H2" s="9" t="s">
        <v>92</v>
      </c>
      <c r="I2" s="9" t="s">
        <v>92</v>
      </c>
      <c r="J2" s="9" t="s">
        <v>92</v>
      </c>
      <c r="K2" s="13" t="s">
        <v>92</v>
      </c>
      <c r="M2" s="18"/>
      <c r="N2" s="18" t="s">
        <v>17</v>
      </c>
      <c r="O2" s="18" t="s">
        <v>18</v>
      </c>
      <c r="P2" s="18" t="s">
        <v>19</v>
      </c>
      <c r="Q2" s="18" t="s">
        <v>20</v>
      </c>
      <c r="R2" s="18" t="s">
        <v>21</v>
      </c>
      <c r="S2" s="18" t="s">
        <v>22</v>
      </c>
      <c r="T2" s="18" t="s">
        <v>23</v>
      </c>
      <c r="U2" s="18" t="s">
        <v>24</v>
      </c>
      <c r="V2" s="19" t="s">
        <v>25</v>
      </c>
      <c r="W2" s="20" t="s">
        <v>26</v>
      </c>
    </row>
    <row r="3" spans="1:24" x14ac:dyDescent="0.2">
      <c r="A3" s="11"/>
      <c r="B3" s="9"/>
      <c r="C3" s="9">
        <v>91711</v>
      </c>
      <c r="D3" s="9">
        <v>0.1</v>
      </c>
      <c r="E3" s="9">
        <v>10042380</v>
      </c>
      <c r="F3" s="9" t="s">
        <v>914</v>
      </c>
      <c r="G3" s="9" t="s">
        <v>92</v>
      </c>
      <c r="H3" s="9" t="s">
        <v>92</v>
      </c>
      <c r="I3" s="9" t="s">
        <v>92</v>
      </c>
      <c r="J3" s="9" t="s">
        <v>92</v>
      </c>
      <c r="K3" s="13" t="s">
        <v>92</v>
      </c>
      <c r="M3" s="10" t="s">
        <v>32</v>
      </c>
      <c r="N3" s="24" cm="1">
        <f t="array" ref="N3">SUM(COUNTIF($G:$K,{"H.*","I.*"}))/W10</f>
        <v>0.65778688524590168</v>
      </c>
      <c r="O3" s="21">
        <f>COUNTIF($G:$K,"E.*")/W10</f>
        <v>3.4323770491803282E-2</v>
      </c>
      <c r="P3" s="21" cm="1">
        <f t="array" ref="P3">SUM(COUNTIF($G:$K,{"J.*","K.*","L.*","M.*","N.*","O.*","P.*","Q.*","R.*","S.*","T.*","U.*","V.*","W.*"}))/W10</f>
        <v>7.274590163934426E-2</v>
      </c>
      <c r="Q3" s="21">
        <f>COUNTIF($G:$K,"C.*")/W10</f>
        <v>1.7418032786885244E-2</v>
      </c>
      <c r="R3" s="21">
        <f>COUNTIF($G:$K,"A.*")/W10</f>
        <v>5.3790983606557374E-2</v>
      </c>
      <c r="S3" s="21">
        <v>0</v>
      </c>
      <c r="T3" s="21">
        <f>COUNTIF($G:$K,"B.*")/W10</f>
        <v>2.5614754098360654E-3</v>
      </c>
      <c r="U3" s="21">
        <f>COUNTIF($G:$K,"F.*")/W10</f>
        <v>0.11885245901639344</v>
      </c>
      <c r="V3" s="22">
        <f>COUNTIF($G:$K,"D.*")/W10</f>
        <v>4.2520491803278687E-2</v>
      </c>
      <c r="W3" s="21">
        <f>SUM(N3:V3)</f>
        <v>1</v>
      </c>
    </row>
    <row r="4" spans="1:24" ht="16.5" customHeight="1" x14ac:dyDescent="0.2">
      <c r="A4" s="11"/>
      <c r="B4" s="9"/>
      <c r="C4" s="9">
        <v>91711</v>
      </c>
      <c r="D4" s="9">
        <v>0.2</v>
      </c>
      <c r="E4" s="9">
        <v>10305558</v>
      </c>
      <c r="F4" s="9" t="s">
        <v>914</v>
      </c>
      <c r="G4" s="9" t="s">
        <v>103</v>
      </c>
      <c r="H4" s="9" t="s">
        <v>92</v>
      </c>
      <c r="I4" s="9" t="s">
        <v>92</v>
      </c>
      <c r="J4" s="9" t="s">
        <v>92</v>
      </c>
      <c r="K4" s="13" t="s">
        <v>103</v>
      </c>
      <c r="M4" s="29" t="s">
        <v>38</v>
      </c>
      <c r="N4" s="30" cm="1">
        <f t="array" ref="N4">SUM(_xlfn.BYCOL(G:K,_xlfn.LAMBDA(_xlpm.col,SUMIF(_xlpm.col,"H.*",D:D)+SUMIF(_xlpm.col,"I.*",D:D))))/N10</f>
        <v>13.854049844236759</v>
      </c>
      <c r="O4" s="31" cm="1">
        <f t="array" ref="O4">SUM(_xlfn.BYCOL(G:K,_xlfn.LAMBDA(_xlpm.col,SUMIF(_xlpm.col,"E.*",D:D))))/O10</f>
        <v>6.5932835820895521</v>
      </c>
      <c r="P4" s="32" cm="1">
        <f t="array" ref="P4">SUM(_xlfn.BYCOL($G:$K,_xlfn.LAMBDA(_xlpm.col,SUMIF(_xlpm.col,"J.*",$D:$D)+SUMIF(_xlpm.col,"K.*",$D:$D)+SUMIF(_xlpm.col,"L.*",$D:$D)+SUMIF(_xlpm.col,"M.*",$D:$D)+SUMIF(_xlpm.col,"N.*",$D:$D)+SUMIF(_xlpm.col,"O.*",$D:$D)+SUMIF(_xlpm.col,"P.*",$D:$D)+SUMIF(_xlpm.col,"Q.*",$D:$D)+SUMIF(_xlpm.col,"R.*",$D:$D)+SUMIF(_xlpm.col,"S.*",$D:$D)+SUMIF(_xlpm.col,"T.*",$D:$D)+SUMIF(_xlpm.col,"U.*",$D:$D)+SUMIF(_xlpm.col,"V.*",$D:$D)+SUMIF(_xlpm.col,"W.*",$D:$D))))/$P10</f>
        <v>17.8556338028169</v>
      </c>
      <c r="Q4" s="32" cm="1">
        <f t="array" ref="Q4">SUM(_xlfn.BYCOL(G:K,_xlfn.LAMBDA(_xlpm.col,SUMIF(_xlpm.col,"C.*",D:D))))/Q10</f>
        <v>23.197058823529414</v>
      </c>
      <c r="R4" s="32" cm="1">
        <f t="array" ref="R4">SUM(_xlfn.BYCOL(G:K,_xlfn.LAMBDA(_xlpm.col,SUMIF(_xlpm.col,"A.*",D:D))))/R10</f>
        <v>18.998095238095239</v>
      </c>
      <c r="S4" s="32" t="s">
        <v>39</v>
      </c>
      <c r="T4" s="32" cm="1">
        <f t="array" ref="T4">SUM(_xlfn.BYCOL(G:K,_xlfn.LAMBDA(_xlpm.col,SUMIF(_xlpm.col,"B.*",D:D))))/T10</f>
        <v>3</v>
      </c>
      <c r="U4" s="32" t="s">
        <v>39</v>
      </c>
      <c r="V4" s="32" cm="1">
        <f t="array" ref="V4">SUM(_xlfn.BYCOL(G:K,_xlfn.LAMBDA(_xlpm.col,SUMIF(_xlpm.col,"D.*",D:D))))/V10</f>
        <v>0.88734939759036147</v>
      </c>
      <c r="W4" s="30">
        <f>AVERAGE(N4:V4)</f>
        <v>12.055067241194033</v>
      </c>
    </row>
    <row r="5" spans="1:24" x14ac:dyDescent="0.2">
      <c r="A5" s="12"/>
      <c r="C5" s="4">
        <v>91711</v>
      </c>
      <c r="D5" s="4">
        <v>0.25</v>
      </c>
      <c r="E5" s="4">
        <v>10360779</v>
      </c>
      <c r="F5" s="4" t="s">
        <v>919</v>
      </c>
      <c r="G5" s="4" t="s">
        <v>92</v>
      </c>
      <c r="H5" s="4" t="s">
        <v>92</v>
      </c>
      <c r="I5" s="4" t="s">
        <v>92</v>
      </c>
      <c r="J5" s="4" t="s">
        <v>92</v>
      </c>
      <c r="K5" s="14" t="s">
        <v>92</v>
      </c>
      <c r="M5" s="10" t="s">
        <v>44</v>
      </c>
      <c r="N5" s="10"/>
      <c r="O5" s="10"/>
      <c r="P5" s="39" cm="1">
        <f t="array" ref="P5">SUM(_xlfn.BYCOL($G:$K,_xlfn.LAMBDA(_xlpm.col,SUMIF(_xlpm.col,"J.*",$D:$D)*2+SUMIF(_xlpm.col,"K.*",$D:$D)*3+SUMIF(_xlpm.col,"L.*",$D:$D)*4+SUMIF(_xlpm.col,"M.*",$D:$D)*5+SUMIF(_xlpm.col,"N.*",$D:$D)*6+SUMIF(_xlpm.col,"O.*",$D:$D)*7+SUMIF(_xlpm.col,"P.*",$D:$D)*8+SUMIF(_xlpm.col,"Q.*",$D:$D)*9+SUMIF(_xlpm.col,"R.*",$D:$D)*10+SUMIF(_xlpm.col,"S.*",$D:$D)*11+SUMIF(_xlpm.col,"T.*",$D:$D)*12+SUMIF(_xlpm.col,"U.*",$D:$D)*13+SUMIF(_xlpm.col,"V.*",$D:$D)*14+SUMIF(_xlpm.col,"W.*",$D:$D)*15)))/$P10</f>
        <v>47.855633802816904</v>
      </c>
      <c r="Q5" s="10"/>
      <c r="R5" s="10"/>
      <c r="S5" s="10"/>
      <c r="T5" s="10"/>
      <c r="U5" s="10"/>
      <c r="V5" s="10"/>
      <c r="W5" s="10"/>
    </row>
    <row r="6" spans="1:24" x14ac:dyDescent="0.2">
      <c r="A6" s="11"/>
      <c r="B6" s="9"/>
      <c r="C6" s="9">
        <v>91711</v>
      </c>
      <c r="D6" s="9">
        <v>0.5</v>
      </c>
      <c r="E6" s="9" t="s">
        <v>920</v>
      </c>
      <c r="F6" s="9" t="s">
        <v>914</v>
      </c>
      <c r="G6" s="9" t="s">
        <v>92</v>
      </c>
      <c r="H6" s="9" t="s">
        <v>92</v>
      </c>
      <c r="I6" s="9" t="s">
        <v>92</v>
      </c>
      <c r="J6" s="9" t="s">
        <v>92</v>
      </c>
      <c r="K6" s="13" t="s">
        <v>92</v>
      </c>
      <c r="M6" s="40" t="s">
        <v>47</v>
      </c>
      <c r="N6" s="40"/>
      <c r="O6" s="40"/>
      <c r="P6" s="41">
        <f>P5/P4</f>
        <v>2.6801419838296199</v>
      </c>
      <c r="Q6" s="40"/>
      <c r="R6" s="40"/>
      <c r="S6" s="40"/>
      <c r="T6" s="40"/>
      <c r="U6" s="40"/>
      <c r="V6" s="40"/>
      <c r="W6" s="40"/>
    </row>
    <row r="7" spans="1:24" x14ac:dyDescent="0.2">
      <c r="A7" s="12"/>
      <c r="C7" s="4">
        <v>91711</v>
      </c>
      <c r="D7" s="4">
        <v>0.5</v>
      </c>
      <c r="E7" s="4">
        <v>121158</v>
      </c>
      <c r="F7" s="4" t="s">
        <v>914</v>
      </c>
      <c r="G7" s="4" t="s">
        <v>98</v>
      </c>
      <c r="H7" s="4" t="s">
        <v>98</v>
      </c>
      <c r="I7" s="4" t="s">
        <v>98</v>
      </c>
      <c r="J7" s="4" t="s">
        <v>98</v>
      </c>
      <c r="K7" s="14" t="s">
        <v>103</v>
      </c>
      <c r="P7" s="35"/>
    </row>
    <row r="8" spans="1:24" x14ac:dyDescent="0.2">
      <c r="A8" s="12"/>
      <c r="C8" s="4">
        <v>10025</v>
      </c>
      <c r="D8" s="4">
        <v>0.5</v>
      </c>
      <c r="E8" s="4">
        <v>10369321</v>
      </c>
      <c r="F8" s="4" t="s">
        <v>919</v>
      </c>
      <c r="G8" s="4" t="s">
        <v>92</v>
      </c>
      <c r="H8" s="4" t="s">
        <v>202</v>
      </c>
      <c r="I8" s="4" t="s">
        <v>202</v>
      </c>
      <c r="J8" s="4" t="s">
        <v>202</v>
      </c>
      <c r="K8" s="14" t="s">
        <v>202</v>
      </c>
      <c r="M8" s="72" t="s">
        <v>54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</row>
    <row r="9" spans="1:24" x14ac:dyDescent="0.2">
      <c r="A9" s="12"/>
      <c r="C9" s="4">
        <v>91711</v>
      </c>
      <c r="D9" s="4">
        <v>0.5</v>
      </c>
      <c r="E9" s="4">
        <v>117777</v>
      </c>
      <c r="F9" s="4" t="s">
        <v>919</v>
      </c>
      <c r="G9" s="4" t="s">
        <v>92</v>
      </c>
      <c r="H9" s="4" t="s">
        <v>92</v>
      </c>
      <c r="I9" s="4" t="s">
        <v>195</v>
      </c>
      <c r="J9" s="4" t="s">
        <v>195</v>
      </c>
      <c r="K9" s="14" t="s">
        <v>195</v>
      </c>
      <c r="M9" s="4"/>
      <c r="N9" s="4" t="s">
        <v>17</v>
      </c>
      <c r="O9" s="4" t="s">
        <v>18</v>
      </c>
      <c r="P9" s="4" t="s">
        <v>19</v>
      </c>
      <c r="Q9" s="4" t="s">
        <v>20</v>
      </c>
      <c r="R9" s="4" t="s">
        <v>21</v>
      </c>
      <c r="S9" s="4" t="s">
        <v>22</v>
      </c>
      <c r="T9" s="4" t="s">
        <v>23</v>
      </c>
      <c r="U9" s="4" t="s">
        <v>24</v>
      </c>
      <c r="V9" s="4" t="s">
        <v>25</v>
      </c>
      <c r="W9" s="4" t="s">
        <v>26</v>
      </c>
      <c r="X9" s="59" t="s">
        <v>59</v>
      </c>
    </row>
    <row r="10" spans="1:24" x14ac:dyDescent="0.2">
      <c r="A10" s="12"/>
      <c r="C10" s="4">
        <v>91711</v>
      </c>
      <c r="D10" s="4">
        <v>0.5</v>
      </c>
      <c r="E10" s="4" t="s">
        <v>201</v>
      </c>
      <c r="F10" s="4" t="s">
        <v>914</v>
      </c>
      <c r="G10" s="4" t="s">
        <v>113</v>
      </c>
      <c r="H10" s="4" t="s">
        <v>113</v>
      </c>
      <c r="I10" s="4" t="s">
        <v>113</v>
      </c>
      <c r="J10" s="4" t="s">
        <v>113</v>
      </c>
      <c r="K10" s="14" t="s">
        <v>113</v>
      </c>
      <c r="M10" s="36" t="s">
        <v>63</v>
      </c>
      <c r="N10" s="36" cm="1">
        <f t="array" ref="N10">SUM(COUNTIF($G:$K,{"H.*","I.*"}))</f>
        <v>1284</v>
      </c>
      <c r="O10" s="36">
        <f>COUNTIF($G:$K,"E.*")</f>
        <v>67</v>
      </c>
      <c r="P10" s="36" cm="1">
        <f t="array" ref="P10">SUM(COUNTIF($G:$K,{"J.*","K.*","L.*","M.*","N.*","O.*","P.*","Q.*","R.*","S.*","T.*","U.*","V.*","W.*"}))</f>
        <v>142</v>
      </c>
      <c r="Q10" s="62">
        <f>COUNTIF($G:$K,"C.*")</f>
        <v>34</v>
      </c>
      <c r="R10" s="36">
        <f>COUNTIF($G:$K,"A.*")</f>
        <v>105</v>
      </c>
      <c r="S10" s="36">
        <v>0</v>
      </c>
      <c r="T10" s="36">
        <f>COUNTIF($G:$K,"B.*")</f>
        <v>5</v>
      </c>
      <c r="U10" s="36">
        <f>COUNTIF($G:$K,"F.*")</f>
        <v>232</v>
      </c>
      <c r="V10" s="36">
        <f>COUNTIF($G:$K,"D.*")</f>
        <v>83</v>
      </c>
      <c r="W10" s="37">
        <f>SUM(N10:V10)</f>
        <v>1952</v>
      </c>
      <c r="X10" s="4">
        <f>COUNTIFS($G2:$K1000,"&lt;&gt;",$G2:$K1000,"&lt;&gt;OFF.*",$G2:$K1000,"&lt;&gt;AA.*",$G2:$K1000,"&lt;&gt;BB.*",$G2:$K1000,"&lt;&gt;G.*",$G2:$K1000,"&lt;&gt;X.*",$G2:$K1000,"&lt;&gt;Y.*",$G2:$K1000,"&lt;&gt;Z.*",G2:K1000,"&lt;&gt;CC.*")</f>
        <v>1952</v>
      </c>
    </row>
    <row r="11" spans="1:24" x14ac:dyDescent="0.2">
      <c r="A11" s="12"/>
      <c r="C11" s="4">
        <v>91711</v>
      </c>
      <c r="D11" s="4">
        <v>0.5</v>
      </c>
      <c r="E11" s="4">
        <v>10358521</v>
      </c>
      <c r="F11" s="4" t="s">
        <v>919</v>
      </c>
      <c r="G11" s="4" t="s">
        <v>92</v>
      </c>
      <c r="H11" s="4" t="s">
        <v>113</v>
      </c>
      <c r="I11" s="4" t="s">
        <v>113</v>
      </c>
      <c r="J11" s="4" t="s">
        <v>92</v>
      </c>
      <c r="K11" s="14" t="s">
        <v>92</v>
      </c>
    </row>
    <row r="12" spans="1:24" ht="16" x14ac:dyDescent="0.2">
      <c r="A12" s="12"/>
      <c r="C12" s="4">
        <v>91711</v>
      </c>
      <c r="D12" s="4">
        <v>0.6</v>
      </c>
      <c r="E12" s="4">
        <v>103667471</v>
      </c>
      <c r="F12" s="4" t="s">
        <v>914</v>
      </c>
      <c r="G12" s="4" t="s">
        <v>92</v>
      </c>
      <c r="H12" s="4" t="s">
        <v>92</v>
      </c>
      <c r="I12" s="4" t="s">
        <v>92</v>
      </c>
      <c r="J12" s="4" t="s">
        <v>92</v>
      </c>
      <c r="K12" s="14" t="s">
        <v>92</v>
      </c>
      <c r="M12" s="38" t="s">
        <v>68</v>
      </c>
      <c r="O12" s="69" t="s">
        <v>69</v>
      </c>
      <c r="P12" s="73"/>
      <c r="Q12" s="70"/>
    </row>
    <row r="13" spans="1:24" ht="16" x14ac:dyDescent="0.2">
      <c r="A13" s="12"/>
      <c r="C13" s="4">
        <v>91763</v>
      </c>
      <c r="D13" s="4">
        <v>0.7</v>
      </c>
      <c r="E13" s="4">
        <v>10370640</v>
      </c>
      <c r="F13" s="4" t="s">
        <v>914</v>
      </c>
      <c r="G13" s="4" t="s">
        <v>113</v>
      </c>
      <c r="H13" s="4" t="s">
        <v>113</v>
      </c>
      <c r="I13" s="4" t="s">
        <v>113</v>
      </c>
      <c r="J13" s="4" t="s">
        <v>113</v>
      </c>
      <c r="K13" s="14" t="s">
        <v>113</v>
      </c>
      <c r="M13" s="5" t="s">
        <v>74</v>
      </c>
      <c r="O13" s="74" t="s">
        <v>75</v>
      </c>
      <c r="P13" s="74"/>
      <c r="Q13" s="36" t="e">
        <f>2*W10/COUNTIFS(A:A,"&lt;&gt;",A:A,"&lt;&gt;FirstName")</f>
        <v>#DIV/0!</v>
      </c>
    </row>
    <row r="14" spans="1:24" ht="16" x14ac:dyDescent="0.2">
      <c r="A14" s="12"/>
      <c r="C14" s="4">
        <v>91786</v>
      </c>
      <c r="D14" s="4">
        <v>0.9</v>
      </c>
      <c r="E14" s="4">
        <v>10357621</v>
      </c>
      <c r="F14" s="4" t="s">
        <v>914</v>
      </c>
      <c r="G14" s="4" t="s">
        <v>113</v>
      </c>
      <c r="H14" s="4" t="s">
        <v>113</v>
      </c>
      <c r="I14" s="4" t="s">
        <v>113</v>
      </c>
      <c r="J14" s="4" t="s">
        <v>108</v>
      </c>
      <c r="K14" s="14" t="s">
        <v>92</v>
      </c>
      <c r="M14" s="5" t="s">
        <v>81</v>
      </c>
      <c r="O14" s="72" t="s">
        <v>82</v>
      </c>
      <c r="P14" s="72"/>
      <c r="Q14" s="4">
        <v>818</v>
      </c>
    </row>
    <row r="15" spans="1:24" ht="16" x14ac:dyDescent="0.2">
      <c r="A15" s="11"/>
      <c r="B15" s="9"/>
      <c r="C15" s="9">
        <v>91711</v>
      </c>
      <c r="D15" s="9">
        <v>0.9</v>
      </c>
      <c r="E15" s="9">
        <v>101025</v>
      </c>
      <c r="F15" s="9" t="s">
        <v>914</v>
      </c>
      <c r="G15" s="9" t="s">
        <v>113</v>
      </c>
      <c r="H15" s="9" t="s">
        <v>113</v>
      </c>
      <c r="I15" s="9" t="s">
        <v>113</v>
      </c>
      <c r="J15" s="9" t="s">
        <v>113</v>
      </c>
      <c r="K15" s="13" t="s">
        <v>113</v>
      </c>
      <c r="M15" s="5" t="s">
        <v>85</v>
      </c>
      <c r="O15" s="75" t="s">
        <v>86</v>
      </c>
      <c r="P15" s="75"/>
      <c r="Q15" s="59">
        <f>COUNTIFS(A:A,"&lt;&gt;",A:A,"&lt;&gt;FirstName")</f>
        <v>0</v>
      </c>
    </row>
    <row r="16" spans="1:24" ht="16" x14ac:dyDescent="0.2">
      <c r="A16" s="12"/>
      <c r="C16" s="4">
        <v>91711</v>
      </c>
      <c r="D16" s="4">
        <v>1</v>
      </c>
      <c r="E16" s="4">
        <v>10341303</v>
      </c>
      <c r="F16" s="4" t="s">
        <v>914</v>
      </c>
      <c r="G16" s="4" t="s">
        <v>113</v>
      </c>
      <c r="H16" s="4" t="s">
        <v>103</v>
      </c>
      <c r="I16" s="4" t="s">
        <v>92</v>
      </c>
      <c r="J16" s="4" t="s">
        <v>113</v>
      </c>
      <c r="K16" s="14" t="s">
        <v>85</v>
      </c>
      <c r="M16" s="5" t="s">
        <v>92</v>
      </c>
      <c r="O16" s="72" t="s">
        <v>93</v>
      </c>
      <c r="P16" s="69"/>
      <c r="Q16" s="61">
        <f>Q15/Q14</f>
        <v>0</v>
      </c>
    </row>
    <row r="17" spans="1:22" ht="16" x14ac:dyDescent="0.2">
      <c r="A17" s="11"/>
      <c r="B17" s="9"/>
      <c r="C17" s="9">
        <v>91786</v>
      </c>
      <c r="D17" s="9">
        <v>1</v>
      </c>
      <c r="E17" s="9">
        <v>10366859</v>
      </c>
      <c r="F17" s="9" t="s">
        <v>914</v>
      </c>
      <c r="G17" s="9" t="s">
        <v>92</v>
      </c>
      <c r="H17" s="9" t="s">
        <v>92</v>
      </c>
      <c r="I17" s="9" t="s">
        <v>74</v>
      </c>
      <c r="J17" s="9" t="s">
        <v>74</v>
      </c>
      <c r="K17" s="13" t="s">
        <v>74</v>
      </c>
      <c r="M17" s="5" t="s">
        <v>98</v>
      </c>
      <c r="O17" s="76" t="s">
        <v>99</v>
      </c>
      <c r="P17" s="76"/>
      <c r="Q17" s="60">
        <v>49</v>
      </c>
      <c r="S17" t="s">
        <v>930</v>
      </c>
    </row>
    <row r="18" spans="1:22" ht="16" x14ac:dyDescent="0.2">
      <c r="A18" s="12"/>
      <c r="C18" s="4">
        <v>91711</v>
      </c>
      <c r="D18" s="4">
        <v>1</v>
      </c>
      <c r="E18" s="4">
        <v>10042755</v>
      </c>
      <c r="F18" s="4" t="s">
        <v>914</v>
      </c>
      <c r="G18" s="4" t="s">
        <v>92</v>
      </c>
      <c r="H18" s="4" t="s">
        <v>113</v>
      </c>
      <c r="I18" s="4" t="s">
        <v>92</v>
      </c>
      <c r="J18" s="4" t="s">
        <v>113</v>
      </c>
      <c r="K18" s="14" t="s">
        <v>191</v>
      </c>
      <c r="M18" s="5" t="s">
        <v>103</v>
      </c>
      <c r="O18" s="69" t="s">
        <v>104</v>
      </c>
      <c r="P18" s="70"/>
      <c r="Q18" s="4">
        <f>AVERAGE(D2:D422)</f>
        <v>14.179572446555822</v>
      </c>
      <c r="S18" t="s">
        <v>105</v>
      </c>
      <c r="T18">
        <f>(N4*N10+O4*O10+P4*P10+Q4*Q10+R4*R10+T4*T10+V4*V10)*833/421</f>
        <v>46770.674584323038</v>
      </c>
    </row>
    <row r="19" spans="1:22" ht="16" x14ac:dyDescent="0.2">
      <c r="A19" s="12"/>
      <c r="C19" s="4">
        <v>91711</v>
      </c>
      <c r="D19" s="4">
        <v>1</v>
      </c>
      <c r="E19" s="4">
        <v>10348203</v>
      </c>
      <c r="F19" s="4" t="s">
        <v>914</v>
      </c>
      <c r="G19" s="4" t="s">
        <v>933</v>
      </c>
      <c r="H19" s="4" t="s">
        <v>98</v>
      </c>
      <c r="I19" s="4" t="s">
        <v>98</v>
      </c>
      <c r="J19" s="4" t="s">
        <v>933</v>
      </c>
      <c r="K19" s="14" t="s">
        <v>933</v>
      </c>
      <c r="M19" s="5" t="s">
        <v>108</v>
      </c>
      <c r="O19" s="69" t="s">
        <v>109</v>
      </c>
      <c r="P19" s="70"/>
      <c r="Q19" s="4">
        <f>MEDIAN(D2:D422)</f>
        <v>10</v>
      </c>
      <c r="S19" t="s">
        <v>110</v>
      </c>
      <c r="T19">
        <f>T18*49</f>
        <v>2291763.0546318288</v>
      </c>
    </row>
    <row r="20" spans="1:22" ht="16" x14ac:dyDescent="0.2">
      <c r="A20" s="12"/>
      <c r="C20" s="4">
        <v>91711</v>
      </c>
      <c r="D20" s="4">
        <v>1</v>
      </c>
      <c r="E20" s="4">
        <v>10257033</v>
      </c>
      <c r="F20" s="4" t="s">
        <v>914</v>
      </c>
      <c r="G20" s="4" t="s">
        <v>191</v>
      </c>
      <c r="H20" s="4" t="s">
        <v>191</v>
      </c>
      <c r="I20" s="4" t="s">
        <v>191</v>
      </c>
      <c r="J20" s="4" t="s">
        <v>191</v>
      </c>
      <c r="K20" s="14" t="s">
        <v>191</v>
      </c>
      <c r="M20" s="5" t="s">
        <v>113</v>
      </c>
      <c r="O20" s="69" t="s">
        <v>114</v>
      </c>
      <c r="P20" s="70"/>
      <c r="Q20" s="4" t="e">
        <f>SUM(D2:D1000)*(Q14/Q15)</f>
        <v>#DIV/0!</v>
      </c>
      <c r="S20" t="s">
        <v>115</v>
      </c>
      <c r="T20">
        <f>1227.3/(T19)</f>
        <v>5.3552656655300062E-4</v>
      </c>
    </row>
    <row r="21" spans="1:22" ht="16" x14ac:dyDescent="0.2">
      <c r="A21" s="12"/>
      <c r="C21" s="4">
        <v>91711</v>
      </c>
      <c r="D21" s="4">
        <v>1</v>
      </c>
      <c r="E21" s="4">
        <v>10374423</v>
      </c>
      <c r="F21" s="4" t="s">
        <v>914</v>
      </c>
      <c r="G21" s="4" t="s">
        <v>92</v>
      </c>
      <c r="H21" s="4" t="s">
        <v>92</v>
      </c>
      <c r="I21" s="4" t="s">
        <v>92</v>
      </c>
      <c r="J21" s="4" t="s">
        <v>92</v>
      </c>
      <c r="K21" s="14" t="s">
        <v>92</v>
      </c>
      <c r="M21" s="5" t="s">
        <v>118</v>
      </c>
      <c r="O21" s="69" t="s">
        <v>119</v>
      </c>
      <c r="P21" s="70"/>
      <c r="Q21" s="61" t="e">
        <f>COUNTIF(D:D,"&lt;=5")/Q15</f>
        <v>#DIV/0!</v>
      </c>
    </row>
    <row r="22" spans="1:22" ht="16" x14ac:dyDescent="0.2">
      <c r="A22" s="11"/>
      <c r="B22" s="9"/>
      <c r="C22" s="9">
        <v>91786</v>
      </c>
      <c r="D22" s="9">
        <v>1</v>
      </c>
      <c r="E22" s="9">
        <v>10105644</v>
      </c>
      <c r="F22" s="9" t="s">
        <v>914</v>
      </c>
      <c r="G22" s="9" t="s">
        <v>113</v>
      </c>
      <c r="H22" s="9" t="s">
        <v>92</v>
      </c>
      <c r="I22" s="9" t="s">
        <v>92</v>
      </c>
      <c r="J22" s="9" t="s">
        <v>113</v>
      </c>
      <c r="K22" s="13" t="s">
        <v>113</v>
      </c>
      <c r="M22" s="5" t="s">
        <v>125</v>
      </c>
      <c r="T22" t="s">
        <v>126</v>
      </c>
      <c r="U22" t="s">
        <v>127</v>
      </c>
      <c r="V22" t="s">
        <v>128</v>
      </c>
    </row>
    <row r="23" spans="1:22" ht="16" x14ac:dyDescent="0.2">
      <c r="A23" s="12"/>
      <c r="C23" s="4">
        <v>91763</v>
      </c>
      <c r="D23" s="4">
        <v>1</v>
      </c>
      <c r="E23" s="4">
        <v>10042835</v>
      </c>
      <c r="F23" s="4" t="s">
        <v>914</v>
      </c>
      <c r="G23" s="4" t="s">
        <v>113</v>
      </c>
      <c r="H23" s="4" t="s">
        <v>113</v>
      </c>
      <c r="I23" s="4" t="s">
        <v>113</v>
      </c>
      <c r="J23" s="4" t="s">
        <v>113</v>
      </c>
      <c r="K23" s="14" t="s">
        <v>113</v>
      </c>
      <c r="M23" s="5" t="s">
        <v>132</v>
      </c>
      <c r="S23" t="s">
        <v>133</v>
      </c>
      <c r="T23">
        <f>N4*N10</f>
        <v>17788.599999999999</v>
      </c>
      <c r="U23" t="e">
        <f>T23*(833/Q15)</f>
        <v>#DIV/0!</v>
      </c>
      <c r="V23" t="e">
        <f>U23*49</f>
        <v>#DIV/0!</v>
      </c>
    </row>
    <row r="24" spans="1:22" ht="16" x14ac:dyDescent="0.2">
      <c r="A24" s="12"/>
      <c r="C24" s="4">
        <v>91767</v>
      </c>
      <c r="D24" s="4">
        <v>1</v>
      </c>
      <c r="E24" s="4">
        <v>10148493</v>
      </c>
      <c r="F24" s="4" t="s">
        <v>914</v>
      </c>
      <c r="G24" s="4" t="s">
        <v>113</v>
      </c>
      <c r="H24" s="4" t="s">
        <v>113</v>
      </c>
      <c r="I24" s="4" t="s">
        <v>113</v>
      </c>
      <c r="J24" s="4" t="s">
        <v>113</v>
      </c>
      <c r="K24" s="14" t="s">
        <v>113</v>
      </c>
      <c r="M24" s="5" t="s">
        <v>138</v>
      </c>
    </row>
    <row r="25" spans="1:22" ht="16" x14ac:dyDescent="0.2">
      <c r="A25" s="11"/>
      <c r="B25" s="9"/>
      <c r="C25" s="9">
        <v>91711</v>
      </c>
      <c r="D25" s="9">
        <v>1</v>
      </c>
      <c r="E25" s="9">
        <v>10290464</v>
      </c>
      <c r="F25" s="9" t="s">
        <v>914</v>
      </c>
      <c r="G25" s="9" t="s">
        <v>113</v>
      </c>
      <c r="H25" s="9" t="s">
        <v>113</v>
      </c>
      <c r="I25" s="9" t="s">
        <v>113</v>
      </c>
      <c r="J25" s="9" t="s">
        <v>113</v>
      </c>
      <c r="K25" s="13" t="s">
        <v>113</v>
      </c>
      <c r="M25" s="5" t="s">
        <v>142</v>
      </c>
    </row>
    <row r="26" spans="1:22" ht="16" x14ac:dyDescent="0.2">
      <c r="A26" s="12"/>
      <c r="C26" s="4">
        <v>91711</v>
      </c>
      <c r="D26" s="4">
        <v>1</v>
      </c>
      <c r="E26" s="4">
        <v>10364773</v>
      </c>
      <c r="F26" s="4" t="s">
        <v>914</v>
      </c>
      <c r="G26" s="4" t="s">
        <v>933</v>
      </c>
      <c r="H26" s="4" t="s">
        <v>933</v>
      </c>
      <c r="I26" s="4" t="s">
        <v>933</v>
      </c>
      <c r="J26" s="4" t="s">
        <v>933</v>
      </c>
      <c r="K26" s="14" t="s">
        <v>933</v>
      </c>
      <c r="M26" s="5" t="s">
        <v>147</v>
      </c>
    </row>
    <row r="27" spans="1:22" ht="16" x14ac:dyDescent="0.2">
      <c r="A27" s="11"/>
      <c r="B27" s="9"/>
      <c r="C27" s="9">
        <v>91711</v>
      </c>
      <c r="D27" s="9">
        <v>1</v>
      </c>
      <c r="E27" s="9">
        <v>103780071</v>
      </c>
      <c r="F27" s="9" t="s">
        <v>914</v>
      </c>
      <c r="G27" s="9" t="s">
        <v>113</v>
      </c>
      <c r="H27" s="9" t="s">
        <v>113</v>
      </c>
      <c r="I27" s="9" t="s">
        <v>113</v>
      </c>
      <c r="J27" s="9" t="s">
        <v>92</v>
      </c>
      <c r="K27" s="13" t="s">
        <v>92</v>
      </c>
      <c r="M27" s="5" t="s">
        <v>152</v>
      </c>
    </row>
    <row r="28" spans="1:22" ht="16" x14ac:dyDescent="0.2">
      <c r="A28" s="12"/>
      <c r="C28" s="4">
        <v>91711</v>
      </c>
      <c r="D28" s="4">
        <v>1</v>
      </c>
      <c r="E28" s="4">
        <v>10105699</v>
      </c>
      <c r="F28" s="4" t="s">
        <v>914</v>
      </c>
      <c r="G28" s="4" t="s">
        <v>933</v>
      </c>
      <c r="H28" s="4" t="s">
        <v>933</v>
      </c>
      <c r="I28" s="4" t="s">
        <v>103</v>
      </c>
      <c r="J28" s="4" t="s">
        <v>103</v>
      </c>
      <c r="K28" s="14" t="s">
        <v>933</v>
      </c>
      <c r="M28" s="5" t="s">
        <v>154</v>
      </c>
    </row>
    <row r="29" spans="1:22" ht="16" x14ac:dyDescent="0.2">
      <c r="A29" s="11"/>
      <c r="B29" s="9"/>
      <c r="C29" s="9">
        <v>91711</v>
      </c>
      <c r="D29" s="9">
        <v>1</v>
      </c>
      <c r="E29" s="9">
        <v>10368798</v>
      </c>
      <c r="F29" s="9" t="s">
        <v>914</v>
      </c>
      <c r="G29" s="9" t="s">
        <v>113</v>
      </c>
      <c r="H29" s="9" t="s">
        <v>113</v>
      </c>
      <c r="I29" s="9" t="s">
        <v>113</v>
      </c>
      <c r="J29" s="9" t="s">
        <v>113</v>
      </c>
      <c r="K29" s="13" t="s">
        <v>113</v>
      </c>
      <c r="M29" s="5" t="s">
        <v>158</v>
      </c>
    </row>
    <row r="30" spans="1:22" ht="16" x14ac:dyDescent="0.2">
      <c r="A30" s="12"/>
      <c r="C30" s="4">
        <v>91711</v>
      </c>
      <c r="D30" s="4">
        <v>1</v>
      </c>
      <c r="E30" s="4">
        <v>10363207</v>
      </c>
      <c r="F30" s="4" t="s">
        <v>914</v>
      </c>
      <c r="G30" s="4" t="s">
        <v>103</v>
      </c>
      <c r="H30" s="4" t="s">
        <v>92</v>
      </c>
      <c r="I30" s="4" t="s">
        <v>92</v>
      </c>
      <c r="J30" s="4" t="s">
        <v>92</v>
      </c>
      <c r="K30" s="14" t="s">
        <v>92</v>
      </c>
      <c r="M30" s="5" t="s">
        <v>162</v>
      </c>
    </row>
    <row r="31" spans="1:22" ht="16" x14ac:dyDescent="0.2">
      <c r="A31" s="12"/>
      <c r="C31" s="4">
        <v>91711</v>
      </c>
      <c r="D31" s="4">
        <v>1</v>
      </c>
      <c r="E31" s="4">
        <v>100132351</v>
      </c>
      <c r="F31" s="4" t="s">
        <v>919</v>
      </c>
      <c r="G31" s="4" t="s">
        <v>202</v>
      </c>
      <c r="H31" s="4" t="s">
        <v>202</v>
      </c>
      <c r="I31" s="4" t="s">
        <v>202</v>
      </c>
      <c r="J31" s="4" t="s">
        <v>202</v>
      </c>
      <c r="K31" s="14" t="s">
        <v>202</v>
      </c>
      <c r="M31" s="5" t="s">
        <v>165</v>
      </c>
    </row>
    <row r="32" spans="1:22" ht="16" x14ac:dyDescent="0.2">
      <c r="A32" s="12"/>
      <c r="C32" s="4">
        <v>91763</v>
      </c>
      <c r="D32" s="4">
        <v>1</v>
      </c>
      <c r="E32" s="4">
        <v>10043602</v>
      </c>
      <c r="F32" s="4" t="s">
        <v>914</v>
      </c>
      <c r="G32" s="4" t="s">
        <v>92</v>
      </c>
      <c r="H32" s="4" t="s">
        <v>92</v>
      </c>
      <c r="I32" s="4" t="s">
        <v>92</v>
      </c>
      <c r="J32" s="4" t="s">
        <v>92</v>
      </c>
      <c r="K32" s="14" t="s">
        <v>92</v>
      </c>
      <c r="M32" s="5" t="s">
        <v>167</v>
      </c>
    </row>
    <row r="33" spans="1:13" ht="16" x14ac:dyDescent="0.2">
      <c r="A33" s="12"/>
      <c r="C33" s="4">
        <v>91786</v>
      </c>
      <c r="D33" s="4">
        <v>1</v>
      </c>
      <c r="E33" s="4">
        <v>103731181</v>
      </c>
      <c r="F33" s="4" t="s">
        <v>914</v>
      </c>
      <c r="G33" s="4" t="s">
        <v>98</v>
      </c>
      <c r="H33" s="4" t="s">
        <v>92</v>
      </c>
      <c r="I33" s="4" t="s">
        <v>98</v>
      </c>
      <c r="J33" s="4" t="s">
        <v>191</v>
      </c>
      <c r="K33" s="14" t="s">
        <v>191</v>
      </c>
      <c r="M33" s="5" t="s">
        <v>169</v>
      </c>
    </row>
    <row r="34" spans="1:13" ht="16" x14ac:dyDescent="0.2">
      <c r="A34" s="11"/>
      <c r="B34" s="9"/>
      <c r="C34" s="9">
        <v>91711</v>
      </c>
      <c r="D34" s="9">
        <v>1</v>
      </c>
      <c r="E34" s="9">
        <v>10355937</v>
      </c>
      <c r="F34" s="9" t="s">
        <v>914</v>
      </c>
      <c r="G34" s="9" t="s">
        <v>92</v>
      </c>
      <c r="H34" s="9" t="s">
        <v>92</v>
      </c>
      <c r="I34" s="9" t="s">
        <v>98</v>
      </c>
      <c r="J34" s="9" t="s">
        <v>98</v>
      </c>
      <c r="K34" s="13" t="s">
        <v>92</v>
      </c>
      <c r="M34" s="5" t="s">
        <v>174</v>
      </c>
    </row>
    <row r="35" spans="1:13" ht="16" x14ac:dyDescent="0.2">
      <c r="A35" s="11"/>
      <c r="B35" s="9"/>
      <c r="C35" s="9">
        <v>91711</v>
      </c>
      <c r="D35" s="9">
        <v>1</v>
      </c>
      <c r="E35" s="9">
        <v>100436878</v>
      </c>
      <c r="F35" s="9" t="s">
        <v>914</v>
      </c>
      <c r="G35" s="9" t="s">
        <v>92</v>
      </c>
      <c r="H35" s="9" t="s">
        <v>103</v>
      </c>
      <c r="I35" s="9" t="s">
        <v>92</v>
      </c>
      <c r="J35" s="9" t="s">
        <v>92</v>
      </c>
      <c r="K35" s="13" t="s">
        <v>103</v>
      </c>
      <c r="M35" s="5" t="s">
        <v>176</v>
      </c>
    </row>
    <row r="36" spans="1:13" ht="16" x14ac:dyDescent="0.2">
      <c r="A36" s="12"/>
      <c r="C36" s="4">
        <v>91786</v>
      </c>
      <c r="D36" s="4">
        <v>1</v>
      </c>
      <c r="E36" s="4">
        <v>103582192</v>
      </c>
      <c r="F36" s="4" t="s">
        <v>914</v>
      </c>
      <c r="G36" s="4" t="s">
        <v>74</v>
      </c>
      <c r="H36" s="4" t="s">
        <v>74</v>
      </c>
      <c r="I36" s="4" t="s">
        <v>74</v>
      </c>
      <c r="J36" s="4" t="s">
        <v>74</v>
      </c>
      <c r="K36" s="14" t="s">
        <v>74</v>
      </c>
      <c r="M36" s="5" t="s">
        <v>179</v>
      </c>
    </row>
    <row r="37" spans="1:13" ht="16" x14ac:dyDescent="0.2">
      <c r="A37" s="11"/>
      <c r="B37" s="9"/>
      <c r="C37" s="9">
        <v>91711</v>
      </c>
      <c r="D37" s="9">
        <v>1</v>
      </c>
      <c r="E37" s="9">
        <v>103702131</v>
      </c>
      <c r="F37" s="9" t="s">
        <v>914</v>
      </c>
      <c r="G37" s="9" t="s">
        <v>113</v>
      </c>
      <c r="H37" s="9" t="s">
        <v>191</v>
      </c>
      <c r="I37" s="9" t="s">
        <v>191</v>
      </c>
      <c r="J37" s="9" t="s">
        <v>191</v>
      </c>
      <c r="K37" s="13" t="s">
        <v>191</v>
      </c>
      <c r="M37" s="5" t="s">
        <v>183</v>
      </c>
    </row>
    <row r="38" spans="1:13" ht="16" x14ac:dyDescent="0.2">
      <c r="A38" s="11"/>
      <c r="B38" s="9"/>
      <c r="C38" s="9">
        <v>91711</v>
      </c>
      <c r="D38" s="9">
        <v>1</v>
      </c>
      <c r="E38" s="9">
        <v>10042947</v>
      </c>
      <c r="F38" s="9" t="s">
        <v>914</v>
      </c>
      <c r="G38" s="9" t="s">
        <v>113</v>
      </c>
      <c r="H38" s="9" t="s">
        <v>113</v>
      </c>
      <c r="I38" s="9" t="s">
        <v>113</v>
      </c>
      <c r="J38" s="9" t="s">
        <v>113</v>
      </c>
      <c r="K38" s="13" t="s">
        <v>113</v>
      </c>
      <c r="M38" s="5" t="s">
        <v>187</v>
      </c>
    </row>
    <row r="39" spans="1:13" ht="16" x14ac:dyDescent="0.2">
      <c r="A39" s="12"/>
      <c r="C39" s="4">
        <v>91763</v>
      </c>
      <c r="D39" s="4">
        <v>1</v>
      </c>
      <c r="E39" s="4">
        <v>10042609</v>
      </c>
      <c r="F39" s="4" t="s">
        <v>914</v>
      </c>
      <c r="G39" s="4" t="s">
        <v>113</v>
      </c>
      <c r="H39" s="4" t="s">
        <v>113</v>
      </c>
      <c r="I39" s="4" t="s">
        <v>113</v>
      </c>
      <c r="J39" s="4" t="s">
        <v>113</v>
      </c>
      <c r="K39" s="14" t="s">
        <v>113</v>
      </c>
      <c r="M39" s="5" t="s">
        <v>191</v>
      </c>
    </row>
    <row r="40" spans="1:13" ht="16" x14ac:dyDescent="0.2">
      <c r="A40" s="12"/>
      <c r="C40" s="4">
        <v>91750</v>
      </c>
      <c r="D40" s="4">
        <v>1</v>
      </c>
      <c r="E40" s="4">
        <v>10370581</v>
      </c>
      <c r="F40" s="4" t="s">
        <v>914</v>
      </c>
      <c r="G40" s="4" t="s">
        <v>113</v>
      </c>
      <c r="H40" s="4" t="s">
        <v>113</v>
      </c>
      <c r="I40" s="4" t="s">
        <v>113</v>
      </c>
      <c r="J40" s="4" t="s">
        <v>113</v>
      </c>
      <c r="K40" s="14" t="s">
        <v>113</v>
      </c>
      <c r="M40" s="5" t="s">
        <v>195</v>
      </c>
    </row>
    <row r="41" spans="1:13" ht="16" x14ac:dyDescent="0.2">
      <c r="A41" s="12"/>
      <c r="C41" s="4">
        <v>91711</v>
      </c>
      <c r="D41" s="4">
        <v>1</v>
      </c>
      <c r="E41" s="4">
        <v>10351831</v>
      </c>
      <c r="F41" s="4" t="s">
        <v>914</v>
      </c>
      <c r="G41" s="4" t="s">
        <v>98</v>
      </c>
      <c r="H41" s="4" t="s">
        <v>98</v>
      </c>
      <c r="I41" s="4" t="s">
        <v>98</v>
      </c>
      <c r="J41" s="4" t="s">
        <v>98</v>
      </c>
      <c r="K41" s="14" t="s">
        <v>98</v>
      </c>
      <c r="M41" s="5" t="s">
        <v>199</v>
      </c>
    </row>
    <row r="42" spans="1:13" ht="16" x14ac:dyDescent="0.2">
      <c r="A42" s="12"/>
      <c r="C42" s="4">
        <v>91711</v>
      </c>
      <c r="D42" s="4">
        <v>1.2</v>
      </c>
      <c r="E42" s="4">
        <v>100067671</v>
      </c>
      <c r="F42" s="4" t="s">
        <v>914</v>
      </c>
      <c r="G42" s="4" t="s">
        <v>92</v>
      </c>
      <c r="H42" s="4" t="s">
        <v>92</v>
      </c>
      <c r="I42" s="4" t="s">
        <v>92</v>
      </c>
      <c r="J42" s="4" t="s">
        <v>92</v>
      </c>
      <c r="K42" s="14" t="s">
        <v>92</v>
      </c>
      <c r="M42" s="6" t="s">
        <v>202</v>
      </c>
    </row>
    <row r="43" spans="1:13" x14ac:dyDescent="0.2">
      <c r="A43" s="12"/>
      <c r="C43" s="4">
        <v>91711</v>
      </c>
      <c r="D43" s="4">
        <v>1.2</v>
      </c>
      <c r="E43" s="4">
        <v>119251</v>
      </c>
      <c r="F43" s="4" t="s">
        <v>914</v>
      </c>
      <c r="G43" s="4" t="s">
        <v>92</v>
      </c>
      <c r="H43" s="4" t="s">
        <v>92</v>
      </c>
      <c r="I43" s="4" t="s">
        <v>113</v>
      </c>
      <c r="J43" s="4" t="s">
        <v>103</v>
      </c>
      <c r="K43" s="14" t="s">
        <v>103</v>
      </c>
    </row>
    <row r="44" spans="1:13" x14ac:dyDescent="0.2">
      <c r="A44" s="12"/>
      <c r="C44" s="4">
        <v>91711</v>
      </c>
      <c r="D44" s="4">
        <v>1.2</v>
      </c>
      <c r="E44" s="4">
        <v>103664621</v>
      </c>
      <c r="F44" s="4" t="s">
        <v>919</v>
      </c>
      <c r="G44" s="4" t="s">
        <v>113</v>
      </c>
      <c r="H44" s="4" t="s">
        <v>113</v>
      </c>
      <c r="I44" s="4" t="s">
        <v>113</v>
      </c>
      <c r="J44" s="4" t="s">
        <v>113</v>
      </c>
      <c r="K44" s="14" t="s">
        <v>113</v>
      </c>
    </row>
    <row r="45" spans="1:13" x14ac:dyDescent="0.2">
      <c r="A45" s="12"/>
      <c r="C45" s="4">
        <v>91711</v>
      </c>
      <c r="D45" s="4">
        <v>1.25</v>
      </c>
      <c r="E45" s="4">
        <v>10109674</v>
      </c>
      <c r="F45" s="4" t="s">
        <v>914</v>
      </c>
      <c r="G45" s="4" t="s">
        <v>113</v>
      </c>
      <c r="H45" s="4" t="s">
        <v>98</v>
      </c>
      <c r="I45" s="4" t="s">
        <v>113</v>
      </c>
      <c r="J45" s="4" t="s">
        <v>92</v>
      </c>
      <c r="K45" s="14" t="s">
        <v>92</v>
      </c>
    </row>
    <row r="46" spans="1:13" x14ac:dyDescent="0.2">
      <c r="A46" s="11"/>
      <c r="B46" s="9"/>
      <c r="C46" s="9">
        <v>91711</v>
      </c>
      <c r="D46" s="9">
        <v>1.5</v>
      </c>
      <c r="E46" s="9">
        <v>102039821</v>
      </c>
      <c r="F46" s="9" t="s">
        <v>914</v>
      </c>
      <c r="G46" s="9" t="s">
        <v>92</v>
      </c>
      <c r="H46" s="9" t="s">
        <v>113</v>
      </c>
      <c r="I46" s="9" t="s">
        <v>92</v>
      </c>
      <c r="J46" s="9" t="s">
        <v>113</v>
      </c>
      <c r="K46" s="13" t="s">
        <v>113</v>
      </c>
    </row>
    <row r="47" spans="1:13" x14ac:dyDescent="0.2">
      <c r="A47" s="12"/>
      <c r="C47" s="4">
        <v>91711</v>
      </c>
      <c r="D47" s="4">
        <v>1.5</v>
      </c>
      <c r="E47" s="4">
        <v>100132311</v>
      </c>
      <c r="F47" s="4" t="s">
        <v>914</v>
      </c>
      <c r="G47" s="4" t="s">
        <v>98</v>
      </c>
      <c r="H47" s="4" t="s">
        <v>98</v>
      </c>
      <c r="I47" s="4" t="s">
        <v>98</v>
      </c>
      <c r="J47" s="4" t="s">
        <v>98</v>
      </c>
      <c r="K47" s="14" t="s">
        <v>933</v>
      </c>
    </row>
    <row r="48" spans="1:13" x14ac:dyDescent="0.2">
      <c r="A48" s="11"/>
      <c r="B48" s="9"/>
      <c r="C48" s="9">
        <v>91711</v>
      </c>
      <c r="D48" s="9">
        <v>1.5</v>
      </c>
      <c r="E48" s="9">
        <v>10358850</v>
      </c>
      <c r="F48" s="9" t="s">
        <v>914</v>
      </c>
      <c r="G48" s="9" t="s">
        <v>98</v>
      </c>
      <c r="H48" s="9" t="s">
        <v>98</v>
      </c>
      <c r="I48" s="9" t="s">
        <v>98</v>
      </c>
      <c r="J48" s="9" t="s">
        <v>98</v>
      </c>
      <c r="K48" s="13" t="s">
        <v>98</v>
      </c>
    </row>
    <row r="49" spans="1:11" x14ac:dyDescent="0.2">
      <c r="A49" s="11"/>
      <c r="B49" s="9"/>
      <c r="C49" s="9">
        <v>91711</v>
      </c>
      <c r="D49" s="9">
        <v>1.5</v>
      </c>
      <c r="E49" s="9">
        <v>10031840</v>
      </c>
      <c r="F49" s="9" t="s">
        <v>914</v>
      </c>
      <c r="G49" s="9" t="s">
        <v>113</v>
      </c>
      <c r="H49" s="9" t="s">
        <v>113</v>
      </c>
      <c r="I49" s="9" t="s">
        <v>113</v>
      </c>
      <c r="J49" s="9" t="s">
        <v>113</v>
      </c>
      <c r="K49" s="13" t="s">
        <v>113</v>
      </c>
    </row>
    <row r="50" spans="1:11" x14ac:dyDescent="0.2">
      <c r="A50" s="12"/>
      <c r="C50" s="4">
        <v>91711</v>
      </c>
      <c r="D50" s="4">
        <v>1.5</v>
      </c>
      <c r="E50" s="4">
        <v>102563492</v>
      </c>
      <c r="F50" s="4" t="s">
        <v>914</v>
      </c>
      <c r="G50" s="4" t="s">
        <v>113</v>
      </c>
      <c r="H50" s="4" t="s">
        <v>113</v>
      </c>
      <c r="I50" s="4" t="s">
        <v>113</v>
      </c>
      <c r="J50" s="4" t="s">
        <v>113</v>
      </c>
      <c r="K50" s="14" t="s">
        <v>113</v>
      </c>
    </row>
    <row r="51" spans="1:11" x14ac:dyDescent="0.2">
      <c r="A51" s="12"/>
      <c r="C51" s="4">
        <v>91763</v>
      </c>
      <c r="D51" s="4">
        <v>1.5</v>
      </c>
      <c r="E51" s="4">
        <v>10285299</v>
      </c>
      <c r="F51" s="4" t="s">
        <v>914</v>
      </c>
      <c r="G51" s="4" t="s">
        <v>113</v>
      </c>
      <c r="H51" s="4" t="s">
        <v>113</v>
      </c>
      <c r="I51" s="4" t="s">
        <v>113</v>
      </c>
      <c r="J51" s="4" t="s">
        <v>113</v>
      </c>
      <c r="K51" s="14" t="s">
        <v>113</v>
      </c>
    </row>
    <row r="52" spans="1:11" x14ac:dyDescent="0.2">
      <c r="A52" s="12"/>
      <c r="C52" s="4">
        <v>91786</v>
      </c>
      <c r="D52" s="4">
        <v>1.5</v>
      </c>
      <c r="E52" s="4">
        <v>10358577</v>
      </c>
      <c r="F52" s="4" t="s">
        <v>919</v>
      </c>
      <c r="G52" s="4" t="s">
        <v>92</v>
      </c>
      <c r="H52" s="4" t="s">
        <v>92</v>
      </c>
      <c r="I52" s="4" t="s">
        <v>92</v>
      </c>
      <c r="J52" s="4" t="s">
        <v>92</v>
      </c>
      <c r="K52" s="14" t="s">
        <v>92</v>
      </c>
    </row>
    <row r="53" spans="1:11" x14ac:dyDescent="0.2">
      <c r="A53" s="11"/>
      <c r="B53" s="9"/>
      <c r="C53" s="9">
        <v>91711</v>
      </c>
      <c r="D53" s="9">
        <v>1.6</v>
      </c>
      <c r="E53" s="9">
        <v>10357480</v>
      </c>
      <c r="F53" s="9" t="s">
        <v>919</v>
      </c>
      <c r="G53" s="9" t="s">
        <v>113</v>
      </c>
      <c r="H53" s="9" t="s">
        <v>113</v>
      </c>
      <c r="I53" s="9" t="s">
        <v>113</v>
      </c>
      <c r="J53" s="9" t="s">
        <v>113</v>
      </c>
      <c r="K53" s="13" t="s">
        <v>113</v>
      </c>
    </row>
    <row r="54" spans="1:11" x14ac:dyDescent="0.2">
      <c r="A54" s="11"/>
      <c r="B54" s="9"/>
      <c r="C54" s="9">
        <v>91767</v>
      </c>
      <c r="D54" s="9">
        <v>2</v>
      </c>
      <c r="E54" s="9">
        <v>10345269</v>
      </c>
      <c r="F54" s="9" t="s">
        <v>914</v>
      </c>
      <c r="G54" s="9" t="s">
        <v>113</v>
      </c>
      <c r="H54" s="9" t="s">
        <v>113</v>
      </c>
      <c r="I54" s="9" t="s">
        <v>113</v>
      </c>
      <c r="J54" s="9" t="s">
        <v>113</v>
      </c>
      <c r="K54" s="13" t="s">
        <v>113</v>
      </c>
    </row>
    <row r="55" spans="1:11" x14ac:dyDescent="0.2">
      <c r="A55" s="11"/>
      <c r="B55" s="9"/>
      <c r="C55" s="9">
        <v>91711</v>
      </c>
      <c r="D55" s="9">
        <v>2</v>
      </c>
      <c r="E55" s="9">
        <v>10044199</v>
      </c>
      <c r="F55" s="9" t="s">
        <v>914</v>
      </c>
      <c r="G55" s="9" t="s">
        <v>98</v>
      </c>
      <c r="H55" s="9" t="s">
        <v>98</v>
      </c>
      <c r="I55" s="9" t="s">
        <v>98</v>
      </c>
      <c r="J55" s="9" t="s">
        <v>113</v>
      </c>
      <c r="K55" s="13" t="s">
        <v>202</v>
      </c>
    </row>
    <row r="56" spans="1:11" x14ac:dyDescent="0.2">
      <c r="A56" s="11"/>
      <c r="B56" s="9"/>
      <c r="C56" s="9">
        <v>91711</v>
      </c>
      <c r="D56" s="9">
        <v>2</v>
      </c>
      <c r="E56" s="9">
        <v>103706336</v>
      </c>
      <c r="F56" s="9" t="s">
        <v>919</v>
      </c>
      <c r="G56" s="9" t="s">
        <v>113</v>
      </c>
      <c r="H56" s="9" t="s">
        <v>113</v>
      </c>
      <c r="I56" s="9" t="s">
        <v>113</v>
      </c>
      <c r="J56" s="9" t="s">
        <v>113</v>
      </c>
      <c r="K56" s="13" t="s">
        <v>113</v>
      </c>
    </row>
    <row r="57" spans="1:11" x14ac:dyDescent="0.2">
      <c r="A57" s="12"/>
      <c r="C57" s="4">
        <v>91763</v>
      </c>
      <c r="D57" s="4">
        <v>2</v>
      </c>
      <c r="E57" s="4">
        <v>10373435</v>
      </c>
      <c r="F57" s="4" t="s">
        <v>919</v>
      </c>
      <c r="G57" s="4" t="s">
        <v>933</v>
      </c>
      <c r="H57" s="4" t="s">
        <v>933</v>
      </c>
      <c r="I57" s="4" t="s">
        <v>933</v>
      </c>
      <c r="J57" s="4" t="s">
        <v>933</v>
      </c>
      <c r="K57" s="14" t="s">
        <v>933</v>
      </c>
    </row>
    <row r="58" spans="1:11" x14ac:dyDescent="0.2">
      <c r="A58" s="12"/>
      <c r="C58" s="4">
        <v>91763</v>
      </c>
      <c r="D58" s="4">
        <v>2</v>
      </c>
      <c r="E58" s="4">
        <v>10362526</v>
      </c>
      <c r="F58" s="4" t="s">
        <v>914</v>
      </c>
      <c r="G58" s="4" t="s">
        <v>113</v>
      </c>
      <c r="H58" s="4" t="s">
        <v>113</v>
      </c>
      <c r="I58" s="4" t="s">
        <v>113</v>
      </c>
      <c r="J58" s="4" t="s">
        <v>113</v>
      </c>
      <c r="K58" s="14" t="s">
        <v>113</v>
      </c>
    </row>
    <row r="59" spans="1:11" x14ac:dyDescent="0.2">
      <c r="A59" s="11"/>
      <c r="B59" s="9"/>
      <c r="C59" s="9">
        <v>91711</v>
      </c>
      <c r="D59" s="9">
        <v>2</v>
      </c>
      <c r="E59" s="9">
        <v>10358014</v>
      </c>
      <c r="F59" s="9" t="s">
        <v>914</v>
      </c>
      <c r="G59" s="9" t="s">
        <v>113</v>
      </c>
      <c r="H59" s="9" t="s">
        <v>113</v>
      </c>
      <c r="I59" s="9" t="s">
        <v>113</v>
      </c>
      <c r="J59" s="9" t="s">
        <v>191</v>
      </c>
      <c r="K59" s="13" t="s">
        <v>191</v>
      </c>
    </row>
    <row r="60" spans="1:11" x14ac:dyDescent="0.2">
      <c r="A60" s="11"/>
      <c r="B60" s="9"/>
      <c r="C60" s="9">
        <v>91711</v>
      </c>
      <c r="D60" s="9">
        <v>2</v>
      </c>
      <c r="E60" s="9">
        <v>118949</v>
      </c>
      <c r="F60" s="9" t="s">
        <v>914</v>
      </c>
      <c r="G60" s="9" t="s">
        <v>113</v>
      </c>
      <c r="H60" s="9" t="s">
        <v>113</v>
      </c>
      <c r="I60" s="9" t="s">
        <v>113</v>
      </c>
      <c r="J60" s="9" t="s">
        <v>113</v>
      </c>
      <c r="K60" s="13" t="s">
        <v>113</v>
      </c>
    </row>
    <row r="61" spans="1:11" x14ac:dyDescent="0.2">
      <c r="A61" s="12"/>
      <c r="C61" s="4">
        <v>91786</v>
      </c>
      <c r="D61" s="4">
        <v>2</v>
      </c>
      <c r="E61" s="4">
        <v>10370979</v>
      </c>
      <c r="F61" s="4" t="s">
        <v>914</v>
      </c>
      <c r="G61" s="4" t="s">
        <v>113</v>
      </c>
      <c r="H61" s="4" t="s">
        <v>103</v>
      </c>
      <c r="I61" s="4" t="s">
        <v>113</v>
      </c>
      <c r="J61" s="4" t="s">
        <v>113</v>
      </c>
      <c r="K61" s="14" t="s">
        <v>103</v>
      </c>
    </row>
    <row r="62" spans="1:11" x14ac:dyDescent="0.2">
      <c r="A62" s="11"/>
      <c r="B62" s="9"/>
      <c r="C62" s="9">
        <v>91763</v>
      </c>
      <c r="D62" s="9">
        <v>2</v>
      </c>
      <c r="E62" s="9">
        <v>10368483</v>
      </c>
      <c r="F62" s="9" t="s">
        <v>914</v>
      </c>
      <c r="G62" s="9" t="s">
        <v>113</v>
      </c>
      <c r="H62" s="9" t="s">
        <v>113</v>
      </c>
      <c r="I62" s="9" t="s">
        <v>74</v>
      </c>
      <c r="J62" s="9" t="s">
        <v>113</v>
      </c>
      <c r="K62" s="13" t="s">
        <v>74</v>
      </c>
    </row>
    <row r="63" spans="1:11" x14ac:dyDescent="0.2">
      <c r="A63" s="11"/>
      <c r="B63" s="9"/>
      <c r="C63" s="9">
        <v>91786</v>
      </c>
      <c r="D63" s="9">
        <v>2</v>
      </c>
      <c r="E63" s="9">
        <v>10043620</v>
      </c>
      <c r="F63" s="9" t="s">
        <v>914</v>
      </c>
      <c r="G63" s="9" t="s">
        <v>113</v>
      </c>
      <c r="H63" s="9" t="s">
        <v>113</v>
      </c>
      <c r="I63" s="9" t="s">
        <v>113</v>
      </c>
      <c r="J63" s="9" t="s">
        <v>113</v>
      </c>
      <c r="K63" s="13" t="s">
        <v>113</v>
      </c>
    </row>
    <row r="64" spans="1:11" x14ac:dyDescent="0.2">
      <c r="A64" s="11"/>
      <c r="B64" s="9"/>
      <c r="C64" s="9">
        <v>91711</v>
      </c>
      <c r="D64" s="9">
        <v>2</v>
      </c>
      <c r="E64" s="9">
        <v>10368863</v>
      </c>
      <c r="F64" s="9" t="s">
        <v>914</v>
      </c>
      <c r="G64" s="9" t="s">
        <v>108</v>
      </c>
      <c r="H64" s="9" t="s">
        <v>108</v>
      </c>
      <c r="I64" s="9" t="s">
        <v>202</v>
      </c>
      <c r="J64" s="9" t="s">
        <v>202</v>
      </c>
      <c r="K64" s="13" t="s">
        <v>108</v>
      </c>
    </row>
    <row r="65" spans="1:11" x14ac:dyDescent="0.2">
      <c r="A65" s="12"/>
      <c r="C65" s="4">
        <v>91786</v>
      </c>
      <c r="D65" s="4">
        <v>2</v>
      </c>
      <c r="E65" s="4">
        <v>10043601</v>
      </c>
      <c r="F65" s="4" t="s">
        <v>914</v>
      </c>
      <c r="G65" s="4" t="s">
        <v>113</v>
      </c>
      <c r="H65" s="4" t="s">
        <v>113</v>
      </c>
      <c r="I65" s="4" t="s">
        <v>113</v>
      </c>
      <c r="J65" s="4" t="s">
        <v>113</v>
      </c>
      <c r="K65" s="14" t="s">
        <v>113</v>
      </c>
    </row>
    <row r="66" spans="1:11" x14ac:dyDescent="0.2">
      <c r="A66" s="12"/>
      <c r="C66" s="4">
        <v>91711</v>
      </c>
      <c r="D66" s="4">
        <v>2</v>
      </c>
      <c r="E66" s="4">
        <v>100184</v>
      </c>
      <c r="F66" s="4" t="s">
        <v>914</v>
      </c>
      <c r="G66" s="4" t="s">
        <v>195</v>
      </c>
      <c r="H66" s="4" t="s">
        <v>113</v>
      </c>
      <c r="I66" s="4" t="s">
        <v>113</v>
      </c>
      <c r="J66" s="4" t="s">
        <v>113</v>
      </c>
      <c r="K66" s="14" t="s">
        <v>113</v>
      </c>
    </row>
    <row r="67" spans="1:11" x14ac:dyDescent="0.2">
      <c r="A67" s="12"/>
      <c r="C67" s="4">
        <v>91786</v>
      </c>
      <c r="D67" s="4">
        <v>2</v>
      </c>
      <c r="E67" s="4">
        <v>10372340</v>
      </c>
      <c r="F67" s="4" t="s">
        <v>914</v>
      </c>
      <c r="G67" s="4" t="s">
        <v>113</v>
      </c>
      <c r="H67" s="4" t="s">
        <v>113</v>
      </c>
      <c r="I67" s="4" t="s">
        <v>113</v>
      </c>
      <c r="J67" s="4" t="s">
        <v>113</v>
      </c>
      <c r="K67" s="14" t="s">
        <v>113</v>
      </c>
    </row>
    <row r="68" spans="1:11" x14ac:dyDescent="0.2">
      <c r="A68" s="12"/>
      <c r="C68" s="4">
        <v>91767</v>
      </c>
      <c r="D68" s="4">
        <v>2</v>
      </c>
      <c r="E68" s="4">
        <v>102053094</v>
      </c>
      <c r="F68" s="4" t="s">
        <v>914</v>
      </c>
      <c r="G68" s="4" t="s">
        <v>113</v>
      </c>
      <c r="H68" s="4" t="s">
        <v>113</v>
      </c>
      <c r="I68" s="4" t="s">
        <v>113</v>
      </c>
      <c r="J68" s="4" t="s">
        <v>113</v>
      </c>
      <c r="K68" s="14" t="s">
        <v>113</v>
      </c>
    </row>
    <row r="69" spans="1:11" x14ac:dyDescent="0.2">
      <c r="A69" s="11"/>
      <c r="B69" s="9"/>
      <c r="C69" s="9">
        <v>91711</v>
      </c>
      <c r="D69" s="9">
        <v>2</v>
      </c>
      <c r="E69" s="9">
        <v>103580664</v>
      </c>
      <c r="F69" s="9" t="s">
        <v>914</v>
      </c>
      <c r="G69" s="9" t="s">
        <v>113</v>
      </c>
      <c r="H69" s="9" t="s">
        <v>113</v>
      </c>
      <c r="I69" s="9" t="s">
        <v>113</v>
      </c>
      <c r="J69" s="9" t="s">
        <v>113</v>
      </c>
      <c r="K69" s="13" t="s">
        <v>183</v>
      </c>
    </row>
    <row r="70" spans="1:11" x14ac:dyDescent="0.2">
      <c r="A70" s="12"/>
      <c r="C70" s="4">
        <v>91767</v>
      </c>
      <c r="D70" s="4">
        <v>2.1</v>
      </c>
      <c r="E70" s="4">
        <v>10370542</v>
      </c>
      <c r="F70" s="4" t="s">
        <v>914</v>
      </c>
      <c r="G70" s="4" t="s">
        <v>195</v>
      </c>
      <c r="H70" s="4" t="s">
        <v>933</v>
      </c>
      <c r="I70" s="4" t="s">
        <v>933</v>
      </c>
      <c r="J70" s="4" t="s">
        <v>191</v>
      </c>
      <c r="K70" s="14" t="s">
        <v>933</v>
      </c>
    </row>
    <row r="71" spans="1:11" x14ac:dyDescent="0.2">
      <c r="A71" s="11"/>
      <c r="B71" s="9"/>
      <c r="C71" s="9">
        <v>91786</v>
      </c>
      <c r="D71" s="9">
        <v>2.2000000000000002</v>
      </c>
      <c r="E71" s="9">
        <v>103731316</v>
      </c>
      <c r="F71" s="9" t="s">
        <v>914</v>
      </c>
      <c r="G71" s="9" t="s">
        <v>103</v>
      </c>
      <c r="H71" s="9" t="s">
        <v>113</v>
      </c>
      <c r="I71" s="9" t="s">
        <v>113</v>
      </c>
      <c r="J71" s="9" t="s">
        <v>113</v>
      </c>
      <c r="K71" s="13" t="s">
        <v>103</v>
      </c>
    </row>
    <row r="72" spans="1:11" x14ac:dyDescent="0.2">
      <c r="A72" s="12"/>
      <c r="C72" s="4">
        <v>91711</v>
      </c>
      <c r="D72" s="4">
        <v>2.5</v>
      </c>
      <c r="E72" s="4">
        <v>10020070</v>
      </c>
      <c r="F72" s="4" t="s">
        <v>914</v>
      </c>
      <c r="G72" s="4" t="s">
        <v>191</v>
      </c>
      <c r="H72" s="4" t="s">
        <v>191</v>
      </c>
      <c r="I72" s="4" t="s">
        <v>191</v>
      </c>
      <c r="J72" s="4" t="s">
        <v>191</v>
      </c>
      <c r="K72" s="14" t="s">
        <v>191</v>
      </c>
    </row>
    <row r="73" spans="1:11" x14ac:dyDescent="0.2">
      <c r="A73" s="11"/>
      <c r="B73" s="9"/>
      <c r="C73" s="9">
        <v>91763</v>
      </c>
      <c r="D73" s="9">
        <v>2.5</v>
      </c>
      <c r="E73" s="9">
        <v>100913353</v>
      </c>
      <c r="F73" s="9" t="s">
        <v>914</v>
      </c>
      <c r="G73" s="9" t="s">
        <v>933</v>
      </c>
      <c r="H73" s="9" t="s">
        <v>933</v>
      </c>
      <c r="I73" s="9" t="s">
        <v>933</v>
      </c>
      <c r="J73" s="9" t="s">
        <v>933</v>
      </c>
      <c r="K73" s="13" t="s">
        <v>202</v>
      </c>
    </row>
    <row r="74" spans="1:11" x14ac:dyDescent="0.2">
      <c r="A74" s="11"/>
      <c r="B74" s="9"/>
      <c r="C74" s="9">
        <v>91711</v>
      </c>
      <c r="D74" s="9">
        <v>2.5</v>
      </c>
      <c r="E74" s="9">
        <v>10362859</v>
      </c>
      <c r="F74" s="9" t="s">
        <v>914</v>
      </c>
      <c r="G74" s="9" t="s">
        <v>113</v>
      </c>
      <c r="H74" s="9" t="s">
        <v>113</v>
      </c>
      <c r="I74" s="9" t="s">
        <v>113</v>
      </c>
      <c r="J74" s="9" t="s">
        <v>113</v>
      </c>
      <c r="K74" s="13" t="s">
        <v>113</v>
      </c>
    </row>
    <row r="75" spans="1:11" x14ac:dyDescent="0.2">
      <c r="A75" s="12"/>
      <c r="C75" s="4">
        <v>91711</v>
      </c>
      <c r="D75" s="4">
        <v>2.5</v>
      </c>
      <c r="E75" s="4">
        <v>10363007</v>
      </c>
      <c r="F75" s="4" t="s">
        <v>914</v>
      </c>
      <c r="G75" s="4" t="s">
        <v>113</v>
      </c>
      <c r="H75" s="4" t="s">
        <v>113</v>
      </c>
      <c r="I75" s="4" t="s">
        <v>113</v>
      </c>
      <c r="J75" s="4" t="s">
        <v>113</v>
      </c>
      <c r="K75" s="14" t="s">
        <v>113</v>
      </c>
    </row>
    <row r="76" spans="1:11" x14ac:dyDescent="0.2">
      <c r="A76" s="11"/>
      <c r="B76" s="9"/>
      <c r="C76" s="9">
        <v>91767</v>
      </c>
      <c r="D76" s="9">
        <v>2.5</v>
      </c>
      <c r="E76" s="9">
        <v>1037048011</v>
      </c>
      <c r="F76" s="9" t="s">
        <v>914</v>
      </c>
      <c r="G76" s="9" t="s">
        <v>113</v>
      </c>
      <c r="H76" s="9" t="s">
        <v>74</v>
      </c>
      <c r="I76" s="9" t="s">
        <v>74</v>
      </c>
      <c r="J76" s="9" t="s">
        <v>74</v>
      </c>
      <c r="K76" s="13" t="s">
        <v>74</v>
      </c>
    </row>
    <row r="77" spans="1:11" x14ac:dyDescent="0.2">
      <c r="A77" s="12"/>
      <c r="C77" s="4">
        <v>91711</v>
      </c>
      <c r="D77" s="4">
        <v>2.6</v>
      </c>
      <c r="E77" s="4">
        <v>10373100</v>
      </c>
      <c r="F77" s="4" t="s">
        <v>914</v>
      </c>
      <c r="G77" s="4" t="s">
        <v>103</v>
      </c>
      <c r="H77" s="4" t="s">
        <v>113</v>
      </c>
      <c r="I77" s="4" t="s">
        <v>113</v>
      </c>
      <c r="J77" s="4" t="s">
        <v>103</v>
      </c>
      <c r="K77" s="14" t="s">
        <v>113</v>
      </c>
    </row>
    <row r="78" spans="1:11" x14ac:dyDescent="0.2">
      <c r="A78" s="12"/>
      <c r="C78" s="4">
        <v>91767</v>
      </c>
      <c r="D78" s="4">
        <v>2.6</v>
      </c>
      <c r="E78" s="4">
        <v>10373208</v>
      </c>
      <c r="F78" s="4" t="s">
        <v>914</v>
      </c>
      <c r="G78" s="4" t="s">
        <v>113</v>
      </c>
      <c r="H78" s="4" t="s">
        <v>113</v>
      </c>
      <c r="I78" s="4" t="s">
        <v>113</v>
      </c>
      <c r="J78" s="4" t="s">
        <v>113</v>
      </c>
      <c r="K78" s="14" t="s">
        <v>113</v>
      </c>
    </row>
    <row r="79" spans="1:11" x14ac:dyDescent="0.2">
      <c r="A79" s="11"/>
      <c r="B79" s="9"/>
      <c r="C79" s="9">
        <v>91769</v>
      </c>
      <c r="D79" s="9">
        <v>2.8</v>
      </c>
      <c r="E79" s="9" t="s">
        <v>977</v>
      </c>
      <c r="F79" s="9" t="s">
        <v>914</v>
      </c>
      <c r="G79" s="9" t="s">
        <v>202</v>
      </c>
      <c r="H79" s="9" t="s">
        <v>113</v>
      </c>
      <c r="I79" s="9" t="s">
        <v>113</v>
      </c>
      <c r="J79" s="9" t="s">
        <v>113</v>
      </c>
      <c r="K79" s="13" t="s">
        <v>113</v>
      </c>
    </row>
    <row r="80" spans="1:11" x14ac:dyDescent="0.2">
      <c r="A80" s="11"/>
      <c r="B80" s="9"/>
      <c r="C80" s="9">
        <v>91767</v>
      </c>
      <c r="D80" s="9">
        <v>2.9</v>
      </c>
      <c r="E80" s="9">
        <v>10370859</v>
      </c>
      <c r="F80" s="9" t="s">
        <v>914</v>
      </c>
      <c r="G80" s="9" t="s">
        <v>191</v>
      </c>
      <c r="H80" s="9" t="s">
        <v>191</v>
      </c>
      <c r="I80" s="9" t="s">
        <v>191</v>
      </c>
      <c r="J80" s="9" t="s">
        <v>191</v>
      </c>
      <c r="K80" s="13" t="s">
        <v>113</v>
      </c>
    </row>
    <row r="81" spans="1:11" x14ac:dyDescent="0.2">
      <c r="A81" s="11"/>
      <c r="B81" s="9"/>
      <c r="C81" s="9">
        <v>91711</v>
      </c>
      <c r="D81" s="9">
        <v>3</v>
      </c>
      <c r="E81" s="9">
        <v>10358994</v>
      </c>
      <c r="F81" s="9" t="s">
        <v>914</v>
      </c>
      <c r="G81" s="9" t="s">
        <v>113</v>
      </c>
      <c r="H81" s="9" t="s">
        <v>113</v>
      </c>
      <c r="I81" s="9" t="s">
        <v>113</v>
      </c>
      <c r="J81" s="9" t="s">
        <v>113</v>
      </c>
      <c r="K81" s="13" t="s">
        <v>113</v>
      </c>
    </row>
    <row r="82" spans="1:11" x14ac:dyDescent="0.2">
      <c r="A82" s="11"/>
      <c r="B82" s="9"/>
      <c r="C82" s="9">
        <v>91768</v>
      </c>
      <c r="D82" s="9">
        <v>3</v>
      </c>
      <c r="E82" s="9">
        <v>10370217</v>
      </c>
      <c r="F82" s="9" t="s">
        <v>914</v>
      </c>
      <c r="G82" s="9" t="s">
        <v>113</v>
      </c>
      <c r="H82" s="9" t="s">
        <v>113</v>
      </c>
      <c r="I82" s="9" t="s">
        <v>113</v>
      </c>
      <c r="J82" s="9" t="s">
        <v>113</v>
      </c>
      <c r="K82" s="13" t="s">
        <v>103</v>
      </c>
    </row>
    <row r="83" spans="1:11" x14ac:dyDescent="0.2">
      <c r="A83" s="12"/>
      <c r="C83" s="4">
        <v>91763</v>
      </c>
      <c r="D83" s="4">
        <v>3</v>
      </c>
      <c r="E83" s="4" t="s">
        <v>985</v>
      </c>
      <c r="F83" s="4" t="s">
        <v>914</v>
      </c>
      <c r="G83" s="4" t="s">
        <v>113</v>
      </c>
      <c r="H83" s="4" t="s">
        <v>113</v>
      </c>
      <c r="I83" s="4" t="s">
        <v>113</v>
      </c>
      <c r="J83" s="4" t="s">
        <v>113</v>
      </c>
      <c r="K83" s="14" t="s">
        <v>113</v>
      </c>
    </row>
    <row r="84" spans="1:11" x14ac:dyDescent="0.2">
      <c r="A84" s="12"/>
      <c r="C84" s="4">
        <v>91786</v>
      </c>
      <c r="D84" s="4">
        <v>3</v>
      </c>
      <c r="E84" s="4">
        <v>10368847</v>
      </c>
      <c r="F84" s="4" t="s">
        <v>914</v>
      </c>
      <c r="G84" s="4" t="s">
        <v>113</v>
      </c>
      <c r="H84" s="4" t="s">
        <v>113</v>
      </c>
      <c r="I84" s="4" t="s">
        <v>113</v>
      </c>
      <c r="J84" s="4" t="s">
        <v>113</v>
      </c>
      <c r="K84" s="14" t="s">
        <v>113</v>
      </c>
    </row>
    <row r="85" spans="1:11" x14ac:dyDescent="0.2">
      <c r="A85" s="12"/>
      <c r="C85" s="4">
        <v>91786</v>
      </c>
      <c r="D85" s="4">
        <v>3</v>
      </c>
      <c r="E85" s="4">
        <v>10120810</v>
      </c>
      <c r="F85" s="4" t="s">
        <v>914</v>
      </c>
      <c r="G85" s="4" t="s">
        <v>113</v>
      </c>
      <c r="H85" s="4" t="s">
        <v>113</v>
      </c>
      <c r="I85" s="4" t="s">
        <v>113</v>
      </c>
      <c r="J85" s="4" t="s">
        <v>195</v>
      </c>
      <c r="K85" s="14" t="s">
        <v>195</v>
      </c>
    </row>
    <row r="86" spans="1:11" x14ac:dyDescent="0.2">
      <c r="A86" s="12"/>
      <c r="C86" s="4">
        <v>91763</v>
      </c>
      <c r="D86" s="4">
        <v>3</v>
      </c>
      <c r="E86" s="4">
        <v>10043299</v>
      </c>
      <c r="F86" s="4" t="s">
        <v>914</v>
      </c>
      <c r="G86" s="4" t="s">
        <v>113</v>
      </c>
      <c r="H86" s="4" t="s">
        <v>113</v>
      </c>
      <c r="I86" s="4" t="s">
        <v>113</v>
      </c>
      <c r="J86" s="4" t="s">
        <v>113</v>
      </c>
      <c r="K86" s="14" t="s">
        <v>113</v>
      </c>
    </row>
    <row r="87" spans="1:11" x14ac:dyDescent="0.2">
      <c r="A87" s="11"/>
      <c r="B87" s="9"/>
      <c r="C87" s="9">
        <v>91786</v>
      </c>
      <c r="D87" s="9">
        <v>3</v>
      </c>
      <c r="E87" s="9">
        <v>103687571</v>
      </c>
      <c r="F87" s="9" t="s">
        <v>914</v>
      </c>
      <c r="G87" s="9" t="s">
        <v>113</v>
      </c>
      <c r="H87" s="9" t="s">
        <v>113</v>
      </c>
      <c r="I87" s="9" t="s">
        <v>103</v>
      </c>
      <c r="J87" s="9" t="s">
        <v>103</v>
      </c>
      <c r="K87" s="13" t="s">
        <v>195</v>
      </c>
    </row>
    <row r="88" spans="1:11" x14ac:dyDescent="0.2">
      <c r="A88" s="12"/>
      <c r="C88" s="4">
        <v>91711</v>
      </c>
      <c r="D88" s="4">
        <v>3</v>
      </c>
      <c r="E88" s="4">
        <v>10025853</v>
      </c>
      <c r="F88" s="4" t="s">
        <v>914</v>
      </c>
      <c r="G88" s="4" t="s">
        <v>113</v>
      </c>
      <c r="H88" s="4" t="s">
        <v>113</v>
      </c>
      <c r="I88" s="4" t="s">
        <v>103</v>
      </c>
      <c r="J88" s="4" t="s">
        <v>103</v>
      </c>
      <c r="K88" s="14" t="s">
        <v>195</v>
      </c>
    </row>
    <row r="89" spans="1:11" x14ac:dyDescent="0.2">
      <c r="A89" s="11"/>
      <c r="B89" s="9"/>
      <c r="C89" s="9">
        <v>91711</v>
      </c>
      <c r="D89" s="9">
        <v>3</v>
      </c>
      <c r="E89" s="9">
        <v>10120597</v>
      </c>
      <c r="F89" s="9" t="s">
        <v>914</v>
      </c>
      <c r="G89" s="9" t="s">
        <v>113</v>
      </c>
      <c r="H89" s="9" t="s">
        <v>113</v>
      </c>
      <c r="I89" s="9" t="s">
        <v>113</v>
      </c>
      <c r="J89" s="9" t="s">
        <v>113</v>
      </c>
      <c r="K89" s="13" t="s">
        <v>113</v>
      </c>
    </row>
    <row r="90" spans="1:11" x14ac:dyDescent="0.2">
      <c r="A90" s="11"/>
      <c r="B90" s="9"/>
      <c r="C90" s="9">
        <v>91711</v>
      </c>
      <c r="D90" s="9">
        <v>3</v>
      </c>
      <c r="E90" s="9">
        <v>10358371</v>
      </c>
      <c r="F90" s="9" t="s">
        <v>914</v>
      </c>
      <c r="G90" s="9" t="s">
        <v>98</v>
      </c>
      <c r="H90" s="9" t="s">
        <v>98</v>
      </c>
      <c r="I90" s="9" t="s">
        <v>113</v>
      </c>
      <c r="J90" s="9" t="s">
        <v>98</v>
      </c>
      <c r="K90" s="13" t="s">
        <v>74</v>
      </c>
    </row>
    <row r="91" spans="1:11" x14ac:dyDescent="0.2">
      <c r="A91" s="11"/>
      <c r="B91" s="9"/>
      <c r="C91" s="9">
        <v>91763</v>
      </c>
      <c r="D91" s="9">
        <v>3</v>
      </c>
      <c r="E91" s="9">
        <v>103685701</v>
      </c>
      <c r="F91" s="9" t="s">
        <v>914</v>
      </c>
      <c r="G91" s="9" t="s">
        <v>191</v>
      </c>
      <c r="H91" s="9" t="s">
        <v>191</v>
      </c>
      <c r="I91" s="9" t="s">
        <v>191</v>
      </c>
      <c r="J91" s="9" t="s">
        <v>191</v>
      </c>
      <c r="K91" s="13" t="s">
        <v>191</v>
      </c>
    </row>
    <row r="92" spans="1:11" x14ac:dyDescent="0.2">
      <c r="A92" s="11"/>
      <c r="B92" s="9"/>
      <c r="C92" s="9">
        <v>91763</v>
      </c>
      <c r="D92" s="9">
        <v>3</v>
      </c>
      <c r="E92" s="9">
        <v>10366711</v>
      </c>
      <c r="F92" s="9" t="s">
        <v>914</v>
      </c>
      <c r="G92" s="9" t="s">
        <v>113</v>
      </c>
      <c r="H92" s="9" t="s">
        <v>113</v>
      </c>
      <c r="I92" s="9" t="s">
        <v>113</v>
      </c>
      <c r="J92" s="9" t="s">
        <v>113</v>
      </c>
      <c r="K92" s="13" t="s">
        <v>113</v>
      </c>
    </row>
    <row r="93" spans="1:11" x14ac:dyDescent="0.2">
      <c r="A93" s="11"/>
      <c r="B93" s="9"/>
      <c r="C93" s="9">
        <v>91767</v>
      </c>
      <c r="D93" s="9">
        <v>3</v>
      </c>
      <c r="E93" s="9">
        <v>10115200</v>
      </c>
      <c r="F93" s="9" t="s">
        <v>914</v>
      </c>
      <c r="G93" s="9" t="s">
        <v>81</v>
      </c>
      <c r="H93" s="9" t="s">
        <v>81</v>
      </c>
      <c r="I93" s="9" t="s">
        <v>81</v>
      </c>
      <c r="J93" s="9" t="s">
        <v>81</v>
      </c>
      <c r="K93" s="13" t="s">
        <v>81</v>
      </c>
    </row>
    <row r="94" spans="1:11" x14ac:dyDescent="0.2">
      <c r="A94" s="12"/>
      <c r="C94" s="4">
        <v>91711</v>
      </c>
      <c r="D94" s="4">
        <v>3</v>
      </c>
      <c r="E94" s="4">
        <v>103725701</v>
      </c>
      <c r="F94" s="4" t="s">
        <v>919</v>
      </c>
      <c r="G94" s="4" t="s">
        <v>113</v>
      </c>
      <c r="H94" s="4" t="s">
        <v>113</v>
      </c>
      <c r="I94" s="4" t="s">
        <v>113</v>
      </c>
      <c r="J94" s="4" t="s">
        <v>113</v>
      </c>
      <c r="K94" s="14" t="s">
        <v>113</v>
      </c>
    </row>
    <row r="95" spans="1:11" x14ac:dyDescent="0.2">
      <c r="A95" s="12"/>
      <c r="C95" s="4">
        <v>91767</v>
      </c>
      <c r="D95" s="4">
        <v>3</v>
      </c>
      <c r="E95" s="4">
        <v>103703221</v>
      </c>
      <c r="F95" s="4" t="s">
        <v>914</v>
      </c>
      <c r="G95" s="4" t="s">
        <v>113</v>
      </c>
      <c r="H95" s="4" t="s">
        <v>113</v>
      </c>
      <c r="I95" s="4" t="s">
        <v>113</v>
      </c>
      <c r="J95" s="4" t="s">
        <v>113</v>
      </c>
      <c r="K95" s="14" t="s">
        <v>113</v>
      </c>
    </row>
    <row r="96" spans="1:11" x14ac:dyDescent="0.2">
      <c r="A96" s="12"/>
      <c r="C96" s="4">
        <v>91767</v>
      </c>
      <c r="D96" s="4">
        <v>3</v>
      </c>
      <c r="E96" s="4">
        <v>10354662</v>
      </c>
      <c r="F96" s="4" t="s">
        <v>914</v>
      </c>
      <c r="G96" s="4" t="s">
        <v>113</v>
      </c>
      <c r="H96" s="4" t="s">
        <v>113</v>
      </c>
      <c r="I96" s="4" t="s">
        <v>113</v>
      </c>
      <c r="J96" s="4" t="s">
        <v>113</v>
      </c>
      <c r="K96" s="14" t="s">
        <v>113</v>
      </c>
    </row>
    <row r="97" spans="1:23" x14ac:dyDescent="0.2">
      <c r="A97" s="11"/>
      <c r="B97" s="9"/>
      <c r="C97" s="9">
        <v>91763</v>
      </c>
      <c r="D97" s="9">
        <v>3</v>
      </c>
      <c r="E97" s="9">
        <v>10043664</v>
      </c>
      <c r="F97" s="9" t="s">
        <v>914</v>
      </c>
      <c r="G97" s="9" t="s">
        <v>113</v>
      </c>
      <c r="H97" s="9" t="s">
        <v>113</v>
      </c>
      <c r="I97" s="9" t="s">
        <v>113</v>
      </c>
      <c r="J97" s="9" t="s">
        <v>113</v>
      </c>
      <c r="K97" s="13" t="s">
        <v>113</v>
      </c>
    </row>
    <row r="98" spans="1:23" x14ac:dyDescent="0.2">
      <c r="A98" s="25"/>
      <c r="B98" s="26"/>
      <c r="C98" s="26">
        <v>91763</v>
      </c>
      <c r="D98" s="26">
        <v>3</v>
      </c>
      <c r="E98" s="26">
        <v>10366670</v>
      </c>
      <c r="F98" s="26" t="s">
        <v>914</v>
      </c>
      <c r="G98" s="26" t="s">
        <v>933</v>
      </c>
      <c r="H98" s="26" t="s">
        <v>933</v>
      </c>
      <c r="I98" s="26" t="s">
        <v>933</v>
      </c>
      <c r="J98" s="26" t="s">
        <v>933</v>
      </c>
      <c r="K98" s="27" t="s">
        <v>933</v>
      </c>
    </row>
    <row r="99" spans="1:23" s="28" customFormat="1" x14ac:dyDescent="0.2">
      <c r="A99" s="25"/>
      <c r="B99" s="26"/>
      <c r="C99" s="26">
        <v>91763</v>
      </c>
      <c r="D99" s="26">
        <v>3</v>
      </c>
      <c r="E99" s="26">
        <v>10373435</v>
      </c>
      <c r="F99" s="26" t="s">
        <v>914</v>
      </c>
      <c r="G99" s="26" t="s">
        <v>933</v>
      </c>
      <c r="H99" s="26" t="s">
        <v>933</v>
      </c>
      <c r="I99" s="26" t="s">
        <v>933</v>
      </c>
      <c r="J99" s="26" t="s">
        <v>933</v>
      </c>
      <c r="K99" s="27" t="s">
        <v>933</v>
      </c>
      <c r="M99"/>
      <c r="N99"/>
      <c r="O99"/>
      <c r="P99"/>
      <c r="Q99"/>
      <c r="R99"/>
      <c r="S99"/>
      <c r="T99"/>
      <c r="U99"/>
      <c r="V99"/>
      <c r="W99"/>
    </row>
    <row r="100" spans="1:23" s="28" customFormat="1" x14ac:dyDescent="0.2">
      <c r="A100" s="11"/>
      <c r="B100" s="9"/>
      <c r="C100" s="9">
        <v>91763</v>
      </c>
      <c r="D100" s="9">
        <v>3</v>
      </c>
      <c r="E100" s="9">
        <v>10043611</v>
      </c>
      <c r="F100" s="9" t="s">
        <v>914</v>
      </c>
      <c r="G100" s="9" t="s">
        <v>113</v>
      </c>
      <c r="H100" s="9" t="s">
        <v>113</v>
      </c>
      <c r="I100" s="9" t="s">
        <v>113</v>
      </c>
      <c r="J100" s="9" t="s">
        <v>113</v>
      </c>
      <c r="K100" s="13" t="s">
        <v>113</v>
      </c>
    </row>
    <row r="101" spans="1:23" x14ac:dyDescent="0.2">
      <c r="A101" s="12"/>
      <c r="C101" s="4">
        <v>91786</v>
      </c>
      <c r="D101" s="4">
        <v>3</v>
      </c>
      <c r="E101" s="4">
        <v>103611295</v>
      </c>
      <c r="F101" s="4" t="s">
        <v>914</v>
      </c>
      <c r="G101" s="4" t="s">
        <v>113</v>
      </c>
      <c r="H101" s="4" t="s">
        <v>113</v>
      </c>
      <c r="I101" s="4" t="s">
        <v>113</v>
      </c>
      <c r="J101" s="4" t="s">
        <v>113</v>
      </c>
      <c r="K101" s="14" t="s">
        <v>113</v>
      </c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 spans="1:23" x14ac:dyDescent="0.2">
      <c r="A102" s="11"/>
      <c r="B102" s="9"/>
      <c r="C102" s="9">
        <v>91711</v>
      </c>
      <c r="D102" s="9">
        <v>3</v>
      </c>
      <c r="E102" s="9">
        <v>10372216</v>
      </c>
      <c r="F102" s="9" t="s">
        <v>919</v>
      </c>
      <c r="G102" s="9" t="s">
        <v>202</v>
      </c>
      <c r="H102" s="9" t="s">
        <v>202</v>
      </c>
      <c r="I102" s="9" t="s">
        <v>113</v>
      </c>
      <c r="J102" s="9" t="s">
        <v>113</v>
      </c>
      <c r="K102" s="13" t="s">
        <v>113</v>
      </c>
    </row>
    <row r="103" spans="1:23" x14ac:dyDescent="0.2">
      <c r="A103" s="12"/>
      <c r="C103" s="4">
        <v>91763</v>
      </c>
      <c r="D103" s="4">
        <v>3</v>
      </c>
      <c r="E103" s="4">
        <v>10366752</v>
      </c>
      <c r="F103" s="4" t="s">
        <v>914</v>
      </c>
      <c r="G103" s="4" t="s">
        <v>113</v>
      </c>
      <c r="H103" s="4" t="s">
        <v>98</v>
      </c>
      <c r="I103" s="4" t="s">
        <v>113</v>
      </c>
      <c r="J103" s="4" t="s">
        <v>113</v>
      </c>
      <c r="K103" s="14" t="s">
        <v>113</v>
      </c>
    </row>
    <row r="104" spans="1:23" x14ac:dyDescent="0.2">
      <c r="A104" s="12"/>
      <c r="C104" s="4">
        <v>91786</v>
      </c>
      <c r="D104" s="4">
        <v>3.2</v>
      </c>
      <c r="E104" s="4" t="s">
        <v>1005</v>
      </c>
      <c r="F104" s="4" t="s">
        <v>914</v>
      </c>
      <c r="G104" s="4" t="s">
        <v>933</v>
      </c>
      <c r="H104" s="4" t="s">
        <v>113</v>
      </c>
      <c r="I104" s="4" t="s">
        <v>195</v>
      </c>
      <c r="J104" s="4" t="s">
        <v>113</v>
      </c>
      <c r="K104" s="14" t="s">
        <v>933</v>
      </c>
    </row>
    <row r="105" spans="1:23" x14ac:dyDescent="0.2">
      <c r="A105" s="11"/>
      <c r="B105" s="9"/>
      <c r="C105" s="9">
        <v>91767</v>
      </c>
      <c r="D105" s="9">
        <v>3.2</v>
      </c>
      <c r="E105" s="9">
        <v>103752591</v>
      </c>
      <c r="F105" s="9" t="s">
        <v>914</v>
      </c>
      <c r="G105" s="9" t="s">
        <v>103</v>
      </c>
      <c r="H105" s="9" t="s">
        <v>103</v>
      </c>
      <c r="I105" s="9" t="s">
        <v>103</v>
      </c>
      <c r="J105" s="9" t="s">
        <v>103</v>
      </c>
      <c r="K105" s="13" t="s">
        <v>103</v>
      </c>
    </row>
    <row r="106" spans="1:23" x14ac:dyDescent="0.2">
      <c r="A106" s="11"/>
      <c r="B106" s="9"/>
      <c r="C106" s="9">
        <v>91784</v>
      </c>
      <c r="D106" s="9">
        <v>3.3</v>
      </c>
      <c r="E106" s="9">
        <v>10042924</v>
      </c>
      <c r="F106" s="9" t="s">
        <v>914</v>
      </c>
      <c r="G106" s="9" t="s">
        <v>113</v>
      </c>
      <c r="H106" s="9" t="s">
        <v>113</v>
      </c>
      <c r="I106" s="9" t="s">
        <v>113</v>
      </c>
      <c r="J106" s="9" t="s">
        <v>113</v>
      </c>
      <c r="K106" s="13" t="s">
        <v>113</v>
      </c>
    </row>
    <row r="107" spans="1:23" x14ac:dyDescent="0.2">
      <c r="A107" s="12"/>
      <c r="C107" s="4">
        <v>91762</v>
      </c>
      <c r="D107" s="4">
        <v>3.3</v>
      </c>
      <c r="E107" s="4">
        <v>10373864</v>
      </c>
      <c r="F107" s="4" t="s">
        <v>914</v>
      </c>
      <c r="G107" s="4" t="s">
        <v>103</v>
      </c>
      <c r="H107" s="4" t="s">
        <v>103</v>
      </c>
      <c r="I107" s="4" t="s">
        <v>103</v>
      </c>
      <c r="J107" s="4" t="s">
        <v>103</v>
      </c>
      <c r="K107" s="14" t="s">
        <v>103</v>
      </c>
    </row>
    <row r="108" spans="1:23" x14ac:dyDescent="0.2">
      <c r="A108" s="12"/>
      <c r="C108" s="4">
        <v>91750</v>
      </c>
      <c r="D108" s="4">
        <v>3.5</v>
      </c>
      <c r="E108" s="4">
        <v>10370551</v>
      </c>
      <c r="F108" s="4" t="s">
        <v>919</v>
      </c>
      <c r="G108" s="4" t="s">
        <v>202</v>
      </c>
      <c r="H108" s="4" t="s">
        <v>113</v>
      </c>
      <c r="I108" s="4" t="s">
        <v>113</v>
      </c>
      <c r="J108" s="4" t="s">
        <v>113</v>
      </c>
      <c r="K108" s="14" t="s">
        <v>113</v>
      </c>
    </row>
    <row r="109" spans="1:23" x14ac:dyDescent="0.2">
      <c r="A109" s="12"/>
      <c r="C109" s="4">
        <v>91711</v>
      </c>
      <c r="D109" s="4">
        <v>3.5</v>
      </c>
      <c r="E109" s="4">
        <v>10370204</v>
      </c>
      <c r="F109" s="4" t="s">
        <v>914</v>
      </c>
      <c r="G109" s="4" t="s">
        <v>74</v>
      </c>
      <c r="H109" s="4" t="s">
        <v>74</v>
      </c>
      <c r="I109" s="4" t="s">
        <v>74</v>
      </c>
      <c r="J109" s="4" t="s">
        <v>74</v>
      </c>
      <c r="K109" s="14" t="s">
        <v>74</v>
      </c>
    </row>
    <row r="110" spans="1:23" x14ac:dyDescent="0.2">
      <c r="A110" s="11"/>
      <c r="B110" s="9"/>
      <c r="C110" s="9">
        <v>91767</v>
      </c>
      <c r="D110" s="9">
        <v>3.5</v>
      </c>
      <c r="E110" s="9">
        <v>10346409</v>
      </c>
      <c r="F110" s="9" t="s">
        <v>914</v>
      </c>
      <c r="G110" s="9" t="s">
        <v>74</v>
      </c>
      <c r="H110" s="9" t="s">
        <v>74</v>
      </c>
      <c r="I110" s="9" t="s">
        <v>74</v>
      </c>
      <c r="J110" s="9" t="s">
        <v>74</v>
      </c>
      <c r="K110" s="13" t="s">
        <v>74</v>
      </c>
    </row>
    <row r="111" spans="1:23" x14ac:dyDescent="0.2">
      <c r="A111" s="12"/>
      <c r="C111" s="4">
        <v>91786</v>
      </c>
      <c r="D111" s="4">
        <v>3.5</v>
      </c>
      <c r="E111" s="4" t="s">
        <v>1013</v>
      </c>
      <c r="F111" s="4" t="s">
        <v>914</v>
      </c>
      <c r="G111" s="4" t="s">
        <v>113</v>
      </c>
      <c r="H111" s="4" t="s">
        <v>113</v>
      </c>
      <c r="I111" s="4" t="s">
        <v>113</v>
      </c>
      <c r="J111" s="4" t="s">
        <v>113</v>
      </c>
      <c r="K111" s="14" t="s">
        <v>113</v>
      </c>
    </row>
    <row r="112" spans="1:23" x14ac:dyDescent="0.2">
      <c r="A112" s="12"/>
      <c r="C112" s="4">
        <v>91767</v>
      </c>
      <c r="D112" s="4">
        <v>3.5</v>
      </c>
      <c r="E112" s="4" t="s">
        <v>1015</v>
      </c>
      <c r="F112" s="4" t="s">
        <v>919</v>
      </c>
      <c r="G112" s="4" t="s">
        <v>113</v>
      </c>
      <c r="H112" s="4" t="s">
        <v>113</v>
      </c>
      <c r="I112" s="4" t="s">
        <v>113</v>
      </c>
      <c r="J112" s="4" t="s">
        <v>113</v>
      </c>
      <c r="K112" s="14" t="s">
        <v>113</v>
      </c>
    </row>
    <row r="113" spans="1:11" x14ac:dyDescent="0.2">
      <c r="A113" s="12"/>
      <c r="C113" s="4">
        <v>91767</v>
      </c>
      <c r="D113" s="4">
        <v>3.5</v>
      </c>
      <c r="E113" s="4">
        <v>1373855</v>
      </c>
      <c r="F113" s="4" t="s">
        <v>914</v>
      </c>
      <c r="G113" s="4" t="s">
        <v>1016</v>
      </c>
      <c r="H113" s="4" t="s">
        <v>1016</v>
      </c>
      <c r="I113" s="4" t="s">
        <v>1016</v>
      </c>
      <c r="J113" s="4" t="s">
        <v>1016</v>
      </c>
      <c r="K113" s="14" t="s">
        <v>1016</v>
      </c>
    </row>
    <row r="114" spans="1:11" x14ac:dyDescent="0.2">
      <c r="A114" s="11"/>
      <c r="B114" s="9"/>
      <c r="C114" s="9">
        <v>91762</v>
      </c>
      <c r="D114" s="9">
        <v>3.5</v>
      </c>
      <c r="E114" s="9">
        <v>103132011</v>
      </c>
      <c r="F114" s="9" t="s">
        <v>914</v>
      </c>
      <c r="G114" s="9" t="s">
        <v>113</v>
      </c>
      <c r="H114" s="9" t="s">
        <v>113</v>
      </c>
      <c r="I114" s="9" t="s">
        <v>113</v>
      </c>
      <c r="J114" s="9" t="s">
        <v>113</v>
      </c>
      <c r="K114" s="13" t="s">
        <v>103</v>
      </c>
    </row>
    <row r="115" spans="1:11" x14ac:dyDescent="0.2">
      <c r="A115" s="12"/>
      <c r="C115" s="4">
        <v>91767</v>
      </c>
      <c r="D115" s="4">
        <v>4</v>
      </c>
      <c r="E115" s="4">
        <v>103697231</v>
      </c>
      <c r="F115" s="4" t="s">
        <v>914</v>
      </c>
      <c r="G115" s="4" t="s">
        <v>113</v>
      </c>
      <c r="H115" s="4" t="s">
        <v>113</v>
      </c>
      <c r="I115" s="4" t="s">
        <v>113</v>
      </c>
      <c r="J115" s="4" t="s">
        <v>113</v>
      </c>
      <c r="K115" s="14" t="s">
        <v>113</v>
      </c>
    </row>
    <row r="116" spans="1:11" x14ac:dyDescent="0.2">
      <c r="A116" s="12"/>
      <c r="C116" s="4">
        <v>91711</v>
      </c>
      <c r="D116" s="4">
        <v>4</v>
      </c>
      <c r="E116" s="4">
        <v>102897691</v>
      </c>
      <c r="F116" s="4" t="s">
        <v>914</v>
      </c>
      <c r="G116" s="4" t="s">
        <v>933</v>
      </c>
      <c r="H116" s="4" t="s">
        <v>103</v>
      </c>
      <c r="I116" s="4" t="s">
        <v>74</v>
      </c>
      <c r="J116" s="4" t="s">
        <v>74</v>
      </c>
      <c r="K116" s="14" t="s">
        <v>933</v>
      </c>
    </row>
    <row r="117" spans="1:11" x14ac:dyDescent="0.2">
      <c r="A117" s="12"/>
      <c r="C117" s="4">
        <v>91750</v>
      </c>
      <c r="D117" s="4">
        <v>4</v>
      </c>
      <c r="E117" s="4">
        <v>10193210</v>
      </c>
      <c r="F117" s="4" t="s">
        <v>914</v>
      </c>
      <c r="G117" s="4" t="s">
        <v>113</v>
      </c>
      <c r="H117" s="4" t="s">
        <v>113</v>
      </c>
      <c r="I117" s="4" t="s">
        <v>113</v>
      </c>
      <c r="J117" s="4" t="s">
        <v>113</v>
      </c>
      <c r="K117" s="14" t="s">
        <v>113</v>
      </c>
    </row>
    <row r="118" spans="1:11" x14ac:dyDescent="0.2">
      <c r="A118" s="11"/>
      <c r="B118" s="9"/>
      <c r="C118" s="9">
        <v>91786</v>
      </c>
      <c r="D118" s="9">
        <v>4</v>
      </c>
      <c r="E118" s="9">
        <v>10109481</v>
      </c>
      <c r="F118" s="9" t="s">
        <v>914</v>
      </c>
      <c r="G118" s="9" t="s">
        <v>113</v>
      </c>
      <c r="H118" s="9" t="s">
        <v>113</v>
      </c>
      <c r="I118" s="9" t="s">
        <v>113</v>
      </c>
      <c r="J118" s="9" t="s">
        <v>113</v>
      </c>
      <c r="K118" s="13" t="s">
        <v>113</v>
      </c>
    </row>
    <row r="119" spans="1:11" x14ac:dyDescent="0.2">
      <c r="A119" s="12"/>
      <c r="C119" s="4">
        <v>91762</v>
      </c>
      <c r="D119" s="4">
        <v>4</v>
      </c>
      <c r="E119" s="4">
        <v>10347862</v>
      </c>
      <c r="F119" s="4" t="s">
        <v>914</v>
      </c>
      <c r="G119" s="4" t="s">
        <v>113</v>
      </c>
      <c r="H119" s="4" t="s">
        <v>113</v>
      </c>
      <c r="I119" s="4" t="s">
        <v>113</v>
      </c>
      <c r="J119" s="4" t="s">
        <v>113</v>
      </c>
      <c r="K119" s="14" t="s">
        <v>113</v>
      </c>
    </row>
    <row r="120" spans="1:11" x14ac:dyDescent="0.2">
      <c r="A120" s="11"/>
      <c r="B120" s="9"/>
      <c r="C120" s="9">
        <v>91767</v>
      </c>
      <c r="D120" s="9">
        <v>4</v>
      </c>
      <c r="E120" s="9" t="s">
        <v>1024</v>
      </c>
      <c r="F120" s="9" t="s">
        <v>914</v>
      </c>
      <c r="G120" s="9" t="s">
        <v>933</v>
      </c>
      <c r="H120" s="9" t="s">
        <v>933</v>
      </c>
      <c r="I120" s="9" t="s">
        <v>933</v>
      </c>
      <c r="J120" s="9" t="s">
        <v>933</v>
      </c>
      <c r="K120" s="13" t="s">
        <v>933</v>
      </c>
    </row>
    <row r="121" spans="1:11" x14ac:dyDescent="0.2">
      <c r="A121" s="11"/>
      <c r="B121" s="9"/>
      <c r="C121" s="9">
        <v>91786</v>
      </c>
      <c r="D121" s="9">
        <v>4</v>
      </c>
      <c r="E121" s="9">
        <v>10114181</v>
      </c>
      <c r="F121" s="9" t="s">
        <v>914</v>
      </c>
      <c r="G121" s="9" t="s">
        <v>113</v>
      </c>
      <c r="H121" s="9" t="s">
        <v>113</v>
      </c>
      <c r="I121" s="9" t="s">
        <v>113</v>
      </c>
      <c r="J121" s="9" t="s">
        <v>113</v>
      </c>
      <c r="K121" s="13" t="s">
        <v>113</v>
      </c>
    </row>
    <row r="122" spans="1:11" x14ac:dyDescent="0.2">
      <c r="A122" s="12"/>
      <c r="C122" s="4">
        <v>91768</v>
      </c>
      <c r="D122" s="4">
        <v>4</v>
      </c>
      <c r="E122" s="4">
        <v>10366750</v>
      </c>
      <c r="F122" s="4" t="s">
        <v>914</v>
      </c>
      <c r="G122" s="4" t="s">
        <v>113</v>
      </c>
      <c r="H122" s="4" t="s">
        <v>113</v>
      </c>
      <c r="I122" s="4" t="s">
        <v>113</v>
      </c>
      <c r="J122" s="4" t="s">
        <v>113</v>
      </c>
      <c r="K122" s="14" t="s">
        <v>113</v>
      </c>
    </row>
    <row r="123" spans="1:11" x14ac:dyDescent="0.2">
      <c r="A123" s="11"/>
      <c r="B123" s="9"/>
      <c r="C123" s="9">
        <v>91786</v>
      </c>
      <c r="D123" s="9">
        <v>4</v>
      </c>
      <c r="E123" s="9">
        <v>10043581</v>
      </c>
      <c r="F123" s="9" t="s">
        <v>914</v>
      </c>
      <c r="G123" s="9" t="s">
        <v>113</v>
      </c>
      <c r="H123" s="9" t="s">
        <v>113</v>
      </c>
      <c r="I123" s="9" t="s">
        <v>113</v>
      </c>
      <c r="J123" s="9" t="s">
        <v>113</v>
      </c>
      <c r="K123" s="13" t="s">
        <v>113</v>
      </c>
    </row>
    <row r="124" spans="1:11" x14ac:dyDescent="0.2">
      <c r="A124" s="11"/>
      <c r="B124" s="9"/>
      <c r="C124" s="9">
        <v>91784</v>
      </c>
      <c r="D124" s="9">
        <v>4</v>
      </c>
      <c r="E124" s="9">
        <v>100430831</v>
      </c>
      <c r="F124" s="9" t="s">
        <v>914</v>
      </c>
      <c r="G124" s="9" t="s">
        <v>103</v>
      </c>
      <c r="H124" s="9" t="s">
        <v>113</v>
      </c>
      <c r="I124" s="9" t="s">
        <v>113</v>
      </c>
      <c r="J124" s="9" t="s">
        <v>113</v>
      </c>
      <c r="K124" s="13" t="s">
        <v>103</v>
      </c>
    </row>
    <row r="125" spans="1:11" x14ac:dyDescent="0.2">
      <c r="A125" s="11"/>
      <c r="B125" s="9"/>
      <c r="C125" s="9">
        <v>91786</v>
      </c>
      <c r="D125" s="9">
        <v>4</v>
      </c>
      <c r="E125" s="9">
        <v>101912674</v>
      </c>
      <c r="F125" s="9" t="s">
        <v>914</v>
      </c>
      <c r="G125" s="9" t="s">
        <v>113</v>
      </c>
      <c r="H125" s="9" t="s">
        <v>113</v>
      </c>
      <c r="I125" s="9" t="s">
        <v>113</v>
      </c>
      <c r="J125" s="9" t="s">
        <v>113</v>
      </c>
      <c r="K125" s="13" t="s">
        <v>183</v>
      </c>
    </row>
    <row r="126" spans="1:11" x14ac:dyDescent="0.2">
      <c r="A126" s="12"/>
      <c r="C126" s="4">
        <v>91730</v>
      </c>
      <c r="D126" s="4">
        <v>4</v>
      </c>
      <c r="E126" s="4">
        <v>103713837</v>
      </c>
      <c r="F126" s="4" t="s">
        <v>914</v>
      </c>
      <c r="G126" s="4" t="s">
        <v>113</v>
      </c>
      <c r="H126" s="4" t="s">
        <v>113</v>
      </c>
      <c r="I126" s="4" t="s">
        <v>113</v>
      </c>
      <c r="J126" s="4" t="s">
        <v>113</v>
      </c>
      <c r="K126" s="14" t="s">
        <v>113</v>
      </c>
    </row>
    <row r="127" spans="1:11" x14ac:dyDescent="0.2">
      <c r="A127" s="11"/>
      <c r="B127" s="9"/>
      <c r="C127" s="9">
        <v>91768</v>
      </c>
      <c r="D127" s="9">
        <v>4.2</v>
      </c>
      <c r="E127" s="9">
        <v>117889</v>
      </c>
      <c r="F127" s="9" t="s">
        <v>914</v>
      </c>
      <c r="G127" s="9" t="s">
        <v>113</v>
      </c>
      <c r="H127" s="9" t="s">
        <v>113</v>
      </c>
      <c r="I127" s="9" t="s">
        <v>113</v>
      </c>
      <c r="J127" s="9" t="s">
        <v>113</v>
      </c>
      <c r="K127" s="13" t="s">
        <v>113</v>
      </c>
    </row>
    <row r="128" spans="1:11" x14ac:dyDescent="0.2">
      <c r="A128" s="12"/>
      <c r="C128" s="4">
        <v>91784</v>
      </c>
      <c r="D128" s="4">
        <v>4.5</v>
      </c>
      <c r="E128" s="4">
        <v>102488281</v>
      </c>
      <c r="F128" s="4" t="s">
        <v>914</v>
      </c>
      <c r="G128" s="4" t="s">
        <v>113</v>
      </c>
      <c r="H128" s="4" t="s">
        <v>113</v>
      </c>
      <c r="I128" s="4" t="s">
        <v>113</v>
      </c>
      <c r="J128" s="4" t="s">
        <v>113</v>
      </c>
      <c r="K128" s="14" t="s">
        <v>113</v>
      </c>
    </row>
    <row r="129" spans="1:11" x14ac:dyDescent="0.2">
      <c r="A129" s="11"/>
      <c r="B129" s="9"/>
      <c r="C129" s="9">
        <v>91784</v>
      </c>
      <c r="D129" s="9">
        <v>4.5</v>
      </c>
      <c r="E129" s="9">
        <v>10345447</v>
      </c>
      <c r="F129" s="9" t="s">
        <v>914</v>
      </c>
      <c r="G129" s="9" t="s">
        <v>103</v>
      </c>
      <c r="H129" s="9" t="s">
        <v>74</v>
      </c>
      <c r="I129" s="9" t="s">
        <v>74</v>
      </c>
      <c r="J129" s="9" t="s">
        <v>74</v>
      </c>
      <c r="K129" s="13" t="s">
        <v>74</v>
      </c>
    </row>
    <row r="130" spans="1:11" x14ac:dyDescent="0.2">
      <c r="A130" s="12"/>
      <c r="C130" s="4">
        <v>91786</v>
      </c>
      <c r="D130" s="4">
        <v>4.5999999999999996</v>
      </c>
      <c r="E130" s="4">
        <v>10361235</v>
      </c>
      <c r="F130" s="4" t="s">
        <v>914</v>
      </c>
      <c r="G130" s="4" t="s">
        <v>98</v>
      </c>
      <c r="H130" s="4" t="s">
        <v>98</v>
      </c>
      <c r="I130" s="4" t="s">
        <v>98</v>
      </c>
      <c r="J130" s="4" t="s">
        <v>98</v>
      </c>
      <c r="K130" s="14" t="s">
        <v>98</v>
      </c>
    </row>
    <row r="131" spans="1:11" x14ac:dyDescent="0.2">
      <c r="A131" s="11"/>
      <c r="B131" s="9"/>
      <c r="C131" s="9">
        <v>91766</v>
      </c>
      <c r="D131" s="9">
        <v>4.5999999999999996</v>
      </c>
      <c r="E131" s="9">
        <v>103735811</v>
      </c>
      <c r="F131" s="9" t="s">
        <v>914</v>
      </c>
      <c r="G131" s="9" t="s">
        <v>113</v>
      </c>
      <c r="H131" s="9" t="s">
        <v>113</v>
      </c>
      <c r="I131" s="9" t="s">
        <v>113</v>
      </c>
      <c r="J131" s="9" t="s">
        <v>103</v>
      </c>
      <c r="K131" s="13" t="s">
        <v>103</v>
      </c>
    </row>
    <row r="132" spans="1:11" x14ac:dyDescent="0.2">
      <c r="A132" s="11"/>
      <c r="B132" s="9"/>
      <c r="C132" s="9">
        <v>91750</v>
      </c>
      <c r="D132" s="9">
        <v>4.7</v>
      </c>
      <c r="E132" s="9">
        <v>10366701</v>
      </c>
      <c r="F132" s="9" t="s">
        <v>914</v>
      </c>
      <c r="G132" s="9" t="s">
        <v>113</v>
      </c>
      <c r="H132" s="9" t="s">
        <v>113</v>
      </c>
      <c r="I132" s="9" t="s">
        <v>113</v>
      </c>
      <c r="J132" s="9" t="s">
        <v>191</v>
      </c>
      <c r="K132" s="13" t="s">
        <v>191</v>
      </c>
    </row>
    <row r="133" spans="1:11" x14ac:dyDescent="0.2">
      <c r="A133" s="11"/>
      <c r="B133" s="9"/>
      <c r="C133" s="9">
        <v>91762</v>
      </c>
      <c r="D133" s="9">
        <v>5</v>
      </c>
      <c r="E133" s="9">
        <v>10358767</v>
      </c>
      <c r="F133" s="9" t="s">
        <v>914</v>
      </c>
      <c r="G133" s="9" t="s">
        <v>113</v>
      </c>
      <c r="H133" s="9" t="s">
        <v>113</v>
      </c>
      <c r="I133" s="9" t="s">
        <v>103</v>
      </c>
      <c r="J133" s="9" t="s">
        <v>113</v>
      </c>
      <c r="K133" s="13" t="s">
        <v>113</v>
      </c>
    </row>
    <row r="134" spans="1:11" x14ac:dyDescent="0.2">
      <c r="A134" s="12"/>
      <c r="C134" s="4">
        <v>91762</v>
      </c>
      <c r="D134" s="4">
        <v>5</v>
      </c>
      <c r="E134" s="4">
        <v>103454181</v>
      </c>
      <c r="F134" s="4" t="s">
        <v>914</v>
      </c>
      <c r="G134" s="4" t="s">
        <v>113</v>
      </c>
      <c r="H134" s="4" t="s">
        <v>113</v>
      </c>
      <c r="I134" s="4" t="s">
        <v>113</v>
      </c>
      <c r="J134" s="4" t="s">
        <v>113</v>
      </c>
      <c r="K134" s="14" t="s">
        <v>113</v>
      </c>
    </row>
    <row r="135" spans="1:11" x14ac:dyDescent="0.2">
      <c r="A135" s="12"/>
      <c r="C135" s="4">
        <v>91763</v>
      </c>
      <c r="D135" s="4">
        <v>5</v>
      </c>
      <c r="E135" s="4">
        <v>10370556</v>
      </c>
      <c r="F135" s="4" t="s">
        <v>914</v>
      </c>
      <c r="G135" s="4" t="s">
        <v>108</v>
      </c>
      <c r="H135" s="4" t="s">
        <v>113</v>
      </c>
      <c r="I135" s="4" t="s">
        <v>108</v>
      </c>
      <c r="J135" s="4" t="s">
        <v>113</v>
      </c>
      <c r="K135" s="14" t="s">
        <v>113</v>
      </c>
    </row>
    <row r="136" spans="1:11" x14ac:dyDescent="0.2">
      <c r="A136" s="12"/>
      <c r="C136" s="4">
        <v>91784</v>
      </c>
      <c r="D136" s="4">
        <v>5</v>
      </c>
      <c r="E136" s="4">
        <v>10361237</v>
      </c>
      <c r="F136" s="4" t="s">
        <v>914</v>
      </c>
      <c r="G136" s="4" t="s">
        <v>113</v>
      </c>
      <c r="H136" s="4" t="s">
        <v>113</v>
      </c>
      <c r="I136" s="4" t="s">
        <v>113</v>
      </c>
      <c r="J136" s="4" t="s">
        <v>113</v>
      </c>
      <c r="K136" s="14" t="s">
        <v>103</v>
      </c>
    </row>
    <row r="137" spans="1:11" x14ac:dyDescent="0.2">
      <c r="A137" s="11"/>
      <c r="B137" s="9"/>
      <c r="C137" s="9">
        <v>91750</v>
      </c>
      <c r="D137" s="9">
        <v>5</v>
      </c>
      <c r="E137" s="9">
        <v>10283454</v>
      </c>
      <c r="F137" s="9" t="s">
        <v>914</v>
      </c>
      <c r="G137" s="9" t="s">
        <v>113</v>
      </c>
      <c r="H137" s="9" t="s">
        <v>113</v>
      </c>
      <c r="I137" s="9" t="s">
        <v>113</v>
      </c>
      <c r="J137" s="9" t="s">
        <v>113</v>
      </c>
      <c r="K137" s="13" t="s">
        <v>113</v>
      </c>
    </row>
    <row r="138" spans="1:11" x14ac:dyDescent="0.2">
      <c r="A138" s="12"/>
      <c r="C138" s="4">
        <v>91711</v>
      </c>
      <c r="D138" s="4">
        <v>5</v>
      </c>
      <c r="E138" s="4">
        <v>103393774</v>
      </c>
      <c r="F138" s="4" t="s">
        <v>914</v>
      </c>
      <c r="G138" s="4" t="s">
        <v>113</v>
      </c>
      <c r="H138" s="4" t="s">
        <v>113</v>
      </c>
      <c r="I138" s="4" t="s">
        <v>113</v>
      </c>
      <c r="J138" s="4" t="s">
        <v>113</v>
      </c>
      <c r="K138" s="14" t="s">
        <v>113</v>
      </c>
    </row>
    <row r="139" spans="1:11" x14ac:dyDescent="0.2">
      <c r="A139" s="12"/>
      <c r="C139" s="4">
        <v>91750</v>
      </c>
      <c r="D139" s="4">
        <v>5</v>
      </c>
      <c r="E139" s="4">
        <v>1035574</v>
      </c>
      <c r="F139" s="4" t="s">
        <v>914</v>
      </c>
      <c r="G139" s="4" t="s">
        <v>113</v>
      </c>
      <c r="H139" s="4" t="s">
        <v>113</v>
      </c>
      <c r="I139" s="4" t="s">
        <v>113</v>
      </c>
      <c r="J139" s="4" t="s">
        <v>113</v>
      </c>
      <c r="K139" s="14" t="s">
        <v>113</v>
      </c>
    </row>
    <row r="140" spans="1:11" x14ac:dyDescent="0.2">
      <c r="A140" s="12"/>
      <c r="C140" s="4">
        <v>91711</v>
      </c>
      <c r="D140" s="4">
        <v>5</v>
      </c>
      <c r="E140" s="4">
        <v>10366861</v>
      </c>
      <c r="F140" s="4" t="s">
        <v>914</v>
      </c>
      <c r="G140" s="4" t="s">
        <v>113</v>
      </c>
      <c r="H140" s="4" t="s">
        <v>113</v>
      </c>
      <c r="I140" s="4" t="s">
        <v>113</v>
      </c>
      <c r="J140" s="4" t="s">
        <v>113</v>
      </c>
      <c r="K140" s="14" t="s">
        <v>113</v>
      </c>
    </row>
    <row r="141" spans="1:11" x14ac:dyDescent="0.2">
      <c r="A141" s="11"/>
      <c r="B141" s="9"/>
      <c r="C141" s="9">
        <v>91767</v>
      </c>
      <c r="D141" s="9">
        <v>5</v>
      </c>
      <c r="E141" s="9">
        <v>10138149</v>
      </c>
      <c r="F141" s="9" t="s">
        <v>914</v>
      </c>
      <c r="G141" s="9" t="s">
        <v>103</v>
      </c>
      <c r="H141" s="9" t="s">
        <v>103</v>
      </c>
      <c r="I141" s="9" t="s">
        <v>103</v>
      </c>
      <c r="J141" s="9" t="s">
        <v>103</v>
      </c>
      <c r="K141" s="13" t="s">
        <v>103</v>
      </c>
    </row>
    <row r="142" spans="1:11" x14ac:dyDescent="0.2">
      <c r="A142" s="11"/>
      <c r="B142" s="9"/>
      <c r="C142" s="9">
        <v>91750</v>
      </c>
      <c r="D142" s="9">
        <v>5</v>
      </c>
      <c r="E142" s="9">
        <v>10371627</v>
      </c>
      <c r="F142" s="9" t="s">
        <v>919</v>
      </c>
      <c r="G142" s="9" t="s">
        <v>113</v>
      </c>
      <c r="H142" s="9" t="s">
        <v>113</v>
      </c>
      <c r="I142" s="9" t="s">
        <v>113</v>
      </c>
      <c r="J142" s="9" t="s">
        <v>113</v>
      </c>
      <c r="K142" s="13" t="s">
        <v>113</v>
      </c>
    </row>
    <row r="143" spans="1:11" x14ac:dyDescent="0.2">
      <c r="A143" s="12"/>
      <c r="C143" s="4">
        <v>91786</v>
      </c>
      <c r="D143" s="4">
        <v>5</v>
      </c>
      <c r="E143" s="4" t="s">
        <v>1046</v>
      </c>
      <c r="F143" s="4" t="s">
        <v>914</v>
      </c>
      <c r="G143" s="4" t="s">
        <v>113</v>
      </c>
      <c r="H143" s="4" t="s">
        <v>113</v>
      </c>
      <c r="I143" s="4" t="s">
        <v>113</v>
      </c>
      <c r="J143" s="4" t="s">
        <v>113</v>
      </c>
      <c r="K143" s="14" t="s">
        <v>113</v>
      </c>
    </row>
    <row r="144" spans="1:11" x14ac:dyDescent="0.2">
      <c r="A144" s="12"/>
      <c r="C144" s="4">
        <v>91763</v>
      </c>
      <c r="D144" s="4">
        <v>5</v>
      </c>
      <c r="E144" s="4">
        <v>10144352</v>
      </c>
      <c r="F144" s="4" t="s">
        <v>914</v>
      </c>
      <c r="G144" s="4" t="s">
        <v>113</v>
      </c>
      <c r="H144" s="4" t="s">
        <v>113</v>
      </c>
      <c r="I144" s="4" t="s">
        <v>113</v>
      </c>
      <c r="J144" s="4" t="s">
        <v>113</v>
      </c>
      <c r="K144" s="14" t="s">
        <v>113</v>
      </c>
    </row>
    <row r="145" spans="1:11" x14ac:dyDescent="0.2">
      <c r="A145" s="11"/>
      <c r="B145" s="9"/>
      <c r="C145" s="9">
        <v>91786</v>
      </c>
      <c r="D145" s="9">
        <v>5</v>
      </c>
      <c r="E145" s="9">
        <v>10243165</v>
      </c>
      <c r="F145" s="9" t="s">
        <v>914</v>
      </c>
      <c r="G145" s="9" t="s">
        <v>98</v>
      </c>
      <c r="H145" s="9" t="s">
        <v>98</v>
      </c>
      <c r="I145" s="9" t="s">
        <v>98</v>
      </c>
      <c r="J145" s="9" t="s">
        <v>98</v>
      </c>
      <c r="K145" s="13" t="s">
        <v>98</v>
      </c>
    </row>
    <row r="146" spans="1:11" x14ac:dyDescent="0.2">
      <c r="A146" s="12"/>
      <c r="C146" s="4">
        <v>91766</v>
      </c>
      <c r="D146" s="4">
        <v>5</v>
      </c>
      <c r="E146" s="4">
        <v>10158502</v>
      </c>
      <c r="F146" s="4" t="s">
        <v>914</v>
      </c>
      <c r="G146" s="4" t="s">
        <v>113</v>
      </c>
      <c r="H146" s="4" t="s">
        <v>113</v>
      </c>
      <c r="I146" s="4" t="s">
        <v>113</v>
      </c>
      <c r="J146" s="4" t="s">
        <v>113</v>
      </c>
      <c r="K146" s="14" t="s">
        <v>113</v>
      </c>
    </row>
    <row r="147" spans="1:11" x14ac:dyDescent="0.2">
      <c r="A147" s="12"/>
      <c r="C147" s="4">
        <v>91750</v>
      </c>
      <c r="D147" s="4">
        <v>5</v>
      </c>
      <c r="E147" s="4">
        <v>10018465</v>
      </c>
      <c r="F147" s="4" t="s">
        <v>914</v>
      </c>
      <c r="G147" s="4" t="s">
        <v>113</v>
      </c>
      <c r="H147" s="4" t="s">
        <v>113</v>
      </c>
      <c r="I147" s="4" t="s">
        <v>103</v>
      </c>
      <c r="J147" s="4" t="s">
        <v>113</v>
      </c>
      <c r="K147" s="14" t="s">
        <v>113</v>
      </c>
    </row>
    <row r="148" spans="1:11" x14ac:dyDescent="0.2">
      <c r="A148" s="11"/>
      <c r="B148" s="9"/>
      <c r="C148" s="9">
        <v>91768</v>
      </c>
      <c r="D148" s="9">
        <v>5</v>
      </c>
      <c r="E148" s="9">
        <v>10243224</v>
      </c>
      <c r="F148" s="9" t="s">
        <v>914</v>
      </c>
      <c r="G148" s="9" t="s">
        <v>113</v>
      </c>
      <c r="H148" s="9" t="s">
        <v>113</v>
      </c>
      <c r="I148" s="9" t="s">
        <v>113</v>
      </c>
      <c r="J148" s="9" t="s">
        <v>113</v>
      </c>
      <c r="K148" s="13" t="s">
        <v>113</v>
      </c>
    </row>
    <row r="149" spans="1:11" x14ac:dyDescent="0.2">
      <c r="A149" s="12"/>
      <c r="C149" s="4">
        <v>91763</v>
      </c>
      <c r="D149" s="4">
        <v>5</v>
      </c>
      <c r="E149" s="4" t="s">
        <v>1052</v>
      </c>
      <c r="F149" s="4" t="s">
        <v>914</v>
      </c>
      <c r="G149" s="4" t="s">
        <v>103</v>
      </c>
      <c r="H149" s="4" t="s">
        <v>103</v>
      </c>
      <c r="I149" s="4" t="s">
        <v>103</v>
      </c>
      <c r="J149" s="4" t="s">
        <v>103</v>
      </c>
      <c r="K149" s="14" t="s">
        <v>103</v>
      </c>
    </row>
    <row r="150" spans="1:11" x14ac:dyDescent="0.2">
      <c r="A150" s="12"/>
      <c r="C150" s="4">
        <v>91786</v>
      </c>
      <c r="D150" s="4">
        <v>5</v>
      </c>
      <c r="E150" s="4">
        <v>10366717</v>
      </c>
      <c r="F150" s="4" t="s">
        <v>914</v>
      </c>
      <c r="G150" s="4" t="s">
        <v>113</v>
      </c>
      <c r="H150" s="4" t="s">
        <v>113</v>
      </c>
      <c r="I150" s="4" t="s">
        <v>113</v>
      </c>
      <c r="J150" s="4" t="s">
        <v>113</v>
      </c>
      <c r="K150" s="14" t="s">
        <v>113</v>
      </c>
    </row>
    <row r="151" spans="1:11" x14ac:dyDescent="0.2">
      <c r="A151" s="11"/>
      <c r="B151" s="9"/>
      <c r="C151" s="9">
        <v>91702</v>
      </c>
      <c r="D151" s="9">
        <v>5</v>
      </c>
      <c r="E151" s="9">
        <v>10334912</v>
      </c>
      <c r="F151" s="9" t="s">
        <v>919</v>
      </c>
      <c r="G151" s="9" t="s">
        <v>113</v>
      </c>
      <c r="H151" s="9" t="s">
        <v>113</v>
      </c>
      <c r="I151" s="9" t="s">
        <v>113</v>
      </c>
      <c r="J151" s="9" t="s">
        <v>113</v>
      </c>
      <c r="K151" s="13" t="s">
        <v>113</v>
      </c>
    </row>
    <row r="152" spans="1:11" x14ac:dyDescent="0.2">
      <c r="A152" s="12"/>
      <c r="C152" s="4">
        <v>91762</v>
      </c>
      <c r="D152" s="4">
        <v>5</v>
      </c>
      <c r="E152" s="4">
        <v>10361257</v>
      </c>
      <c r="F152" s="4" t="s">
        <v>914</v>
      </c>
      <c r="G152" s="4" t="s">
        <v>113</v>
      </c>
      <c r="H152" s="4" t="s">
        <v>113</v>
      </c>
      <c r="I152" s="4" t="s">
        <v>92</v>
      </c>
      <c r="J152" s="4" t="s">
        <v>113</v>
      </c>
      <c r="K152" s="14" t="s">
        <v>92</v>
      </c>
    </row>
    <row r="153" spans="1:11" x14ac:dyDescent="0.2">
      <c r="A153" s="11"/>
      <c r="B153" s="9"/>
      <c r="C153" s="9">
        <v>91673</v>
      </c>
      <c r="D153" s="9">
        <v>5</v>
      </c>
      <c r="E153" s="9" t="s">
        <v>1057</v>
      </c>
      <c r="F153" s="9" t="s">
        <v>914</v>
      </c>
      <c r="G153" s="9" t="s">
        <v>113</v>
      </c>
      <c r="H153" s="9" t="s">
        <v>113</v>
      </c>
      <c r="I153" s="9" t="s">
        <v>113</v>
      </c>
      <c r="J153" s="9" t="s">
        <v>113</v>
      </c>
      <c r="K153" s="13" t="s">
        <v>113</v>
      </c>
    </row>
    <row r="154" spans="1:11" x14ac:dyDescent="0.2">
      <c r="A154" s="11"/>
      <c r="B154" s="9"/>
      <c r="C154" s="9">
        <v>91710</v>
      </c>
      <c r="D154" s="9">
        <v>5.2</v>
      </c>
      <c r="E154" s="9">
        <v>10364131</v>
      </c>
      <c r="F154" s="9" t="s">
        <v>914</v>
      </c>
      <c r="G154" s="9" t="s">
        <v>113</v>
      </c>
      <c r="H154" s="9" t="s">
        <v>103</v>
      </c>
      <c r="I154" s="9" t="s">
        <v>103</v>
      </c>
      <c r="J154" s="9" t="s">
        <v>103</v>
      </c>
      <c r="K154" s="13" t="s">
        <v>103</v>
      </c>
    </row>
    <row r="155" spans="1:11" x14ac:dyDescent="0.2">
      <c r="A155" s="11"/>
      <c r="B155" s="9"/>
      <c r="C155" s="9">
        <v>91784</v>
      </c>
      <c r="D155" s="9">
        <v>5.6</v>
      </c>
      <c r="E155" s="9">
        <v>10358547</v>
      </c>
      <c r="F155" s="9" t="s">
        <v>914</v>
      </c>
      <c r="G155" s="9" t="s">
        <v>191</v>
      </c>
      <c r="H155" s="9" t="s">
        <v>191</v>
      </c>
      <c r="I155" s="9" t="s">
        <v>191</v>
      </c>
      <c r="J155" s="9" t="s">
        <v>191</v>
      </c>
      <c r="K155" s="13" t="s">
        <v>191</v>
      </c>
    </row>
    <row r="156" spans="1:11" x14ac:dyDescent="0.2">
      <c r="A156" s="12"/>
      <c r="C156" s="4">
        <v>91762</v>
      </c>
      <c r="D156" s="4">
        <v>6</v>
      </c>
      <c r="E156" s="4">
        <v>10043333</v>
      </c>
      <c r="F156" s="4" t="s">
        <v>914</v>
      </c>
      <c r="G156" s="4" t="s">
        <v>113</v>
      </c>
      <c r="H156" s="4" t="s">
        <v>113</v>
      </c>
      <c r="I156" s="4" t="s">
        <v>113</v>
      </c>
      <c r="J156" s="4" t="s">
        <v>113</v>
      </c>
      <c r="K156" s="14" t="s">
        <v>113</v>
      </c>
    </row>
    <row r="157" spans="1:11" x14ac:dyDescent="0.2">
      <c r="A157" s="12"/>
      <c r="C157" s="4">
        <v>91764</v>
      </c>
      <c r="D157" s="4">
        <v>6</v>
      </c>
      <c r="E157" s="4" t="s">
        <v>1059</v>
      </c>
      <c r="F157" s="4" t="s">
        <v>914</v>
      </c>
      <c r="G157" s="4" t="s">
        <v>113</v>
      </c>
      <c r="H157" s="4" t="s">
        <v>113</v>
      </c>
      <c r="I157" s="4" t="s">
        <v>113</v>
      </c>
      <c r="J157" s="4" t="s">
        <v>113</v>
      </c>
      <c r="K157" s="14" t="s">
        <v>113</v>
      </c>
    </row>
    <row r="158" spans="1:11" x14ac:dyDescent="0.2">
      <c r="A158" s="12"/>
      <c r="C158" s="4">
        <v>91706</v>
      </c>
      <c r="D158" s="4">
        <v>6</v>
      </c>
      <c r="E158" s="4">
        <v>10366662</v>
      </c>
      <c r="F158" s="4" t="s">
        <v>914</v>
      </c>
      <c r="G158" s="4" t="s">
        <v>103</v>
      </c>
      <c r="H158" s="4" t="s">
        <v>103</v>
      </c>
      <c r="I158" s="4" t="s">
        <v>103</v>
      </c>
      <c r="J158" s="4" t="s">
        <v>103</v>
      </c>
      <c r="K158" s="14" t="s">
        <v>103</v>
      </c>
    </row>
    <row r="159" spans="1:11" x14ac:dyDescent="0.2">
      <c r="A159" s="12"/>
      <c r="C159" s="4">
        <v>91762</v>
      </c>
      <c r="D159" s="4">
        <v>6</v>
      </c>
      <c r="E159" s="4">
        <v>10042946</v>
      </c>
      <c r="F159" s="4" t="s">
        <v>914</v>
      </c>
      <c r="G159" s="4" t="s">
        <v>113</v>
      </c>
      <c r="H159" s="4" t="s">
        <v>113</v>
      </c>
      <c r="I159" s="4" t="s">
        <v>113</v>
      </c>
      <c r="J159" s="4" t="s">
        <v>113</v>
      </c>
      <c r="K159" s="14" t="s">
        <v>113</v>
      </c>
    </row>
    <row r="160" spans="1:11" x14ac:dyDescent="0.2">
      <c r="A160" s="12"/>
      <c r="C160" s="4">
        <v>91766</v>
      </c>
      <c r="D160" s="4">
        <v>6</v>
      </c>
      <c r="E160" s="4">
        <v>122122</v>
      </c>
      <c r="F160" s="4" t="s">
        <v>914</v>
      </c>
      <c r="G160" s="4" t="s">
        <v>113</v>
      </c>
      <c r="H160" s="4" t="s">
        <v>113</v>
      </c>
      <c r="I160" s="4" t="s">
        <v>113</v>
      </c>
      <c r="J160" s="4" t="s">
        <v>113</v>
      </c>
      <c r="K160" s="14" t="s">
        <v>113</v>
      </c>
    </row>
    <row r="161" spans="1:11" x14ac:dyDescent="0.2">
      <c r="A161" s="11"/>
      <c r="B161" s="9"/>
      <c r="C161" s="9">
        <v>91762</v>
      </c>
      <c r="D161" s="9">
        <v>6</v>
      </c>
      <c r="E161" s="9">
        <v>103730521</v>
      </c>
      <c r="F161" s="9" t="s">
        <v>914</v>
      </c>
      <c r="G161" s="9" t="s">
        <v>933</v>
      </c>
      <c r="H161" s="9" t="s">
        <v>933</v>
      </c>
      <c r="I161" s="9" t="s">
        <v>933</v>
      </c>
      <c r="J161" s="9" t="s">
        <v>195</v>
      </c>
      <c r="K161" s="13" t="s">
        <v>933</v>
      </c>
    </row>
    <row r="162" spans="1:11" x14ac:dyDescent="0.2">
      <c r="A162" s="11"/>
      <c r="B162" s="9"/>
      <c r="C162" s="9">
        <v>91750</v>
      </c>
      <c r="D162" s="9">
        <v>6</v>
      </c>
      <c r="E162" s="9">
        <v>10271604</v>
      </c>
      <c r="F162" s="9" t="s">
        <v>914</v>
      </c>
      <c r="G162" s="9" t="s">
        <v>113</v>
      </c>
      <c r="H162" s="9" t="s">
        <v>113</v>
      </c>
      <c r="I162" s="9" t="s">
        <v>113</v>
      </c>
      <c r="J162" s="9" t="s">
        <v>113</v>
      </c>
      <c r="K162" s="13" t="s">
        <v>113</v>
      </c>
    </row>
    <row r="163" spans="1:11" x14ac:dyDescent="0.2">
      <c r="A163" s="11"/>
      <c r="B163" s="9"/>
      <c r="C163" s="9">
        <v>91730</v>
      </c>
      <c r="D163" s="9">
        <v>6</v>
      </c>
      <c r="E163" s="9">
        <v>10352784</v>
      </c>
      <c r="F163" s="9" t="s">
        <v>914</v>
      </c>
      <c r="G163" s="9" t="s">
        <v>113</v>
      </c>
      <c r="H163" s="9" t="s">
        <v>113</v>
      </c>
      <c r="I163" s="9" t="s">
        <v>113</v>
      </c>
      <c r="J163" s="9" t="s">
        <v>113</v>
      </c>
      <c r="K163" s="13" t="s">
        <v>113</v>
      </c>
    </row>
    <row r="164" spans="1:11" x14ac:dyDescent="0.2">
      <c r="A164" s="11"/>
      <c r="B164" s="9"/>
      <c r="C164" s="9">
        <v>91784</v>
      </c>
      <c r="D164" s="9">
        <v>6</v>
      </c>
      <c r="E164" s="9">
        <v>103730312</v>
      </c>
      <c r="F164" s="9" t="s">
        <v>919</v>
      </c>
      <c r="G164" s="9" t="s">
        <v>113</v>
      </c>
      <c r="H164" s="9" t="s">
        <v>113</v>
      </c>
      <c r="I164" s="9" t="s">
        <v>113</v>
      </c>
      <c r="J164" s="9" t="s">
        <v>113</v>
      </c>
      <c r="K164" s="13" t="s">
        <v>113</v>
      </c>
    </row>
    <row r="165" spans="1:11" x14ac:dyDescent="0.2">
      <c r="A165" s="12"/>
      <c r="C165" s="4">
        <v>91730</v>
      </c>
      <c r="D165" s="4">
        <v>6</v>
      </c>
      <c r="E165" s="4">
        <v>10352674</v>
      </c>
      <c r="F165" s="4" t="s">
        <v>914</v>
      </c>
      <c r="G165" s="4" t="s">
        <v>113</v>
      </c>
      <c r="H165" s="4" t="s">
        <v>113</v>
      </c>
      <c r="I165" s="4" t="s">
        <v>113</v>
      </c>
      <c r="J165" s="4" t="s">
        <v>113</v>
      </c>
      <c r="K165" s="14" t="s">
        <v>113</v>
      </c>
    </row>
    <row r="166" spans="1:11" x14ac:dyDescent="0.2">
      <c r="A166" s="12"/>
      <c r="C166" s="4">
        <v>91784</v>
      </c>
      <c r="D166" s="4">
        <v>6</v>
      </c>
      <c r="E166" s="4">
        <v>100870641</v>
      </c>
      <c r="F166" s="4" t="s">
        <v>914</v>
      </c>
      <c r="G166" s="4" t="s">
        <v>113</v>
      </c>
      <c r="H166" s="4" t="s">
        <v>113</v>
      </c>
      <c r="I166" s="4" t="s">
        <v>113</v>
      </c>
      <c r="J166" s="4" t="s">
        <v>113</v>
      </c>
      <c r="K166" s="14" t="s">
        <v>113</v>
      </c>
    </row>
    <row r="167" spans="1:11" x14ac:dyDescent="0.2">
      <c r="A167" s="12"/>
      <c r="C167" s="4">
        <v>91784</v>
      </c>
      <c r="D167" s="4">
        <v>6.1</v>
      </c>
      <c r="E167" s="4">
        <v>103559453</v>
      </c>
      <c r="F167" s="4" t="s">
        <v>914</v>
      </c>
      <c r="G167" s="4" t="s">
        <v>202</v>
      </c>
      <c r="H167" s="4" t="s">
        <v>202</v>
      </c>
      <c r="I167" s="4" t="s">
        <v>113</v>
      </c>
      <c r="J167" s="4" t="s">
        <v>113</v>
      </c>
      <c r="K167" s="14" t="s">
        <v>113</v>
      </c>
    </row>
    <row r="168" spans="1:11" x14ac:dyDescent="0.2">
      <c r="A168" s="11"/>
      <c r="B168" s="9"/>
      <c r="C168" s="9">
        <v>91730</v>
      </c>
      <c r="D168" s="9">
        <v>7</v>
      </c>
      <c r="E168" s="9">
        <v>10089053</v>
      </c>
      <c r="F168" s="9" t="s">
        <v>914</v>
      </c>
      <c r="G168" s="9" t="s">
        <v>113</v>
      </c>
      <c r="H168" s="9" t="s">
        <v>113</v>
      </c>
      <c r="I168" s="9" t="s">
        <v>113</v>
      </c>
      <c r="J168" s="9" t="s">
        <v>113</v>
      </c>
      <c r="K168" s="13" t="s">
        <v>113</v>
      </c>
    </row>
    <row r="169" spans="1:11" x14ac:dyDescent="0.2">
      <c r="A169" s="11"/>
      <c r="B169" s="9"/>
      <c r="C169" s="9">
        <v>91784</v>
      </c>
      <c r="D169" s="9">
        <v>7</v>
      </c>
      <c r="E169" s="9">
        <v>10180504</v>
      </c>
      <c r="F169" s="9" t="s">
        <v>914</v>
      </c>
      <c r="G169" s="9" t="s">
        <v>113</v>
      </c>
      <c r="H169" s="9" t="s">
        <v>113</v>
      </c>
      <c r="I169" s="9" t="s">
        <v>113</v>
      </c>
      <c r="J169" s="9" t="s">
        <v>113</v>
      </c>
      <c r="K169" s="13" t="s">
        <v>113</v>
      </c>
    </row>
    <row r="170" spans="1:11" x14ac:dyDescent="0.2">
      <c r="A170" s="11"/>
      <c r="B170" s="9"/>
      <c r="C170" s="9">
        <v>91764</v>
      </c>
      <c r="D170" s="9">
        <v>7</v>
      </c>
      <c r="E170" s="9">
        <v>10373053</v>
      </c>
      <c r="F170" s="9" t="s">
        <v>914</v>
      </c>
      <c r="G170" s="9" t="s">
        <v>113</v>
      </c>
      <c r="H170" s="9" t="s">
        <v>113</v>
      </c>
      <c r="I170" s="9" t="s">
        <v>113</v>
      </c>
      <c r="J170" s="9" t="s">
        <v>113</v>
      </c>
      <c r="K170" s="13" t="s">
        <v>113</v>
      </c>
    </row>
    <row r="171" spans="1:11" x14ac:dyDescent="0.2">
      <c r="A171" s="12"/>
      <c r="C171" s="4">
        <v>91753</v>
      </c>
      <c r="D171" s="4">
        <v>7</v>
      </c>
      <c r="E171" s="4">
        <v>10368510</v>
      </c>
      <c r="F171" s="4" t="s">
        <v>914</v>
      </c>
      <c r="G171" s="4" t="s">
        <v>113</v>
      </c>
      <c r="H171" s="4" t="s">
        <v>113</v>
      </c>
      <c r="I171" s="4" t="s">
        <v>113</v>
      </c>
      <c r="J171" s="4" t="s">
        <v>113</v>
      </c>
      <c r="K171" s="14" t="s">
        <v>113</v>
      </c>
    </row>
    <row r="172" spans="1:11" x14ac:dyDescent="0.2">
      <c r="A172" s="11"/>
      <c r="B172" s="9"/>
      <c r="C172" s="9">
        <v>91786</v>
      </c>
      <c r="D172" s="9">
        <v>7</v>
      </c>
      <c r="E172" s="9">
        <v>103704832</v>
      </c>
      <c r="F172" s="9" t="s">
        <v>914</v>
      </c>
      <c r="G172" s="9" t="s">
        <v>113</v>
      </c>
      <c r="H172" s="9" t="s">
        <v>113</v>
      </c>
      <c r="I172" s="9" t="s">
        <v>113</v>
      </c>
      <c r="J172" s="9" t="s">
        <v>113</v>
      </c>
      <c r="K172" s="13" t="s">
        <v>113</v>
      </c>
    </row>
    <row r="173" spans="1:11" x14ac:dyDescent="0.2">
      <c r="A173" s="11"/>
      <c r="B173" s="9"/>
      <c r="C173" s="9">
        <v>91768</v>
      </c>
      <c r="D173" s="9">
        <v>7</v>
      </c>
      <c r="E173" s="9">
        <v>10168793</v>
      </c>
      <c r="F173" s="9" t="s">
        <v>914</v>
      </c>
      <c r="G173" s="9" t="s">
        <v>113</v>
      </c>
      <c r="H173" s="9" t="s">
        <v>113</v>
      </c>
      <c r="I173" s="9" t="s">
        <v>113</v>
      </c>
      <c r="J173" s="9" t="s">
        <v>113</v>
      </c>
      <c r="K173" s="13" t="s">
        <v>113</v>
      </c>
    </row>
    <row r="174" spans="1:11" x14ac:dyDescent="0.2">
      <c r="A174" s="11"/>
      <c r="B174" s="9"/>
      <c r="C174" s="9">
        <v>91750</v>
      </c>
      <c r="D174" s="9">
        <v>7</v>
      </c>
      <c r="E174" s="9">
        <v>10362550</v>
      </c>
      <c r="F174" s="9" t="s">
        <v>914</v>
      </c>
      <c r="G174" s="9" t="s">
        <v>103</v>
      </c>
      <c r="H174" s="9" t="s">
        <v>113</v>
      </c>
      <c r="I174" s="9" t="s">
        <v>113</v>
      </c>
      <c r="J174" s="9" t="s">
        <v>113</v>
      </c>
      <c r="K174" s="13" t="s">
        <v>113</v>
      </c>
    </row>
    <row r="175" spans="1:11" x14ac:dyDescent="0.2">
      <c r="A175" s="11"/>
      <c r="B175" s="9"/>
      <c r="C175" s="9">
        <v>91750</v>
      </c>
      <c r="D175" s="9">
        <v>7</v>
      </c>
      <c r="E175" s="9">
        <v>10279896</v>
      </c>
      <c r="F175" s="9" t="s">
        <v>914</v>
      </c>
      <c r="G175" s="9" t="s">
        <v>1016</v>
      </c>
      <c r="H175" s="9" t="s">
        <v>1016</v>
      </c>
      <c r="I175" s="9" t="s">
        <v>1016</v>
      </c>
      <c r="J175" s="9" t="s">
        <v>1016</v>
      </c>
      <c r="K175" s="13" t="s">
        <v>1016</v>
      </c>
    </row>
    <row r="176" spans="1:11" x14ac:dyDescent="0.2">
      <c r="A176" s="11"/>
      <c r="B176" s="9"/>
      <c r="C176" s="9">
        <v>91740</v>
      </c>
      <c r="D176" s="9">
        <v>7</v>
      </c>
      <c r="E176" s="9">
        <v>103726683</v>
      </c>
      <c r="F176" s="9" t="s">
        <v>914</v>
      </c>
      <c r="G176" s="9" t="s">
        <v>113</v>
      </c>
      <c r="H176" s="9" t="s">
        <v>103</v>
      </c>
      <c r="I176" s="9" t="s">
        <v>113</v>
      </c>
      <c r="J176" s="9" t="s">
        <v>113</v>
      </c>
      <c r="K176" s="13" t="s">
        <v>103</v>
      </c>
    </row>
    <row r="177" spans="1:11" x14ac:dyDescent="0.2">
      <c r="A177" s="11"/>
      <c r="B177" s="9"/>
      <c r="C177" s="9">
        <v>91784</v>
      </c>
      <c r="D177" s="9">
        <v>7</v>
      </c>
      <c r="E177" s="9">
        <v>10366651</v>
      </c>
      <c r="F177" s="9" t="s">
        <v>914</v>
      </c>
      <c r="G177" s="9" t="s">
        <v>103</v>
      </c>
      <c r="H177" s="9" t="s">
        <v>113</v>
      </c>
      <c r="I177" s="9" t="s">
        <v>113</v>
      </c>
      <c r="J177" s="9" t="s">
        <v>113</v>
      </c>
      <c r="K177" s="13" t="s">
        <v>103</v>
      </c>
    </row>
    <row r="178" spans="1:11" x14ac:dyDescent="0.2">
      <c r="A178" s="12"/>
      <c r="C178" s="4">
        <v>91784</v>
      </c>
      <c r="D178" s="4">
        <v>7.3</v>
      </c>
      <c r="E178" s="4">
        <v>103734282</v>
      </c>
      <c r="F178" s="4" t="s">
        <v>914</v>
      </c>
      <c r="G178" s="4" t="s">
        <v>113</v>
      </c>
      <c r="H178" s="4" t="s">
        <v>113</v>
      </c>
      <c r="I178" s="4" t="s">
        <v>191</v>
      </c>
      <c r="J178" s="4" t="s">
        <v>191</v>
      </c>
      <c r="K178" s="14" t="s">
        <v>191</v>
      </c>
    </row>
    <row r="179" spans="1:11" x14ac:dyDescent="0.2">
      <c r="A179" s="11"/>
      <c r="B179" s="9"/>
      <c r="C179" s="9">
        <v>91761</v>
      </c>
      <c r="D179" s="9">
        <v>7.4</v>
      </c>
      <c r="E179" s="9">
        <v>10356289</v>
      </c>
      <c r="F179" s="9" t="s">
        <v>914</v>
      </c>
      <c r="G179" s="9" t="s">
        <v>113</v>
      </c>
      <c r="H179" s="9" t="s">
        <v>113</v>
      </c>
      <c r="I179" s="9" t="s">
        <v>113</v>
      </c>
      <c r="J179" s="9" t="s">
        <v>113</v>
      </c>
      <c r="K179" s="13" t="s">
        <v>113</v>
      </c>
    </row>
    <row r="180" spans="1:11" x14ac:dyDescent="0.2">
      <c r="A180" s="11"/>
      <c r="B180" s="9"/>
      <c r="C180" s="9">
        <v>91764</v>
      </c>
      <c r="D180" s="9">
        <v>7.5</v>
      </c>
      <c r="E180" s="9">
        <v>10340696</v>
      </c>
      <c r="F180" s="9" t="s">
        <v>914</v>
      </c>
      <c r="G180" s="9" t="s">
        <v>113</v>
      </c>
      <c r="H180" s="9" t="s">
        <v>113</v>
      </c>
      <c r="I180" s="9" t="s">
        <v>113</v>
      </c>
      <c r="J180" s="9" t="s">
        <v>113</v>
      </c>
      <c r="K180" s="13" t="s">
        <v>113</v>
      </c>
    </row>
    <row r="181" spans="1:11" x14ac:dyDescent="0.2">
      <c r="A181" s="11"/>
      <c r="B181" s="9"/>
      <c r="C181" s="9">
        <v>91773</v>
      </c>
      <c r="D181" s="9">
        <v>7.8</v>
      </c>
      <c r="E181" s="9">
        <v>103742191</v>
      </c>
      <c r="F181" s="9" t="s">
        <v>919</v>
      </c>
      <c r="G181" s="9" t="s">
        <v>113</v>
      </c>
      <c r="H181" s="9" t="s">
        <v>113</v>
      </c>
      <c r="I181" s="9" t="s">
        <v>933</v>
      </c>
      <c r="J181" s="9" t="s">
        <v>113</v>
      </c>
      <c r="K181" s="13" t="s">
        <v>113</v>
      </c>
    </row>
    <row r="182" spans="1:11" x14ac:dyDescent="0.2">
      <c r="A182" s="12"/>
      <c r="C182" s="4">
        <v>91763</v>
      </c>
      <c r="D182" s="4">
        <v>8</v>
      </c>
      <c r="E182" s="4">
        <v>10346026</v>
      </c>
      <c r="F182" s="4" t="s">
        <v>914</v>
      </c>
      <c r="G182" s="4" t="s">
        <v>113</v>
      </c>
      <c r="H182" s="4" t="s">
        <v>113</v>
      </c>
      <c r="I182" s="4" t="s">
        <v>113</v>
      </c>
      <c r="J182" s="4" t="s">
        <v>113</v>
      </c>
      <c r="K182" s="14" t="s">
        <v>113</v>
      </c>
    </row>
    <row r="183" spans="1:11" x14ac:dyDescent="0.2">
      <c r="A183" s="11"/>
      <c r="B183" s="9"/>
      <c r="C183" s="9">
        <v>91750</v>
      </c>
      <c r="D183" s="9">
        <v>8</v>
      </c>
      <c r="E183" s="9">
        <v>103499721</v>
      </c>
      <c r="F183" s="9" t="s">
        <v>914</v>
      </c>
      <c r="G183" s="9" t="s">
        <v>113</v>
      </c>
      <c r="H183" s="9" t="s">
        <v>113</v>
      </c>
      <c r="I183" s="9" t="s">
        <v>113</v>
      </c>
      <c r="J183" s="9" t="s">
        <v>103</v>
      </c>
      <c r="K183" s="13" t="s">
        <v>113</v>
      </c>
    </row>
    <row r="184" spans="1:11" x14ac:dyDescent="0.2">
      <c r="A184" s="12"/>
      <c r="C184" s="4">
        <v>91762</v>
      </c>
      <c r="D184" s="4">
        <v>8</v>
      </c>
      <c r="E184" s="4">
        <v>10085156</v>
      </c>
      <c r="F184" s="4" t="s">
        <v>914</v>
      </c>
      <c r="G184" s="4" t="s">
        <v>113</v>
      </c>
      <c r="H184" s="4" t="s">
        <v>113</v>
      </c>
      <c r="I184" s="4" t="s">
        <v>113</v>
      </c>
      <c r="J184" s="4" t="s">
        <v>113</v>
      </c>
      <c r="K184" s="14" t="s">
        <v>113</v>
      </c>
    </row>
    <row r="185" spans="1:11" x14ac:dyDescent="0.2">
      <c r="A185" s="11"/>
      <c r="B185" s="9"/>
      <c r="C185" s="9">
        <v>91762</v>
      </c>
      <c r="D185" s="9">
        <v>8</v>
      </c>
      <c r="E185" s="9">
        <v>10199325</v>
      </c>
      <c r="F185" s="9" t="s">
        <v>914</v>
      </c>
      <c r="G185" s="9" t="s">
        <v>113</v>
      </c>
      <c r="H185" s="9" t="s">
        <v>113</v>
      </c>
      <c r="I185" s="9" t="s">
        <v>113</v>
      </c>
      <c r="J185" s="9" t="s">
        <v>113</v>
      </c>
      <c r="K185" s="13" t="s">
        <v>113</v>
      </c>
    </row>
    <row r="186" spans="1:11" x14ac:dyDescent="0.2">
      <c r="A186" s="11"/>
      <c r="B186" s="9"/>
      <c r="C186" s="9">
        <v>91730</v>
      </c>
      <c r="D186" s="9">
        <v>8</v>
      </c>
      <c r="E186" s="9">
        <v>10042917</v>
      </c>
      <c r="F186" s="9" t="s">
        <v>914</v>
      </c>
      <c r="G186" s="9" t="s">
        <v>113</v>
      </c>
      <c r="H186" s="9" t="s">
        <v>113</v>
      </c>
      <c r="I186" s="9" t="s">
        <v>113</v>
      </c>
      <c r="J186" s="9" t="s">
        <v>113</v>
      </c>
      <c r="K186" s="13" t="s">
        <v>113</v>
      </c>
    </row>
    <row r="187" spans="1:11" x14ac:dyDescent="0.2">
      <c r="A187" s="12"/>
      <c r="C187" s="4">
        <v>91701</v>
      </c>
      <c r="D187" s="4">
        <v>8</v>
      </c>
      <c r="E187" s="4" t="s">
        <v>1095</v>
      </c>
      <c r="F187" s="4" t="s">
        <v>914</v>
      </c>
      <c r="G187" s="4" t="s">
        <v>113</v>
      </c>
      <c r="H187" s="4" t="s">
        <v>113</v>
      </c>
      <c r="I187" s="4" t="s">
        <v>113</v>
      </c>
      <c r="J187" s="4" t="s">
        <v>113</v>
      </c>
      <c r="K187" s="14" t="s">
        <v>113</v>
      </c>
    </row>
    <row r="188" spans="1:11" x14ac:dyDescent="0.2">
      <c r="A188" s="12"/>
      <c r="C188" s="4">
        <v>91769</v>
      </c>
      <c r="D188" s="4">
        <v>8</v>
      </c>
      <c r="E188" s="4">
        <v>10358766</v>
      </c>
      <c r="F188" s="4" t="s">
        <v>914</v>
      </c>
      <c r="G188" s="4" t="s">
        <v>103</v>
      </c>
      <c r="H188" s="4" t="s">
        <v>103</v>
      </c>
      <c r="I188" s="4" t="s">
        <v>103</v>
      </c>
      <c r="J188" s="4" t="s">
        <v>103</v>
      </c>
      <c r="K188" s="14" t="s">
        <v>103</v>
      </c>
    </row>
    <row r="189" spans="1:11" x14ac:dyDescent="0.2">
      <c r="A189" s="11"/>
      <c r="B189" s="9"/>
      <c r="C189" s="9">
        <v>91711</v>
      </c>
      <c r="D189" s="9">
        <v>8</v>
      </c>
      <c r="E189" s="9">
        <v>10373043</v>
      </c>
      <c r="F189" s="9" t="s">
        <v>919</v>
      </c>
      <c r="G189" s="9" t="s">
        <v>113</v>
      </c>
      <c r="H189" s="9" t="s">
        <v>113</v>
      </c>
      <c r="I189" s="9" t="s">
        <v>113</v>
      </c>
      <c r="J189" s="9" t="s">
        <v>113</v>
      </c>
      <c r="K189" s="13" t="s">
        <v>113</v>
      </c>
    </row>
    <row r="190" spans="1:11" x14ac:dyDescent="0.2">
      <c r="A190" s="12"/>
      <c r="C190" s="4">
        <v>91722</v>
      </c>
      <c r="D190" s="4">
        <v>8</v>
      </c>
      <c r="E190" s="4">
        <v>10043567</v>
      </c>
      <c r="F190" s="4" t="s">
        <v>914</v>
      </c>
      <c r="G190" s="4" t="s">
        <v>113</v>
      </c>
      <c r="H190" s="4" t="s">
        <v>113</v>
      </c>
      <c r="I190" s="4" t="s">
        <v>113</v>
      </c>
      <c r="J190" s="4" t="s">
        <v>113</v>
      </c>
      <c r="K190" s="14" t="s">
        <v>113</v>
      </c>
    </row>
    <row r="191" spans="1:11" x14ac:dyDescent="0.2">
      <c r="A191" s="12"/>
      <c r="C191" s="4">
        <v>91701</v>
      </c>
      <c r="D191" s="4">
        <v>8</v>
      </c>
      <c r="E191" s="4">
        <v>10021827</v>
      </c>
      <c r="F191" s="4" t="s">
        <v>914</v>
      </c>
      <c r="G191" s="4" t="s">
        <v>113</v>
      </c>
      <c r="H191" s="4" t="s">
        <v>113</v>
      </c>
      <c r="I191" s="4" t="s">
        <v>103</v>
      </c>
      <c r="J191" s="4" t="s">
        <v>113</v>
      </c>
      <c r="K191" s="14" t="s">
        <v>113</v>
      </c>
    </row>
    <row r="192" spans="1:11" x14ac:dyDescent="0.2">
      <c r="A192" s="11"/>
      <c r="B192" s="9"/>
      <c r="C192" s="9">
        <v>91740</v>
      </c>
      <c r="D192" s="9">
        <v>8</v>
      </c>
      <c r="E192" s="9">
        <v>10315938</v>
      </c>
      <c r="F192" s="9" t="s">
        <v>914</v>
      </c>
      <c r="G192" s="9" t="s">
        <v>113</v>
      </c>
      <c r="H192" s="9" t="s">
        <v>113</v>
      </c>
      <c r="I192" s="9" t="s">
        <v>113</v>
      </c>
      <c r="J192" s="9" t="s">
        <v>113</v>
      </c>
      <c r="K192" s="13" t="s">
        <v>113</v>
      </c>
    </row>
    <row r="193" spans="1:11" x14ac:dyDescent="0.2">
      <c r="A193" s="11"/>
      <c r="B193" s="9"/>
      <c r="C193" s="9">
        <v>91764</v>
      </c>
      <c r="D193" s="9">
        <v>8</v>
      </c>
      <c r="E193" s="9" t="s">
        <v>1104</v>
      </c>
      <c r="F193" s="9" t="s">
        <v>914</v>
      </c>
      <c r="G193" s="9" t="s">
        <v>113</v>
      </c>
      <c r="H193" s="9" t="s">
        <v>113</v>
      </c>
      <c r="I193" s="9" t="s">
        <v>113</v>
      </c>
      <c r="J193" s="9" t="s">
        <v>113</v>
      </c>
      <c r="K193" s="13" t="s">
        <v>113</v>
      </c>
    </row>
    <row r="194" spans="1:11" x14ac:dyDescent="0.2">
      <c r="A194" s="11"/>
      <c r="B194" s="9"/>
      <c r="C194" s="9">
        <v>91773</v>
      </c>
      <c r="D194" s="9">
        <v>8</v>
      </c>
      <c r="E194" s="9">
        <v>10260863</v>
      </c>
      <c r="F194" s="9" t="s">
        <v>914</v>
      </c>
      <c r="G194" s="9" t="s">
        <v>113</v>
      </c>
      <c r="H194" s="9" t="s">
        <v>113</v>
      </c>
      <c r="I194" s="9" t="s">
        <v>113</v>
      </c>
      <c r="J194" s="9" t="s">
        <v>113</v>
      </c>
      <c r="K194" s="13" t="s">
        <v>113</v>
      </c>
    </row>
    <row r="195" spans="1:11" x14ac:dyDescent="0.2">
      <c r="A195" s="12"/>
      <c r="C195" s="4">
        <v>91730</v>
      </c>
      <c r="D195" s="4">
        <v>8</v>
      </c>
      <c r="E195" s="4">
        <v>10043235</v>
      </c>
      <c r="F195" s="4" t="s">
        <v>914</v>
      </c>
      <c r="G195" s="4" t="s">
        <v>113</v>
      </c>
      <c r="H195" s="4" t="s">
        <v>113</v>
      </c>
      <c r="I195" s="4" t="s">
        <v>113</v>
      </c>
      <c r="J195" s="4" t="s">
        <v>113</v>
      </c>
      <c r="K195" s="14" t="s">
        <v>113</v>
      </c>
    </row>
    <row r="196" spans="1:11" x14ac:dyDescent="0.2">
      <c r="A196" s="12"/>
      <c r="C196" s="4">
        <v>91730</v>
      </c>
      <c r="D196" s="4">
        <v>8</v>
      </c>
      <c r="E196" s="4">
        <v>10289955</v>
      </c>
      <c r="F196" s="4" t="s">
        <v>914</v>
      </c>
      <c r="G196" s="4" t="s">
        <v>113</v>
      </c>
      <c r="H196" s="4" t="s">
        <v>113</v>
      </c>
      <c r="I196" s="4" t="s">
        <v>113</v>
      </c>
      <c r="J196" s="4" t="s">
        <v>113</v>
      </c>
      <c r="K196" s="14" t="s">
        <v>113</v>
      </c>
    </row>
    <row r="197" spans="1:11" x14ac:dyDescent="0.2">
      <c r="A197" s="11"/>
      <c r="B197" s="9"/>
      <c r="C197" s="9">
        <v>91764</v>
      </c>
      <c r="D197" s="9">
        <v>8</v>
      </c>
      <c r="E197" s="9" t="s">
        <v>1110</v>
      </c>
      <c r="F197" s="9" t="s">
        <v>914</v>
      </c>
      <c r="G197" s="9" t="s">
        <v>191</v>
      </c>
      <c r="H197" s="9" t="s">
        <v>191</v>
      </c>
      <c r="I197" s="9" t="s">
        <v>191</v>
      </c>
      <c r="J197" s="9" t="s">
        <v>191</v>
      </c>
      <c r="K197" s="13" t="s">
        <v>191</v>
      </c>
    </row>
    <row r="198" spans="1:11" x14ac:dyDescent="0.2">
      <c r="A198" s="12"/>
      <c r="C198" s="4">
        <v>91764</v>
      </c>
      <c r="D198" s="4">
        <v>8</v>
      </c>
      <c r="E198" s="4" t="s">
        <v>1113</v>
      </c>
      <c r="F198" s="4" t="s">
        <v>914</v>
      </c>
      <c r="G198" s="4" t="s">
        <v>113</v>
      </c>
      <c r="H198" s="4" t="s">
        <v>113</v>
      </c>
      <c r="I198" s="4" t="s">
        <v>113</v>
      </c>
      <c r="J198" s="4" t="s">
        <v>113</v>
      </c>
      <c r="K198" s="14" t="s">
        <v>113</v>
      </c>
    </row>
    <row r="199" spans="1:11" x14ac:dyDescent="0.2">
      <c r="A199" s="11"/>
      <c r="B199" s="9"/>
      <c r="C199" s="9">
        <v>91761</v>
      </c>
      <c r="D199" s="9">
        <v>8.4</v>
      </c>
      <c r="E199" s="9" t="s">
        <v>1114</v>
      </c>
      <c r="F199" s="9" t="s">
        <v>914</v>
      </c>
      <c r="G199" s="9" t="s">
        <v>113</v>
      </c>
      <c r="H199" s="9" t="s">
        <v>113</v>
      </c>
      <c r="I199" s="9" t="s">
        <v>113</v>
      </c>
      <c r="J199" s="9" t="s">
        <v>113</v>
      </c>
      <c r="K199" s="13" t="s">
        <v>113</v>
      </c>
    </row>
    <row r="200" spans="1:11" x14ac:dyDescent="0.2">
      <c r="A200" s="12"/>
      <c r="C200" s="4">
        <v>91773</v>
      </c>
      <c r="D200" s="4">
        <v>8.5</v>
      </c>
      <c r="E200" s="4">
        <v>103730571</v>
      </c>
      <c r="F200" s="4" t="s">
        <v>914</v>
      </c>
      <c r="G200" s="4" t="s">
        <v>113</v>
      </c>
      <c r="H200" s="4" t="s">
        <v>113</v>
      </c>
      <c r="I200" s="4" t="s">
        <v>113</v>
      </c>
      <c r="J200" s="4" t="s">
        <v>113</v>
      </c>
      <c r="K200" s="14" t="s">
        <v>113</v>
      </c>
    </row>
    <row r="201" spans="1:11" x14ac:dyDescent="0.2">
      <c r="A201" s="11"/>
      <c r="B201" s="9"/>
      <c r="C201" s="9">
        <v>91730</v>
      </c>
      <c r="D201" s="9">
        <v>9</v>
      </c>
      <c r="E201" s="9">
        <v>10373069</v>
      </c>
      <c r="F201" s="9" t="s">
        <v>914</v>
      </c>
      <c r="G201" s="9" t="s">
        <v>113</v>
      </c>
      <c r="H201" s="9" t="s">
        <v>113</v>
      </c>
      <c r="I201" s="9" t="s">
        <v>113</v>
      </c>
      <c r="J201" s="9" t="s">
        <v>113</v>
      </c>
      <c r="K201" s="13" t="s">
        <v>113</v>
      </c>
    </row>
    <row r="202" spans="1:11" x14ac:dyDescent="0.2">
      <c r="A202" s="11"/>
      <c r="B202" s="9"/>
      <c r="C202" s="9">
        <v>91730</v>
      </c>
      <c r="D202" s="9">
        <v>9</v>
      </c>
      <c r="E202" s="9">
        <v>10365863</v>
      </c>
      <c r="F202" s="9" t="s">
        <v>914</v>
      </c>
      <c r="G202" s="9" t="s">
        <v>113</v>
      </c>
      <c r="H202" s="9" t="s">
        <v>113</v>
      </c>
      <c r="I202" s="9" t="s">
        <v>113</v>
      </c>
      <c r="J202" s="9" t="s">
        <v>113</v>
      </c>
      <c r="K202" s="13" t="s">
        <v>103</v>
      </c>
    </row>
    <row r="203" spans="1:11" x14ac:dyDescent="0.2">
      <c r="A203" s="11"/>
      <c r="B203" s="9"/>
      <c r="C203" s="9">
        <v>91766</v>
      </c>
      <c r="D203" s="9">
        <v>9</v>
      </c>
      <c r="E203" s="9">
        <v>10090606</v>
      </c>
      <c r="F203" s="9" t="s">
        <v>914</v>
      </c>
      <c r="G203" s="9" t="s">
        <v>113</v>
      </c>
      <c r="H203" s="9" t="s">
        <v>113</v>
      </c>
      <c r="I203" s="9" t="s">
        <v>113</v>
      </c>
      <c r="J203" s="9" t="s">
        <v>113</v>
      </c>
      <c r="K203" s="13" t="s">
        <v>113</v>
      </c>
    </row>
    <row r="204" spans="1:11" x14ac:dyDescent="0.2">
      <c r="A204" s="12"/>
      <c r="C204" s="4">
        <v>91709</v>
      </c>
      <c r="D204" s="4">
        <v>9</v>
      </c>
      <c r="E204" s="4">
        <v>10348107</v>
      </c>
      <c r="F204" s="4" t="s">
        <v>914</v>
      </c>
      <c r="G204" s="4" t="s">
        <v>113</v>
      </c>
      <c r="H204" s="4" t="s">
        <v>113</v>
      </c>
      <c r="I204" s="4" t="s">
        <v>113</v>
      </c>
      <c r="J204" s="4" t="s">
        <v>113</v>
      </c>
      <c r="K204" s="14" t="s">
        <v>113</v>
      </c>
    </row>
    <row r="205" spans="1:11" x14ac:dyDescent="0.2">
      <c r="A205" s="12"/>
      <c r="C205" s="4">
        <v>91761</v>
      </c>
      <c r="D205" s="4">
        <v>9</v>
      </c>
      <c r="E205" s="4">
        <v>10372587</v>
      </c>
      <c r="F205" s="4" t="s">
        <v>914</v>
      </c>
      <c r="G205" s="4" t="s">
        <v>113</v>
      </c>
      <c r="H205" s="4" t="s">
        <v>113</v>
      </c>
      <c r="I205" s="4" t="s">
        <v>113</v>
      </c>
      <c r="J205" s="4" t="s">
        <v>113</v>
      </c>
      <c r="K205" s="14" t="s">
        <v>202</v>
      </c>
    </row>
    <row r="206" spans="1:11" x14ac:dyDescent="0.2">
      <c r="A206" s="12"/>
      <c r="C206" s="4">
        <v>91710</v>
      </c>
      <c r="D206" s="4">
        <v>9.1999999999999993</v>
      </c>
      <c r="E206" s="4">
        <v>10346125</v>
      </c>
      <c r="F206" s="4" t="s">
        <v>914</v>
      </c>
      <c r="G206" s="4" t="s">
        <v>103</v>
      </c>
      <c r="H206" s="4" t="s">
        <v>103</v>
      </c>
      <c r="I206" s="4" t="s">
        <v>103</v>
      </c>
      <c r="J206" s="4" t="s">
        <v>103</v>
      </c>
      <c r="K206" s="14" t="s">
        <v>103</v>
      </c>
    </row>
    <row r="207" spans="1:11" x14ac:dyDescent="0.2">
      <c r="A207" s="11"/>
      <c r="B207" s="9"/>
      <c r="C207" s="9">
        <v>91730</v>
      </c>
      <c r="D207" s="9">
        <v>9.3000000000000007</v>
      </c>
      <c r="E207" s="9">
        <v>103703001</v>
      </c>
      <c r="F207" s="9" t="s">
        <v>914</v>
      </c>
      <c r="G207" s="9" t="s">
        <v>113</v>
      </c>
      <c r="H207" s="9" t="s">
        <v>113</v>
      </c>
      <c r="I207" s="9" t="s">
        <v>113</v>
      </c>
      <c r="J207" s="9" t="s">
        <v>113</v>
      </c>
      <c r="K207" s="13" t="s">
        <v>113</v>
      </c>
    </row>
    <row r="208" spans="1:11" x14ac:dyDescent="0.2">
      <c r="A208" s="11"/>
      <c r="B208" s="9"/>
      <c r="C208" s="9">
        <v>91761</v>
      </c>
      <c r="D208" s="9">
        <v>9.4</v>
      </c>
      <c r="E208" s="9">
        <v>10370205</v>
      </c>
      <c r="F208" s="9" t="s">
        <v>914</v>
      </c>
      <c r="G208" s="9" t="s">
        <v>103</v>
      </c>
      <c r="H208" s="9" t="s">
        <v>103</v>
      </c>
      <c r="I208" s="9" t="s">
        <v>103</v>
      </c>
      <c r="J208" s="9" t="s">
        <v>103</v>
      </c>
      <c r="K208" s="13" t="s">
        <v>103</v>
      </c>
    </row>
    <row r="209" spans="1:11" x14ac:dyDescent="0.2">
      <c r="A209" s="11"/>
      <c r="B209" s="9"/>
      <c r="C209" s="9">
        <v>91737</v>
      </c>
      <c r="D209" s="9">
        <v>10</v>
      </c>
      <c r="E209" s="9" t="s">
        <v>1121</v>
      </c>
      <c r="F209" s="9" t="s">
        <v>914</v>
      </c>
      <c r="G209" s="9" t="s">
        <v>113</v>
      </c>
      <c r="H209" s="9" t="s">
        <v>108</v>
      </c>
      <c r="I209" s="9" t="s">
        <v>113</v>
      </c>
      <c r="J209" s="9" t="s">
        <v>113</v>
      </c>
      <c r="K209" s="13" t="s">
        <v>108</v>
      </c>
    </row>
    <row r="210" spans="1:11" x14ac:dyDescent="0.2">
      <c r="A210" s="11"/>
      <c r="B210" s="9"/>
      <c r="C210" s="9">
        <v>91730</v>
      </c>
      <c r="D210" s="9">
        <v>10</v>
      </c>
      <c r="E210" s="9">
        <v>10183233</v>
      </c>
      <c r="F210" s="9" t="s">
        <v>914</v>
      </c>
      <c r="G210" s="9" t="s">
        <v>113</v>
      </c>
      <c r="H210" s="9" t="s">
        <v>113</v>
      </c>
      <c r="I210" s="9" t="s">
        <v>113</v>
      </c>
      <c r="J210" s="9" t="s">
        <v>113</v>
      </c>
      <c r="K210" s="13" t="s">
        <v>113</v>
      </c>
    </row>
    <row r="211" spans="1:11" x14ac:dyDescent="0.2">
      <c r="A211" s="12"/>
      <c r="C211" s="4">
        <v>91701</v>
      </c>
      <c r="D211" s="4">
        <v>10</v>
      </c>
      <c r="E211" s="4">
        <v>10375228</v>
      </c>
      <c r="F211" s="4" t="s">
        <v>914</v>
      </c>
      <c r="G211" s="4" t="s">
        <v>98</v>
      </c>
      <c r="H211" s="4" t="s">
        <v>98</v>
      </c>
      <c r="I211" s="4" t="s">
        <v>98</v>
      </c>
      <c r="J211" s="4" t="s">
        <v>98</v>
      </c>
      <c r="K211" s="14" t="s">
        <v>98</v>
      </c>
    </row>
    <row r="212" spans="1:11" x14ac:dyDescent="0.2">
      <c r="A212" s="11"/>
      <c r="B212" s="9"/>
      <c r="C212" s="9">
        <v>91701</v>
      </c>
      <c r="D212" s="9">
        <v>10</v>
      </c>
      <c r="E212" s="9">
        <v>10366518</v>
      </c>
      <c r="F212" s="9" t="s">
        <v>914</v>
      </c>
      <c r="G212" s="9" t="s">
        <v>108</v>
      </c>
      <c r="H212" s="9" t="s">
        <v>108</v>
      </c>
      <c r="I212" s="9" t="s">
        <v>108</v>
      </c>
      <c r="J212" s="9" t="s">
        <v>103</v>
      </c>
      <c r="K212" s="13" t="s">
        <v>108</v>
      </c>
    </row>
    <row r="213" spans="1:11" x14ac:dyDescent="0.2">
      <c r="A213" s="12"/>
      <c r="C213" s="4">
        <v>91762</v>
      </c>
      <c r="D213" s="4">
        <v>10</v>
      </c>
      <c r="E213" s="4">
        <v>10043018</v>
      </c>
      <c r="F213" s="4" t="s">
        <v>914</v>
      </c>
      <c r="G213" s="4" t="s">
        <v>113</v>
      </c>
      <c r="H213" s="4" t="s">
        <v>113</v>
      </c>
      <c r="I213" s="4" t="s">
        <v>113</v>
      </c>
      <c r="J213" s="4" t="s">
        <v>113</v>
      </c>
      <c r="K213" s="14" t="s">
        <v>113</v>
      </c>
    </row>
    <row r="214" spans="1:11" x14ac:dyDescent="0.2">
      <c r="A214" s="12"/>
      <c r="C214" s="4">
        <v>91701</v>
      </c>
      <c r="D214" s="4">
        <v>10</v>
      </c>
      <c r="E214" s="4">
        <v>10042683</v>
      </c>
      <c r="F214" s="4" t="s">
        <v>914</v>
      </c>
      <c r="G214" s="4" t="s">
        <v>113</v>
      </c>
      <c r="H214" s="4" t="s">
        <v>113</v>
      </c>
      <c r="I214" s="4" t="s">
        <v>113</v>
      </c>
      <c r="J214" s="4" t="s">
        <v>113</v>
      </c>
      <c r="K214" s="14" t="s">
        <v>113</v>
      </c>
    </row>
    <row r="215" spans="1:11" x14ac:dyDescent="0.2">
      <c r="A215" s="12"/>
      <c r="C215" s="4">
        <v>91761</v>
      </c>
      <c r="D215" s="4">
        <v>10</v>
      </c>
      <c r="E215" s="4">
        <v>103685096</v>
      </c>
      <c r="F215" s="4" t="s">
        <v>914</v>
      </c>
      <c r="G215" s="4" t="s">
        <v>113</v>
      </c>
      <c r="H215" s="4" t="s">
        <v>113</v>
      </c>
      <c r="I215" s="4" t="s">
        <v>113</v>
      </c>
      <c r="J215" s="4" t="s">
        <v>113</v>
      </c>
      <c r="K215" s="14" t="s">
        <v>113</v>
      </c>
    </row>
    <row r="216" spans="1:11" x14ac:dyDescent="0.2">
      <c r="A216" s="11"/>
      <c r="B216" s="9"/>
      <c r="C216" s="9">
        <v>91764</v>
      </c>
      <c r="D216" s="9">
        <v>10</v>
      </c>
      <c r="E216" s="9">
        <v>101964924</v>
      </c>
      <c r="F216" s="9" t="s">
        <v>914</v>
      </c>
      <c r="G216" s="9" t="s">
        <v>103</v>
      </c>
      <c r="H216" s="9" t="s">
        <v>103</v>
      </c>
      <c r="I216" s="9" t="s">
        <v>103</v>
      </c>
      <c r="J216" s="9" t="s">
        <v>103</v>
      </c>
      <c r="K216" s="13" t="s">
        <v>103</v>
      </c>
    </row>
    <row r="217" spans="1:11" x14ac:dyDescent="0.2">
      <c r="A217" s="12"/>
      <c r="C217" s="4">
        <v>91730</v>
      </c>
      <c r="D217" s="4">
        <v>10</v>
      </c>
      <c r="E217" s="4">
        <v>101656182</v>
      </c>
      <c r="F217" s="4" t="s">
        <v>914</v>
      </c>
      <c r="G217" s="4" t="s">
        <v>113</v>
      </c>
      <c r="H217" s="4" t="s">
        <v>113</v>
      </c>
      <c r="I217" s="4" t="s">
        <v>113</v>
      </c>
      <c r="J217" s="4" t="s">
        <v>113</v>
      </c>
      <c r="K217" s="14" t="s">
        <v>113</v>
      </c>
    </row>
    <row r="218" spans="1:11" x14ac:dyDescent="0.2">
      <c r="A218" s="11"/>
      <c r="B218" s="9"/>
      <c r="C218" s="9">
        <v>91709</v>
      </c>
      <c r="D218" s="9">
        <v>10</v>
      </c>
      <c r="E218" s="9">
        <v>10196502</v>
      </c>
      <c r="F218" s="9" t="s">
        <v>914</v>
      </c>
      <c r="G218" s="9" t="s">
        <v>103</v>
      </c>
      <c r="H218" s="9" t="s">
        <v>113</v>
      </c>
      <c r="I218" s="9" t="s">
        <v>113</v>
      </c>
      <c r="J218" s="9" t="s">
        <v>113</v>
      </c>
      <c r="K218" s="13" t="s">
        <v>103</v>
      </c>
    </row>
    <row r="219" spans="1:11" x14ac:dyDescent="0.2">
      <c r="A219" s="12"/>
      <c r="C219" s="4">
        <v>91764</v>
      </c>
      <c r="D219" s="4">
        <v>10</v>
      </c>
      <c r="E219" s="4">
        <v>102894622</v>
      </c>
      <c r="F219" s="4" t="s">
        <v>914</v>
      </c>
      <c r="G219" s="4" t="s">
        <v>74</v>
      </c>
      <c r="H219" s="4" t="s">
        <v>103</v>
      </c>
      <c r="I219" s="4" t="s">
        <v>74</v>
      </c>
      <c r="J219" s="4" t="s">
        <v>74</v>
      </c>
      <c r="K219" s="14" t="s">
        <v>103</v>
      </c>
    </row>
    <row r="220" spans="1:11" x14ac:dyDescent="0.2">
      <c r="A220" s="11"/>
      <c r="B220" s="9"/>
      <c r="C220" s="9">
        <v>91767</v>
      </c>
      <c r="D220" s="9">
        <v>10</v>
      </c>
      <c r="E220" s="9">
        <v>10043384</v>
      </c>
      <c r="F220" s="9" t="s">
        <v>914</v>
      </c>
      <c r="G220" s="9" t="s">
        <v>191</v>
      </c>
      <c r="H220" s="9" t="s">
        <v>195</v>
      </c>
      <c r="I220" s="9" t="s">
        <v>933</v>
      </c>
      <c r="J220" s="9" t="s">
        <v>933</v>
      </c>
      <c r="K220" s="13" t="s">
        <v>933</v>
      </c>
    </row>
    <row r="221" spans="1:11" x14ac:dyDescent="0.2">
      <c r="A221" s="12"/>
      <c r="C221" s="4">
        <v>91773</v>
      </c>
      <c r="D221" s="4">
        <v>10</v>
      </c>
      <c r="E221" s="4">
        <v>103666773</v>
      </c>
      <c r="F221" s="4" t="s">
        <v>914</v>
      </c>
      <c r="G221" s="4" t="s">
        <v>113</v>
      </c>
      <c r="H221" s="4" t="s">
        <v>113</v>
      </c>
      <c r="I221" s="4" t="s">
        <v>113</v>
      </c>
      <c r="J221" s="4" t="s">
        <v>113</v>
      </c>
      <c r="K221" s="14" t="s">
        <v>113</v>
      </c>
    </row>
    <row r="222" spans="1:11" x14ac:dyDescent="0.2">
      <c r="A222" s="12"/>
      <c r="C222" s="4">
        <v>91701</v>
      </c>
      <c r="D222" s="4">
        <v>10</v>
      </c>
      <c r="E222" s="4">
        <v>10024942</v>
      </c>
      <c r="F222" s="4" t="s">
        <v>914</v>
      </c>
      <c r="G222" s="4" t="s">
        <v>195</v>
      </c>
      <c r="H222" s="4" t="s">
        <v>195</v>
      </c>
      <c r="I222" s="4" t="s">
        <v>195</v>
      </c>
      <c r="J222" s="4" t="s">
        <v>195</v>
      </c>
      <c r="K222" s="14" t="s">
        <v>195</v>
      </c>
    </row>
    <row r="223" spans="1:11" x14ac:dyDescent="0.2">
      <c r="A223" s="12"/>
      <c r="C223" s="4">
        <v>91763</v>
      </c>
      <c r="D223" s="4">
        <v>10</v>
      </c>
      <c r="E223" s="4">
        <v>10043591</v>
      </c>
      <c r="F223" s="4" t="s">
        <v>914</v>
      </c>
      <c r="G223" s="4" t="s">
        <v>113</v>
      </c>
      <c r="H223" s="4" t="s">
        <v>113</v>
      </c>
      <c r="I223" s="4" t="s">
        <v>113</v>
      </c>
      <c r="J223" s="4" t="s">
        <v>113</v>
      </c>
      <c r="K223" s="14" t="s">
        <v>113</v>
      </c>
    </row>
    <row r="224" spans="1:11" x14ac:dyDescent="0.2">
      <c r="A224" s="12"/>
      <c r="C224" s="4">
        <v>91761</v>
      </c>
      <c r="D224" s="4">
        <v>10</v>
      </c>
      <c r="E224" s="4">
        <v>10043655</v>
      </c>
      <c r="F224" s="4" t="s">
        <v>914</v>
      </c>
      <c r="G224" s="4" t="s">
        <v>113</v>
      </c>
      <c r="H224" s="4" t="s">
        <v>113</v>
      </c>
      <c r="I224" s="4" t="s">
        <v>113</v>
      </c>
      <c r="J224" s="4" t="s">
        <v>113</v>
      </c>
      <c r="K224" s="14" t="s">
        <v>113</v>
      </c>
    </row>
    <row r="225" spans="1:11" x14ac:dyDescent="0.2">
      <c r="A225" s="12"/>
      <c r="C225" s="4">
        <v>91701</v>
      </c>
      <c r="D225" s="4">
        <v>10</v>
      </c>
      <c r="E225" s="4">
        <v>10044764</v>
      </c>
      <c r="F225" s="4" t="s">
        <v>914</v>
      </c>
      <c r="G225" s="4" t="s">
        <v>74</v>
      </c>
      <c r="H225" s="4" t="s">
        <v>74</v>
      </c>
      <c r="I225" s="4" t="s">
        <v>74</v>
      </c>
      <c r="J225" s="4" t="s">
        <v>74</v>
      </c>
      <c r="K225" s="14" t="s">
        <v>74</v>
      </c>
    </row>
    <row r="226" spans="1:11" x14ac:dyDescent="0.2">
      <c r="A226" s="11"/>
      <c r="B226" s="9"/>
      <c r="C226" s="9">
        <v>91764</v>
      </c>
      <c r="D226" s="9">
        <v>10</v>
      </c>
      <c r="E226" s="9">
        <v>10370665</v>
      </c>
      <c r="F226" s="9" t="s">
        <v>914</v>
      </c>
      <c r="G226" s="9" t="s">
        <v>113</v>
      </c>
      <c r="H226" s="9" t="s">
        <v>113</v>
      </c>
      <c r="I226" s="9" t="s">
        <v>113</v>
      </c>
      <c r="J226" s="9" t="s">
        <v>113</v>
      </c>
      <c r="K226" s="13" t="s">
        <v>113</v>
      </c>
    </row>
    <row r="227" spans="1:11" x14ac:dyDescent="0.2">
      <c r="A227" s="11"/>
      <c r="B227" s="9"/>
      <c r="C227" s="9">
        <v>91784</v>
      </c>
      <c r="D227" s="9">
        <v>10</v>
      </c>
      <c r="E227" s="9">
        <v>10375312</v>
      </c>
      <c r="F227" s="9" t="s">
        <v>914</v>
      </c>
      <c r="G227" s="9" t="s">
        <v>113</v>
      </c>
      <c r="H227" s="9" t="s">
        <v>113</v>
      </c>
      <c r="I227" s="9" t="s">
        <v>113</v>
      </c>
      <c r="J227" s="9" t="s">
        <v>113</v>
      </c>
      <c r="K227" s="13" t="s">
        <v>113</v>
      </c>
    </row>
    <row r="228" spans="1:11" x14ac:dyDescent="0.2">
      <c r="A228" s="11"/>
      <c r="B228" s="9"/>
      <c r="C228" s="9">
        <v>91762</v>
      </c>
      <c r="D228" s="9">
        <v>10</v>
      </c>
      <c r="E228" s="9">
        <v>10368502</v>
      </c>
      <c r="F228" s="9" t="s">
        <v>914</v>
      </c>
      <c r="G228" s="9" t="s">
        <v>113</v>
      </c>
      <c r="H228" s="9" t="s">
        <v>199</v>
      </c>
      <c r="I228" s="9" t="s">
        <v>113</v>
      </c>
      <c r="J228" s="9" t="s">
        <v>199</v>
      </c>
      <c r="K228" s="13" t="s">
        <v>113</v>
      </c>
    </row>
    <row r="229" spans="1:11" x14ac:dyDescent="0.2">
      <c r="A229" s="12"/>
      <c r="C229" s="4">
        <v>91730</v>
      </c>
      <c r="D229" s="4">
        <v>10.7</v>
      </c>
      <c r="E229" s="4">
        <v>10354879</v>
      </c>
      <c r="F229" s="4" t="s">
        <v>914</v>
      </c>
      <c r="G229" s="4" t="s">
        <v>113</v>
      </c>
      <c r="H229" s="4" t="s">
        <v>113</v>
      </c>
      <c r="I229" s="4" t="s">
        <v>113</v>
      </c>
      <c r="J229" s="4" t="s">
        <v>113</v>
      </c>
      <c r="K229" s="14" t="s">
        <v>113</v>
      </c>
    </row>
    <row r="230" spans="1:11" x14ac:dyDescent="0.2">
      <c r="A230" s="12"/>
      <c r="C230" s="4">
        <v>91701</v>
      </c>
      <c r="D230" s="4">
        <v>11</v>
      </c>
      <c r="E230" s="4">
        <v>10358743</v>
      </c>
      <c r="F230" s="4" t="s">
        <v>914</v>
      </c>
      <c r="G230" s="4" t="s">
        <v>103</v>
      </c>
      <c r="H230" s="4" t="s">
        <v>98</v>
      </c>
      <c r="I230" s="4" t="s">
        <v>98</v>
      </c>
      <c r="J230" s="4" t="s">
        <v>195</v>
      </c>
      <c r="K230" s="14" t="s">
        <v>103</v>
      </c>
    </row>
    <row r="231" spans="1:11" x14ac:dyDescent="0.2">
      <c r="A231" s="11"/>
      <c r="B231" s="9"/>
      <c r="C231" s="9">
        <v>91730</v>
      </c>
      <c r="D231" s="9">
        <v>11</v>
      </c>
      <c r="E231" s="9">
        <v>10086446</v>
      </c>
      <c r="F231" s="9" t="s">
        <v>914</v>
      </c>
      <c r="G231" s="9" t="s">
        <v>103</v>
      </c>
      <c r="H231" s="9" t="s">
        <v>113</v>
      </c>
      <c r="I231" s="9" t="s">
        <v>113</v>
      </c>
      <c r="J231" s="9" t="s">
        <v>113</v>
      </c>
      <c r="K231" s="13" t="s">
        <v>113</v>
      </c>
    </row>
    <row r="232" spans="1:11" x14ac:dyDescent="0.2">
      <c r="A232" s="11"/>
      <c r="B232" s="9"/>
      <c r="C232" s="9">
        <v>91737</v>
      </c>
      <c r="D232" s="9">
        <v>11</v>
      </c>
      <c r="E232" s="9">
        <v>122073</v>
      </c>
      <c r="F232" s="9" t="s">
        <v>914</v>
      </c>
      <c r="G232" s="9" t="s">
        <v>113</v>
      </c>
      <c r="H232" s="9" t="s">
        <v>113</v>
      </c>
      <c r="I232" s="9" t="s">
        <v>113</v>
      </c>
      <c r="J232" s="9" t="s">
        <v>103</v>
      </c>
      <c r="K232" s="13" t="s">
        <v>103</v>
      </c>
    </row>
    <row r="233" spans="1:11" x14ac:dyDescent="0.2">
      <c r="A233" s="12"/>
      <c r="C233" s="4">
        <v>91710</v>
      </c>
      <c r="D233" s="4">
        <v>11</v>
      </c>
      <c r="E233" s="4">
        <v>120996</v>
      </c>
      <c r="F233" s="4" t="s">
        <v>914</v>
      </c>
      <c r="G233" s="4" t="s">
        <v>113</v>
      </c>
      <c r="H233" s="4" t="s">
        <v>113</v>
      </c>
      <c r="I233" s="4" t="s">
        <v>113</v>
      </c>
      <c r="J233" s="4" t="s">
        <v>113</v>
      </c>
      <c r="K233" s="14" t="s">
        <v>113</v>
      </c>
    </row>
    <row r="234" spans="1:11" x14ac:dyDescent="0.2">
      <c r="A234" s="11"/>
      <c r="B234" s="9"/>
      <c r="C234" s="9">
        <v>91737</v>
      </c>
      <c r="D234" s="9">
        <v>11.5</v>
      </c>
      <c r="E234" s="9">
        <v>10043135</v>
      </c>
      <c r="F234" s="9" t="s">
        <v>914</v>
      </c>
      <c r="G234" s="9" t="s">
        <v>113</v>
      </c>
      <c r="H234" s="9" t="s">
        <v>113</v>
      </c>
      <c r="I234" s="9" t="s">
        <v>113</v>
      </c>
      <c r="J234" s="9" t="s">
        <v>113</v>
      </c>
      <c r="K234" s="13" t="s">
        <v>103</v>
      </c>
    </row>
    <row r="235" spans="1:11" x14ac:dyDescent="0.2">
      <c r="A235" s="12"/>
      <c r="C235" s="4">
        <v>91723</v>
      </c>
      <c r="D235" s="4">
        <v>12</v>
      </c>
      <c r="E235" s="4">
        <v>103708681</v>
      </c>
      <c r="F235" s="4" t="s">
        <v>914</v>
      </c>
      <c r="G235" s="4" t="s">
        <v>113</v>
      </c>
      <c r="H235" s="4" t="s">
        <v>113</v>
      </c>
      <c r="I235" s="4" t="s">
        <v>113</v>
      </c>
      <c r="J235" s="4" t="s">
        <v>113</v>
      </c>
      <c r="K235" s="14" t="s">
        <v>113</v>
      </c>
    </row>
    <row r="236" spans="1:11" x14ac:dyDescent="0.2">
      <c r="A236" s="11"/>
      <c r="B236" s="9"/>
      <c r="C236" s="9">
        <v>91739</v>
      </c>
      <c r="D236" s="9">
        <v>12</v>
      </c>
      <c r="E236" s="9">
        <v>10334736</v>
      </c>
      <c r="F236" s="9" t="s">
        <v>914</v>
      </c>
      <c r="G236" s="9" t="s">
        <v>98</v>
      </c>
      <c r="H236" s="9" t="s">
        <v>98</v>
      </c>
      <c r="I236" s="9" t="s">
        <v>98</v>
      </c>
      <c r="J236" s="9" t="s">
        <v>103</v>
      </c>
      <c r="K236" s="13" t="s">
        <v>103</v>
      </c>
    </row>
    <row r="237" spans="1:11" x14ac:dyDescent="0.2">
      <c r="A237" s="11"/>
      <c r="B237" s="9"/>
      <c r="C237" s="9">
        <v>91701</v>
      </c>
      <c r="D237" s="9">
        <v>12</v>
      </c>
      <c r="E237" s="9">
        <v>102031651</v>
      </c>
      <c r="F237" s="9" t="s">
        <v>914</v>
      </c>
      <c r="G237" s="9" t="s">
        <v>103</v>
      </c>
      <c r="H237" s="9" t="s">
        <v>113</v>
      </c>
      <c r="I237" s="9" t="s">
        <v>113</v>
      </c>
      <c r="J237" s="9" t="s">
        <v>113</v>
      </c>
      <c r="K237" s="13" t="s">
        <v>103</v>
      </c>
    </row>
    <row r="238" spans="1:11" x14ac:dyDescent="0.2">
      <c r="A238" s="11"/>
      <c r="B238" s="9"/>
      <c r="C238" s="9">
        <v>91709</v>
      </c>
      <c r="D238" s="9">
        <v>12</v>
      </c>
      <c r="E238" s="9">
        <v>103702141</v>
      </c>
      <c r="F238" s="9" t="s">
        <v>914</v>
      </c>
      <c r="G238" s="9" t="s">
        <v>74</v>
      </c>
      <c r="H238" s="9" t="s">
        <v>74</v>
      </c>
      <c r="I238" s="9" t="s">
        <v>74</v>
      </c>
      <c r="J238" s="9" t="s">
        <v>74</v>
      </c>
      <c r="K238" s="13" t="s">
        <v>74</v>
      </c>
    </row>
    <row r="239" spans="1:11" x14ac:dyDescent="0.2">
      <c r="A239" s="12"/>
      <c r="C239" s="4">
        <v>91764</v>
      </c>
      <c r="D239" s="4">
        <v>12</v>
      </c>
      <c r="E239" s="4">
        <v>10369586</v>
      </c>
      <c r="F239" s="4" t="s">
        <v>914</v>
      </c>
      <c r="G239" s="4" t="s">
        <v>933</v>
      </c>
      <c r="H239" s="4" t="s">
        <v>933</v>
      </c>
      <c r="I239" s="4" t="s">
        <v>933</v>
      </c>
      <c r="J239" s="4" t="s">
        <v>933</v>
      </c>
      <c r="K239" s="14" t="s">
        <v>933</v>
      </c>
    </row>
    <row r="240" spans="1:11" x14ac:dyDescent="0.2">
      <c r="A240" s="11"/>
      <c r="B240" s="9"/>
      <c r="C240" s="9">
        <v>91765</v>
      </c>
      <c r="D240" s="9">
        <v>12</v>
      </c>
      <c r="E240" s="9">
        <v>10366558</v>
      </c>
      <c r="F240" s="9" t="s">
        <v>914</v>
      </c>
      <c r="G240" s="9" t="s">
        <v>113</v>
      </c>
      <c r="H240" s="9" t="s">
        <v>103</v>
      </c>
      <c r="I240" s="9" t="s">
        <v>191</v>
      </c>
      <c r="J240" s="9" t="s">
        <v>191</v>
      </c>
      <c r="K240" s="13" t="s">
        <v>191</v>
      </c>
    </row>
    <row r="241" spans="1:11" x14ac:dyDescent="0.2">
      <c r="A241" s="12"/>
      <c r="C241" s="4">
        <v>91730</v>
      </c>
      <c r="D241" s="4">
        <v>12</v>
      </c>
      <c r="E241" s="4">
        <v>10370484</v>
      </c>
      <c r="F241" s="4" t="s">
        <v>914</v>
      </c>
      <c r="G241" s="4" t="s">
        <v>191</v>
      </c>
      <c r="H241" s="4" t="s">
        <v>113</v>
      </c>
      <c r="I241" s="4" t="s">
        <v>113</v>
      </c>
      <c r="J241" s="4" t="s">
        <v>113</v>
      </c>
      <c r="K241" s="14" t="s">
        <v>113</v>
      </c>
    </row>
    <row r="242" spans="1:11" x14ac:dyDescent="0.2">
      <c r="A242" s="11"/>
      <c r="B242" s="9"/>
      <c r="C242" s="9">
        <v>91739</v>
      </c>
      <c r="D242" s="9">
        <v>12</v>
      </c>
      <c r="E242" s="9">
        <v>103734081</v>
      </c>
      <c r="F242" s="9" t="s">
        <v>914</v>
      </c>
      <c r="G242" s="9" t="s">
        <v>103</v>
      </c>
      <c r="H242" s="9" t="s">
        <v>113</v>
      </c>
      <c r="I242" s="9" t="s">
        <v>113</v>
      </c>
      <c r="J242" s="9" t="s">
        <v>113</v>
      </c>
      <c r="K242" s="13" t="s">
        <v>113</v>
      </c>
    </row>
    <row r="243" spans="1:11" x14ac:dyDescent="0.2">
      <c r="A243" s="11"/>
      <c r="B243" s="9"/>
      <c r="C243" s="9">
        <v>91710</v>
      </c>
      <c r="D243" s="9">
        <v>12</v>
      </c>
      <c r="E243" s="9" t="s">
        <v>1146</v>
      </c>
      <c r="F243" s="9" t="s">
        <v>914</v>
      </c>
      <c r="G243" s="9" t="s">
        <v>103</v>
      </c>
      <c r="H243" s="9" t="s">
        <v>113</v>
      </c>
      <c r="I243" s="9" t="s">
        <v>113</v>
      </c>
      <c r="J243" s="9" t="s">
        <v>113</v>
      </c>
      <c r="K243" s="13" t="s">
        <v>103</v>
      </c>
    </row>
    <row r="244" spans="1:11" x14ac:dyDescent="0.2">
      <c r="A244" s="12"/>
      <c r="C244" s="4">
        <v>91739</v>
      </c>
      <c r="D244" s="4">
        <v>12</v>
      </c>
      <c r="E244" s="4">
        <v>10349377</v>
      </c>
      <c r="F244" s="4" t="s">
        <v>914</v>
      </c>
      <c r="G244" s="4" t="s">
        <v>113</v>
      </c>
      <c r="H244" s="4" t="s">
        <v>113</v>
      </c>
      <c r="I244" s="4" t="s">
        <v>113</v>
      </c>
      <c r="J244" s="4" t="s">
        <v>113</v>
      </c>
      <c r="K244" s="14" t="s">
        <v>113</v>
      </c>
    </row>
    <row r="245" spans="1:11" x14ac:dyDescent="0.2">
      <c r="A245" s="11"/>
      <c r="B245" s="9"/>
      <c r="C245" s="9">
        <v>91739</v>
      </c>
      <c r="D245" s="9">
        <v>12</v>
      </c>
      <c r="E245" s="9">
        <v>10043576</v>
      </c>
      <c r="F245" s="9" t="s">
        <v>914</v>
      </c>
      <c r="G245" s="9" t="s">
        <v>113</v>
      </c>
      <c r="H245" s="9" t="s">
        <v>113</v>
      </c>
      <c r="I245" s="9" t="s">
        <v>113</v>
      </c>
      <c r="J245" s="9" t="s">
        <v>113</v>
      </c>
      <c r="K245" s="13" t="s">
        <v>113</v>
      </c>
    </row>
    <row r="246" spans="1:11" x14ac:dyDescent="0.2">
      <c r="A246" s="11"/>
      <c r="B246" s="9"/>
      <c r="C246" s="9">
        <v>91709</v>
      </c>
      <c r="D246" s="9">
        <v>12</v>
      </c>
      <c r="E246" s="9">
        <v>10318478</v>
      </c>
      <c r="F246" s="9" t="s">
        <v>914</v>
      </c>
      <c r="G246" s="9" t="s">
        <v>113</v>
      </c>
      <c r="H246" s="9" t="s">
        <v>113</v>
      </c>
      <c r="I246" s="9" t="s">
        <v>113</v>
      </c>
      <c r="J246" s="9" t="s">
        <v>113</v>
      </c>
      <c r="K246" s="13" t="s">
        <v>113</v>
      </c>
    </row>
    <row r="247" spans="1:11" x14ac:dyDescent="0.2">
      <c r="A247" s="11"/>
      <c r="B247" s="9"/>
      <c r="C247" s="9">
        <v>91765</v>
      </c>
      <c r="D247" s="9">
        <v>12</v>
      </c>
      <c r="E247" s="9">
        <v>10351165</v>
      </c>
      <c r="F247" s="9" t="s">
        <v>914</v>
      </c>
      <c r="G247" s="9" t="s">
        <v>113</v>
      </c>
      <c r="H247" s="9" t="s">
        <v>113</v>
      </c>
      <c r="I247" s="9" t="s">
        <v>113</v>
      </c>
      <c r="J247" s="9" t="s">
        <v>113</v>
      </c>
      <c r="K247" s="13" t="s">
        <v>113</v>
      </c>
    </row>
    <row r="248" spans="1:11" x14ac:dyDescent="0.2">
      <c r="A248" s="12"/>
      <c r="C248" s="4">
        <v>92337</v>
      </c>
      <c r="D248" s="4">
        <v>12</v>
      </c>
      <c r="E248" s="4">
        <v>10351475</v>
      </c>
      <c r="F248" s="4" t="s">
        <v>914</v>
      </c>
      <c r="G248" s="4" t="s">
        <v>113</v>
      </c>
      <c r="H248" s="4" t="s">
        <v>113</v>
      </c>
      <c r="I248" s="4" t="s">
        <v>113</v>
      </c>
      <c r="J248" s="4" t="s">
        <v>113</v>
      </c>
      <c r="K248" s="14" t="s">
        <v>113</v>
      </c>
    </row>
    <row r="249" spans="1:11" x14ac:dyDescent="0.2">
      <c r="A249" s="11"/>
      <c r="B249" s="9"/>
      <c r="C249" s="9">
        <v>91791</v>
      </c>
      <c r="D249" s="9">
        <v>12</v>
      </c>
      <c r="E249" s="9">
        <v>10345366</v>
      </c>
      <c r="F249" s="9" t="s">
        <v>914</v>
      </c>
      <c r="G249" s="9" t="s">
        <v>113</v>
      </c>
      <c r="H249" s="9" t="s">
        <v>113</v>
      </c>
      <c r="I249" s="9" t="s">
        <v>113</v>
      </c>
      <c r="J249" s="9" t="s">
        <v>113</v>
      </c>
      <c r="K249" s="13" t="s">
        <v>113</v>
      </c>
    </row>
    <row r="250" spans="1:11" x14ac:dyDescent="0.2">
      <c r="A250" s="11"/>
      <c r="B250" s="9"/>
      <c r="C250" s="9">
        <v>91709</v>
      </c>
      <c r="D250" s="9">
        <v>13</v>
      </c>
      <c r="E250" s="9">
        <v>10368544</v>
      </c>
      <c r="F250" s="9" t="s">
        <v>914</v>
      </c>
      <c r="G250" s="9" t="s">
        <v>113</v>
      </c>
      <c r="H250" s="9" t="s">
        <v>113</v>
      </c>
      <c r="I250" s="9" t="s">
        <v>113</v>
      </c>
      <c r="J250" s="9" t="s">
        <v>113</v>
      </c>
      <c r="K250" s="13" t="s">
        <v>113</v>
      </c>
    </row>
    <row r="251" spans="1:11" x14ac:dyDescent="0.2">
      <c r="A251" s="11"/>
      <c r="B251" s="9"/>
      <c r="C251" s="9">
        <v>91764</v>
      </c>
      <c r="D251" s="9">
        <v>13</v>
      </c>
      <c r="E251" s="9">
        <v>10042458</v>
      </c>
      <c r="F251" s="9" t="s">
        <v>914</v>
      </c>
      <c r="G251" s="9" t="s">
        <v>113</v>
      </c>
      <c r="H251" s="9" t="s">
        <v>113</v>
      </c>
      <c r="I251" s="9" t="s">
        <v>113</v>
      </c>
      <c r="J251" s="9" t="s">
        <v>113</v>
      </c>
      <c r="K251" s="13" t="s">
        <v>113</v>
      </c>
    </row>
    <row r="252" spans="1:11" x14ac:dyDescent="0.2">
      <c r="A252" s="11"/>
      <c r="B252" s="9"/>
      <c r="C252" s="9">
        <v>91739</v>
      </c>
      <c r="D252" s="9">
        <v>13</v>
      </c>
      <c r="E252" s="9" t="s">
        <v>1155</v>
      </c>
      <c r="F252" s="9" t="s">
        <v>914</v>
      </c>
      <c r="G252" s="9" t="s">
        <v>113</v>
      </c>
      <c r="H252" s="9" t="s">
        <v>113</v>
      </c>
      <c r="I252" s="9" t="s">
        <v>113</v>
      </c>
      <c r="J252" s="9" t="s">
        <v>113</v>
      </c>
      <c r="K252" s="13" t="s">
        <v>113</v>
      </c>
    </row>
    <row r="253" spans="1:11" x14ac:dyDescent="0.2">
      <c r="A253" s="11"/>
      <c r="B253" s="9"/>
      <c r="C253" s="9">
        <v>91761</v>
      </c>
      <c r="D253" s="9">
        <v>13</v>
      </c>
      <c r="E253" s="9" t="s">
        <v>1156</v>
      </c>
      <c r="F253" s="9" t="s">
        <v>914</v>
      </c>
      <c r="G253" s="9" t="s">
        <v>98</v>
      </c>
      <c r="H253" s="9" t="s">
        <v>98</v>
      </c>
      <c r="I253" s="9" t="s">
        <v>98</v>
      </c>
      <c r="J253" s="9" t="s">
        <v>98</v>
      </c>
      <c r="K253" s="13" t="s">
        <v>98</v>
      </c>
    </row>
    <row r="254" spans="1:11" x14ac:dyDescent="0.2">
      <c r="A254" s="11"/>
      <c r="B254" s="9"/>
      <c r="C254" s="9">
        <v>91739</v>
      </c>
      <c r="D254" s="9">
        <v>14</v>
      </c>
      <c r="E254" s="9">
        <v>102040351</v>
      </c>
      <c r="F254" s="9" t="s">
        <v>914</v>
      </c>
      <c r="G254" s="9" t="s">
        <v>113</v>
      </c>
      <c r="H254" s="9" t="s">
        <v>113</v>
      </c>
      <c r="I254" s="9" t="s">
        <v>113</v>
      </c>
      <c r="J254" s="9" t="s">
        <v>113</v>
      </c>
      <c r="K254" s="13" t="s">
        <v>113</v>
      </c>
    </row>
    <row r="255" spans="1:11" x14ac:dyDescent="0.2">
      <c r="A255" s="11"/>
      <c r="B255" s="9"/>
      <c r="C255" s="9">
        <v>92336</v>
      </c>
      <c r="D255" s="9">
        <v>14</v>
      </c>
      <c r="E255" s="9">
        <v>10125379</v>
      </c>
      <c r="F255" s="9" t="s">
        <v>914</v>
      </c>
      <c r="G255" s="9" t="s">
        <v>113</v>
      </c>
      <c r="H255" s="9" t="s">
        <v>113</v>
      </c>
      <c r="I255" s="9" t="s">
        <v>113</v>
      </c>
      <c r="J255" s="9" t="s">
        <v>113</v>
      </c>
      <c r="K255" s="13" t="s">
        <v>202</v>
      </c>
    </row>
    <row r="256" spans="1:11" x14ac:dyDescent="0.2">
      <c r="A256" s="12"/>
      <c r="C256" s="4">
        <v>91761</v>
      </c>
      <c r="D256" s="4">
        <v>14</v>
      </c>
      <c r="E256" s="4">
        <v>10043193</v>
      </c>
      <c r="F256" s="4" t="s">
        <v>914</v>
      </c>
      <c r="G256" s="4" t="s">
        <v>113</v>
      </c>
      <c r="H256" s="4" t="s">
        <v>113</v>
      </c>
      <c r="I256" s="4" t="s">
        <v>113</v>
      </c>
      <c r="J256" s="4" t="s">
        <v>113</v>
      </c>
      <c r="K256" s="14" t="s">
        <v>113</v>
      </c>
    </row>
    <row r="257" spans="1:11" x14ac:dyDescent="0.2">
      <c r="A257" s="11"/>
      <c r="B257" s="9"/>
      <c r="C257" s="9">
        <v>91711</v>
      </c>
      <c r="D257" s="9">
        <v>14</v>
      </c>
      <c r="E257" s="9">
        <v>10029499</v>
      </c>
      <c r="F257" s="9" t="s">
        <v>914</v>
      </c>
      <c r="G257" s="9" t="s">
        <v>113</v>
      </c>
      <c r="H257" s="9" t="s">
        <v>113</v>
      </c>
      <c r="I257" s="9" t="s">
        <v>113</v>
      </c>
      <c r="J257" s="9" t="s">
        <v>113</v>
      </c>
      <c r="K257" s="13" t="s">
        <v>113</v>
      </c>
    </row>
    <row r="258" spans="1:11" x14ac:dyDescent="0.2">
      <c r="A258" s="12"/>
      <c r="C258" s="4">
        <v>91722</v>
      </c>
      <c r="D258" s="4">
        <v>14</v>
      </c>
      <c r="E258" s="4">
        <v>10189436</v>
      </c>
      <c r="F258" s="4" t="s">
        <v>914</v>
      </c>
      <c r="G258" s="4" t="s">
        <v>113</v>
      </c>
      <c r="H258" s="4" t="s">
        <v>113</v>
      </c>
      <c r="I258" s="4" t="s">
        <v>113</v>
      </c>
      <c r="J258" s="4" t="s">
        <v>113</v>
      </c>
      <c r="K258" s="14" t="s">
        <v>113</v>
      </c>
    </row>
    <row r="259" spans="1:11" x14ac:dyDescent="0.2">
      <c r="A259" s="11"/>
      <c r="B259" s="9"/>
      <c r="C259" s="9">
        <v>91739</v>
      </c>
      <c r="D259" s="9">
        <v>14.1</v>
      </c>
      <c r="E259" s="9">
        <v>103722461</v>
      </c>
      <c r="F259" s="9" t="s">
        <v>914</v>
      </c>
      <c r="G259" s="9" t="s">
        <v>74</v>
      </c>
      <c r="H259" s="9" t="s">
        <v>103</v>
      </c>
      <c r="I259" s="9" t="s">
        <v>74</v>
      </c>
      <c r="J259" s="9" t="s">
        <v>103</v>
      </c>
      <c r="K259" s="13" t="s">
        <v>74</v>
      </c>
    </row>
    <row r="260" spans="1:11" x14ac:dyDescent="0.2">
      <c r="A260" s="11"/>
      <c r="B260" s="9"/>
      <c r="C260" s="9">
        <v>91763</v>
      </c>
      <c r="D260" s="9">
        <v>15</v>
      </c>
      <c r="E260" s="9" t="s">
        <v>1161</v>
      </c>
      <c r="F260" s="9" t="s">
        <v>914</v>
      </c>
      <c r="G260" s="9" t="s">
        <v>113</v>
      </c>
      <c r="H260" s="9" t="s">
        <v>113</v>
      </c>
      <c r="I260" s="9" t="s">
        <v>113</v>
      </c>
      <c r="J260" s="9" t="s">
        <v>113</v>
      </c>
      <c r="K260" s="13" t="s">
        <v>113</v>
      </c>
    </row>
    <row r="261" spans="1:11" x14ac:dyDescent="0.2">
      <c r="A261" s="12"/>
      <c r="C261" s="4">
        <v>91763</v>
      </c>
      <c r="D261" s="4">
        <v>15</v>
      </c>
      <c r="E261" s="4" t="s">
        <v>1164</v>
      </c>
      <c r="F261" s="4" t="s">
        <v>914</v>
      </c>
      <c r="G261" s="4" t="s">
        <v>98</v>
      </c>
      <c r="H261" s="4" t="s">
        <v>98</v>
      </c>
      <c r="I261" s="4" t="s">
        <v>98</v>
      </c>
      <c r="J261" s="4" t="s">
        <v>98</v>
      </c>
      <c r="K261" s="14" t="s">
        <v>98</v>
      </c>
    </row>
    <row r="262" spans="1:11" x14ac:dyDescent="0.2">
      <c r="A262" s="12"/>
      <c r="C262" s="4">
        <v>92336</v>
      </c>
      <c r="D262" s="4">
        <v>15</v>
      </c>
      <c r="E262" s="4">
        <v>10042857</v>
      </c>
      <c r="F262" s="4" t="s">
        <v>914</v>
      </c>
      <c r="G262" s="4" t="s">
        <v>191</v>
      </c>
      <c r="H262" s="4" t="s">
        <v>191</v>
      </c>
      <c r="I262" s="4" t="s">
        <v>191</v>
      </c>
      <c r="J262" s="4" t="s">
        <v>113</v>
      </c>
      <c r="K262" s="14" t="s">
        <v>113</v>
      </c>
    </row>
    <row r="263" spans="1:11" x14ac:dyDescent="0.2">
      <c r="A263" s="11"/>
      <c r="B263" s="9"/>
      <c r="C263" s="9">
        <v>92377</v>
      </c>
      <c r="D263" s="9">
        <v>15</v>
      </c>
      <c r="E263" s="9">
        <v>10042242</v>
      </c>
      <c r="F263" s="9" t="s">
        <v>914</v>
      </c>
      <c r="G263" s="9" t="s">
        <v>113</v>
      </c>
      <c r="H263" s="9" t="s">
        <v>113</v>
      </c>
      <c r="I263" s="9" t="s">
        <v>113</v>
      </c>
      <c r="J263" s="9" t="s">
        <v>113</v>
      </c>
      <c r="K263" s="13" t="s">
        <v>113</v>
      </c>
    </row>
    <row r="264" spans="1:11" x14ac:dyDescent="0.2">
      <c r="A264" s="12"/>
      <c r="C264" s="4">
        <v>91762</v>
      </c>
      <c r="D264" s="4">
        <v>15</v>
      </c>
      <c r="E264" s="4">
        <v>1035852</v>
      </c>
      <c r="F264" s="4" t="s">
        <v>914</v>
      </c>
      <c r="G264" s="4" t="s">
        <v>103</v>
      </c>
      <c r="H264" s="4" t="s">
        <v>103</v>
      </c>
      <c r="I264" s="4" t="s">
        <v>103</v>
      </c>
      <c r="J264" s="4" t="s">
        <v>103</v>
      </c>
      <c r="K264" s="14" t="s">
        <v>103</v>
      </c>
    </row>
    <row r="265" spans="1:11" x14ac:dyDescent="0.2">
      <c r="A265" s="12"/>
      <c r="C265" s="4">
        <v>92860</v>
      </c>
      <c r="D265" s="4">
        <v>15</v>
      </c>
      <c r="E265" s="4">
        <v>10368759</v>
      </c>
      <c r="F265" s="4" t="s">
        <v>914</v>
      </c>
      <c r="G265" s="4" t="s">
        <v>113</v>
      </c>
      <c r="H265" s="4" t="s">
        <v>113</v>
      </c>
      <c r="I265" s="4" t="s">
        <v>113</v>
      </c>
      <c r="J265" s="4" t="s">
        <v>113</v>
      </c>
      <c r="K265" s="14" t="s">
        <v>113</v>
      </c>
    </row>
    <row r="266" spans="1:11" x14ac:dyDescent="0.2">
      <c r="A266" s="12"/>
      <c r="C266" s="4">
        <v>91701</v>
      </c>
      <c r="D266" s="4">
        <v>15</v>
      </c>
      <c r="E266" s="4" t="s">
        <v>1172</v>
      </c>
      <c r="F266" s="4" t="s">
        <v>914</v>
      </c>
      <c r="G266" s="4" t="s">
        <v>113</v>
      </c>
      <c r="H266" s="4" t="s">
        <v>113</v>
      </c>
      <c r="I266" s="4" t="s">
        <v>113</v>
      </c>
      <c r="J266" s="4" t="s">
        <v>113</v>
      </c>
      <c r="K266" s="14" t="s">
        <v>113</v>
      </c>
    </row>
    <row r="267" spans="1:11" x14ac:dyDescent="0.2">
      <c r="A267" s="11"/>
      <c r="B267" s="9"/>
      <c r="C267" s="9">
        <v>91764</v>
      </c>
      <c r="D267" s="9">
        <v>15</v>
      </c>
      <c r="E267" s="9">
        <v>10366671</v>
      </c>
      <c r="F267" s="9" t="s">
        <v>914</v>
      </c>
      <c r="G267" s="9" t="s">
        <v>1175</v>
      </c>
      <c r="H267" s="9" t="s">
        <v>1176</v>
      </c>
      <c r="I267" s="9" t="s">
        <v>1016</v>
      </c>
      <c r="J267" s="9" t="s">
        <v>933</v>
      </c>
      <c r="K267" s="13" t="s">
        <v>1016</v>
      </c>
    </row>
    <row r="268" spans="1:11" x14ac:dyDescent="0.2">
      <c r="A268" s="12"/>
      <c r="C268" s="4">
        <v>92337</v>
      </c>
      <c r="D268" s="4">
        <v>15</v>
      </c>
      <c r="E268" s="4">
        <v>106021</v>
      </c>
      <c r="F268" s="4" t="s">
        <v>914</v>
      </c>
      <c r="G268" s="4" t="s">
        <v>74</v>
      </c>
      <c r="H268" s="4" t="s">
        <v>74</v>
      </c>
      <c r="I268" s="4" t="s">
        <v>74</v>
      </c>
      <c r="J268" s="4" t="s">
        <v>74</v>
      </c>
      <c r="K268" s="14" t="s">
        <v>74</v>
      </c>
    </row>
    <row r="269" spans="1:11" ht="0.75" customHeight="1" x14ac:dyDescent="0.2">
      <c r="A269" s="12"/>
      <c r="C269" s="4">
        <v>91706</v>
      </c>
      <c r="D269" s="4">
        <v>15</v>
      </c>
      <c r="E269" s="4">
        <v>10042321</v>
      </c>
      <c r="F269" s="4" t="s">
        <v>914</v>
      </c>
      <c r="G269" s="4" t="s">
        <v>103</v>
      </c>
      <c r="H269" s="4" t="s">
        <v>103</v>
      </c>
      <c r="I269" s="4" t="s">
        <v>195</v>
      </c>
      <c r="J269" s="4" t="s">
        <v>74</v>
      </c>
      <c r="K269" s="14" t="s">
        <v>74</v>
      </c>
    </row>
    <row r="270" spans="1:11" x14ac:dyDescent="0.2">
      <c r="A270" s="12"/>
      <c r="C270" s="4">
        <v>92335</v>
      </c>
      <c r="D270" s="4">
        <v>15</v>
      </c>
      <c r="E270" s="4">
        <v>10043633</v>
      </c>
      <c r="F270" s="4" t="s">
        <v>914</v>
      </c>
      <c r="G270" s="4" t="s">
        <v>113</v>
      </c>
      <c r="H270" s="4" t="s">
        <v>113</v>
      </c>
      <c r="I270" s="4" t="s">
        <v>113</v>
      </c>
      <c r="J270" s="4" t="s">
        <v>113</v>
      </c>
      <c r="K270" s="14" t="s">
        <v>113</v>
      </c>
    </row>
    <row r="271" spans="1:11" x14ac:dyDescent="0.2">
      <c r="A271" s="11"/>
      <c r="B271" s="9"/>
      <c r="C271" s="9">
        <v>91764</v>
      </c>
      <c r="D271" s="9">
        <v>15</v>
      </c>
      <c r="E271" s="9">
        <v>10356044</v>
      </c>
      <c r="F271" s="9" t="s">
        <v>914</v>
      </c>
      <c r="G271" s="9" t="s">
        <v>113</v>
      </c>
      <c r="H271" s="9" t="s">
        <v>113</v>
      </c>
      <c r="I271" s="9" t="s">
        <v>113</v>
      </c>
      <c r="J271" s="9" t="s">
        <v>113</v>
      </c>
      <c r="K271" s="13" t="s">
        <v>113</v>
      </c>
    </row>
    <row r="272" spans="1:11" x14ac:dyDescent="0.2">
      <c r="A272" s="12"/>
      <c r="C272" s="4">
        <v>91730</v>
      </c>
      <c r="D272" s="4">
        <v>15</v>
      </c>
      <c r="E272" s="4">
        <v>102945942</v>
      </c>
      <c r="F272" s="4" t="s">
        <v>914</v>
      </c>
      <c r="G272" s="4" t="s">
        <v>113</v>
      </c>
      <c r="H272" s="4" t="s">
        <v>113</v>
      </c>
      <c r="I272" s="4" t="s">
        <v>113</v>
      </c>
      <c r="J272" s="4" t="s">
        <v>113</v>
      </c>
      <c r="K272" s="14" t="s">
        <v>113</v>
      </c>
    </row>
    <row r="273" spans="1:11" x14ac:dyDescent="0.2">
      <c r="A273" s="12"/>
      <c r="C273" s="4">
        <v>91762</v>
      </c>
      <c r="D273" s="4">
        <v>15</v>
      </c>
      <c r="E273" s="4">
        <v>100563</v>
      </c>
      <c r="F273" s="4" t="s">
        <v>914</v>
      </c>
      <c r="G273" s="4" t="s">
        <v>113</v>
      </c>
      <c r="H273" s="4" t="s">
        <v>113</v>
      </c>
      <c r="I273" s="4" t="s">
        <v>113</v>
      </c>
      <c r="J273" s="4" t="s">
        <v>113</v>
      </c>
      <c r="K273" s="14" t="s">
        <v>113</v>
      </c>
    </row>
    <row r="274" spans="1:11" x14ac:dyDescent="0.2">
      <c r="A274" s="12"/>
      <c r="C274" s="4">
        <v>91784</v>
      </c>
      <c r="D274" s="4">
        <v>15</v>
      </c>
      <c r="E274" s="4">
        <v>10350170</v>
      </c>
      <c r="F274" s="4" t="s">
        <v>914</v>
      </c>
      <c r="G274" s="4" t="s">
        <v>113</v>
      </c>
      <c r="H274" s="4" t="s">
        <v>113</v>
      </c>
      <c r="I274" s="4" t="s">
        <v>113</v>
      </c>
      <c r="J274" s="4" t="s">
        <v>113</v>
      </c>
      <c r="K274" s="14" t="s">
        <v>199</v>
      </c>
    </row>
    <row r="275" spans="1:11" x14ac:dyDescent="0.2">
      <c r="A275" s="12"/>
      <c r="C275" s="4">
        <v>91791</v>
      </c>
      <c r="D275" s="4">
        <v>15</v>
      </c>
      <c r="E275" s="4">
        <v>10271689</v>
      </c>
      <c r="F275" s="4" t="s">
        <v>914</v>
      </c>
      <c r="G275" s="4" t="s">
        <v>113</v>
      </c>
      <c r="H275" s="4" t="s">
        <v>113</v>
      </c>
      <c r="I275" s="4" t="s">
        <v>113</v>
      </c>
      <c r="J275" s="4" t="s">
        <v>113</v>
      </c>
      <c r="K275" s="14" t="s">
        <v>113</v>
      </c>
    </row>
    <row r="276" spans="1:11" x14ac:dyDescent="0.2">
      <c r="A276" s="11"/>
      <c r="B276" s="9"/>
      <c r="C276" s="9">
        <v>91766</v>
      </c>
      <c r="D276" s="9">
        <v>15</v>
      </c>
      <c r="E276" s="9">
        <v>10275594</v>
      </c>
      <c r="F276" s="9" t="s">
        <v>914</v>
      </c>
      <c r="G276" s="9" t="s">
        <v>113</v>
      </c>
      <c r="H276" s="9" t="s">
        <v>113</v>
      </c>
      <c r="I276" s="9" t="s">
        <v>113</v>
      </c>
      <c r="J276" s="9" t="s">
        <v>113</v>
      </c>
      <c r="K276" s="13" t="s">
        <v>183</v>
      </c>
    </row>
    <row r="277" spans="1:11" x14ac:dyDescent="0.2">
      <c r="A277" s="11"/>
      <c r="B277" s="9"/>
      <c r="C277" s="9">
        <v>91722</v>
      </c>
      <c r="D277" s="9">
        <v>15</v>
      </c>
      <c r="E277" s="9">
        <v>10266238</v>
      </c>
      <c r="F277" s="9" t="s">
        <v>914</v>
      </c>
      <c r="G277" s="9" t="s">
        <v>113</v>
      </c>
      <c r="H277" s="9" t="s">
        <v>103</v>
      </c>
      <c r="I277" s="9" t="s">
        <v>202</v>
      </c>
      <c r="J277" s="9" t="s">
        <v>113</v>
      </c>
      <c r="K277" s="13" t="s">
        <v>202</v>
      </c>
    </row>
    <row r="278" spans="1:11" x14ac:dyDescent="0.2">
      <c r="A278" s="11"/>
      <c r="B278" s="9"/>
      <c r="C278" s="9">
        <v>91765</v>
      </c>
      <c r="D278" s="9">
        <v>15</v>
      </c>
      <c r="E278" s="9">
        <v>10373041</v>
      </c>
      <c r="F278" s="9" t="s">
        <v>914</v>
      </c>
      <c r="G278" s="9" t="s">
        <v>113</v>
      </c>
      <c r="H278" s="9" t="s">
        <v>113</v>
      </c>
      <c r="I278" s="9" t="s">
        <v>113</v>
      </c>
      <c r="J278" s="9" t="s">
        <v>113</v>
      </c>
      <c r="K278" s="13" t="s">
        <v>113</v>
      </c>
    </row>
    <row r="279" spans="1:11" x14ac:dyDescent="0.2">
      <c r="A279" s="12"/>
      <c r="C279" s="4">
        <v>92336</v>
      </c>
      <c r="D279" s="4">
        <v>15</v>
      </c>
      <c r="E279" s="4" t="s">
        <v>1192</v>
      </c>
      <c r="F279" s="4" t="s">
        <v>914</v>
      </c>
      <c r="G279" s="4" t="s">
        <v>113</v>
      </c>
      <c r="H279" s="4" t="s">
        <v>113</v>
      </c>
      <c r="I279" s="4" t="s">
        <v>113</v>
      </c>
      <c r="J279" s="4" t="s">
        <v>113</v>
      </c>
      <c r="K279" s="14" t="s">
        <v>113</v>
      </c>
    </row>
    <row r="280" spans="1:11" x14ac:dyDescent="0.2">
      <c r="A280" s="12"/>
      <c r="C280" s="4">
        <v>92336</v>
      </c>
      <c r="D280" s="4">
        <v>16</v>
      </c>
      <c r="E280" s="4">
        <v>10351444</v>
      </c>
      <c r="F280" s="4" t="s">
        <v>914</v>
      </c>
      <c r="G280" s="4" t="s">
        <v>113</v>
      </c>
      <c r="H280" s="4" t="s">
        <v>113</v>
      </c>
      <c r="I280" s="4" t="s">
        <v>113</v>
      </c>
      <c r="J280" s="4" t="s">
        <v>113</v>
      </c>
      <c r="K280" s="14" t="s">
        <v>113</v>
      </c>
    </row>
    <row r="281" spans="1:11" x14ac:dyDescent="0.2">
      <c r="A281" s="12"/>
      <c r="C281" s="4">
        <v>92336</v>
      </c>
      <c r="D281" s="4">
        <v>16</v>
      </c>
      <c r="E281" s="4">
        <v>10144676</v>
      </c>
      <c r="F281" s="4" t="s">
        <v>914</v>
      </c>
      <c r="G281" s="4" t="s">
        <v>113</v>
      </c>
      <c r="H281" s="4" t="s">
        <v>113</v>
      </c>
      <c r="I281" s="4" t="s">
        <v>113</v>
      </c>
      <c r="J281" s="4" t="s">
        <v>113</v>
      </c>
      <c r="K281" s="14" t="s">
        <v>113</v>
      </c>
    </row>
    <row r="282" spans="1:11" x14ac:dyDescent="0.2">
      <c r="A282" s="11"/>
      <c r="B282" s="9"/>
      <c r="C282" s="9">
        <v>91010</v>
      </c>
      <c r="D282" s="9">
        <v>16</v>
      </c>
      <c r="E282" s="9">
        <v>103704971</v>
      </c>
      <c r="F282" s="9" t="s">
        <v>914</v>
      </c>
      <c r="G282" s="9" t="s">
        <v>113</v>
      </c>
      <c r="H282" s="9" t="s">
        <v>113</v>
      </c>
      <c r="I282" s="9" t="s">
        <v>113</v>
      </c>
      <c r="J282" s="9" t="s">
        <v>113</v>
      </c>
      <c r="K282" s="13" t="s">
        <v>103</v>
      </c>
    </row>
    <row r="283" spans="1:11" x14ac:dyDescent="0.2">
      <c r="A283" s="12"/>
      <c r="C283" s="4">
        <v>92335</v>
      </c>
      <c r="D283" s="4">
        <v>16</v>
      </c>
      <c r="E283" s="4">
        <v>10366672</v>
      </c>
      <c r="F283" s="4" t="s">
        <v>914</v>
      </c>
      <c r="G283" s="4" t="s">
        <v>113</v>
      </c>
      <c r="H283" s="4" t="s">
        <v>113</v>
      </c>
      <c r="I283" s="4" t="s">
        <v>113</v>
      </c>
      <c r="J283" s="4" t="s">
        <v>113</v>
      </c>
      <c r="K283" s="14" t="s">
        <v>113</v>
      </c>
    </row>
    <row r="284" spans="1:11" x14ac:dyDescent="0.2">
      <c r="A284" s="11"/>
      <c r="B284" s="9"/>
      <c r="C284" s="9">
        <v>92337</v>
      </c>
      <c r="D284" s="9">
        <v>16</v>
      </c>
      <c r="E284" s="9">
        <v>10043729</v>
      </c>
      <c r="F284" s="9" t="s">
        <v>914</v>
      </c>
      <c r="G284" s="9" t="s">
        <v>85</v>
      </c>
      <c r="H284" s="9" t="s">
        <v>85</v>
      </c>
      <c r="I284" s="9" t="s">
        <v>85</v>
      </c>
      <c r="J284" s="9" t="s">
        <v>85</v>
      </c>
      <c r="K284" s="13" t="s">
        <v>195</v>
      </c>
    </row>
    <row r="285" spans="1:11" x14ac:dyDescent="0.2">
      <c r="A285" s="11"/>
      <c r="B285" s="9"/>
      <c r="C285" s="9">
        <v>92335</v>
      </c>
      <c r="D285" s="9">
        <v>16</v>
      </c>
      <c r="E285" s="9" t="s">
        <v>1199</v>
      </c>
      <c r="F285" s="9" t="s">
        <v>914</v>
      </c>
      <c r="G285" s="9" t="s">
        <v>933</v>
      </c>
      <c r="H285" s="9" t="s">
        <v>933</v>
      </c>
      <c r="I285" s="9" t="s">
        <v>933</v>
      </c>
      <c r="J285" s="9" t="s">
        <v>933</v>
      </c>
      <c r="K285" s="13" t="s">
        <v>933</v>
      </c>
    </row>
    <row r="286" spans="1:11" x14ac:dyDescent="0.2">
      <c r="A286" s="11"/>
      <c r="B286" s="9"/>
      <c r="C286" s="9">
        <v>92336</v>
      </c>
      <c r="D286" s="9">
        <v>16</v>
      </c>
      <c r="E286" s="9">
        <v>10043226</v>
      </c>
      <c r="F286" s="9" t="s">
        <v>914</v>
      </c>
      <c r="G286" s="9" t="s">
        <v>85</v>
      </c>
      <c r="H286" s="9" t="s">
        <v>85</v>
      </c>
      <c r="I286" s="9" t="s">
        <v>85</v>
      </c>
      <c r="J286" s="9" t="s">
        <v>85</v>
      </c>
      <c r="K286" s="13" t="s">
        <v>85</v>
      </c>
    </row>
    <row r="287" spans="1:11" x14ac:dyDescent="0.2">
      <c r="A287" s="11"/>
      <c r="B287" s="9"/>
      <c r="C287" s="9">
        <v>91792</v>
      </c>
      <c r="D287" s="9">
        <v>16</v>
      </c>
      <c r="E287" s="9">
        <v>103702021</v>
      </c>
      <c r="F287" s="9" t="s">
        <v>914</v>
      </c>
      <c r="G287" s="9" t="s">
        <v>74</v>
      </c>
      <c r="H287" s="9" t="s">
        <v>74</v>
      </c>
      <c r="I287" s="9" t="s">
        <v>74</v>
      </c>
      <c r="J287" s="9" t="s">
        <v>103</v>
      </c>
      <c r="K287" s="13" t="s">
        <v>74</v>
      </c>
    </row>
    <row r="288" spans="1:11" x14ac:dyDescent="0.2">
      <c r="A288" s="11"/>
      <c r="B288" s="9"/>
      <c r="C288" s="9">
        <v>92336</v>
      </c>
      <c r="D288" s="9">
        <v>16</v>
      </c>
      <c r="E288" s="9">
        <v>102891262</v>
      </c>
      <c r="F288" s="9" t="s">
        <v>914</v>
      </c>
      <c r="G288" s="9" t="s">
        <v>113</v>
      </c>
      <c r="H288" s="9" t="s">
        <v>113</v>
      </c>
      <c r="I288" s="9" t="s">
        <v>113</v>
      </c>
      <c r="J288" s="9" t="s">
        <v>113</v>
      </c>
      <c r="K288" s="13" t="s">
        <v>113</v>
      </c>
    </row>
    <row r="289" spans="1:11" x14ac:dyDescent="0.2">
      <c r="A289" s="11"/>
      <c r="B289" s="9"/>
      <c r="C289" s="9">
        <v>92337</v>
      </c>
      <c r="D289" s="9">
        <v>16</v>
      </c>
      <c r="E289" s="9">
        <v>10303075</v>
      </c>
      <c r="F289" s="9" t="s">
        <v>919</v>
      </c>
      <c r="G289" s="9" t="s">
        <v>113</v>
      </c>
      <c r="H289" s="9" t="s">
        <v>113</v>
      </c>
      <c r="I289" s="9" t="s">
        <v>113</v>
      </c>
      <c r="J289" s="9" t="s">
        <v>113</v>
      </c>
      <c r="K289" s="13" t="s">
        <v>113</v>
      </c>
    </row>
    <row r="290" spans="1:11" x14ac:dyDescent="0.2">
      <c r="A290" s="11"/>
      <c r="B290" s="9"/>
      <c r="C290" s="9">
        <v>92336</v>
      </c>
      <c r="D290" s="9">
        <v>16.8</v>
      </c>
      <c r="E290" s="9">
        <v>10042188</v>
      </c>
      <c r="F290" s="9" t="s">
        <v>914</v>
      </c>
      <c r="G290" s="9" t="s">
        <v>113</v>
      </c>
      <c r="H290" s="9" t="s">
        <v>113</v>
      </c>
      <c r="I290" s="9" t="s">
        <v>113</v>
      </c>
      <c r="J290" s="9" t="s">
        <v>113</v>
      </c>
      <c r="K290" s="13" t="s">
        <v>113</v>
      </c>
    </row>
    <row r="291" spans="1:11" x14ac:dyDescent="0.2">
      <c r="A291" s="11"/>
      <c r="B291" s="9"/>
      <c r="C291" s="9">
        <v>91761</v>
      </c>
      <c r="D291" s="9">
        <v>17</v>
      </c>
      <c r="E291" s="9">
        <v>10308283</v>
      </c>
      <c r="F291" s="9" t="s">
        <v>914</v>
      </c>
      <c r="G291" s="9" t="s">
        <v>113</v>
      </c>
      <c r="H291" s="9" t="s">
        <v>113</v>
      </c>
      <c r="I291" s="9" t="s">
        <v>113</v>
      </c>
      <c r="J291" s="9" t="s">
        <v>113</v>
      </c>
      <c r="K291" s="13" t="s">
        <v>113</v>
      </c>
    </row>
    <row r="292" spans="1:11" x14ac:dyDescent="0.2">
      <c r="A292" s="12"/>
      <c r="C292" s="4">
        <v>91105</v>
      </c>
      <c r="D292" s="4">
        <v>17</v>
      </c>
      <c r="E292" s="4" t="s">
        <v>344</v>
      </c>
      <c r="F292" s="4" t="s">
        <v>914</v>
      </c>
      <c r="G292" s="4" t="s">
        <v>113</v>
      </c>
      <c r="H292" s="4" t="s">
        <v>113</v>
      </c>
      <c r="I292" s="4" t="s">
        <v>113</v>
      </c>
      <c r="J292" s="4" t="s">
        <v>113</v>
      </c>
      <c r="K292" s="14" t="s">
        <v>113</v>
      </c>
    </row>
    <row r="293" spans="1:11" x14ac:dyDescent="0.2">
      <c r="A293" s="11"/>
      <c r="B293" s="9"/>
      <c r="C293" s="9">
        <v>92316</v>
      </c>
      <c r="D293" s="9">
        <v>17</v>
      </c>
      <c r="E293" s="9">
        <v>10197150</v>
      </c>
      <c r="F293" s="9" t="s">
        <v>914</v>
      </c>
      <c r="G293" s="9" t="s">
        <v>103</v>
      </c>
      <c r="H293" s="9" t="s">
        <v>103</v>
      </c>
      <c r="I293" s="9" t="s">
        <v>103</v>
      </c>
      <c r="J293" s="9" t="s">
        <v>103</v>
      </c>
      <c r="K293" s="13" t="s">
        <v>103</v>
      </c>
    </row>
    <row r="294" spans="1:11" x14ac:dyDescent="0.2">
      <c r="A294" s="11"/>
      <c r="B294" s="9"/>
      <c r="C294" s="9">
        <v>91762</v>
      </c>
      <c r="D294" s="9">
        <v>17</v>
      </c>
      <c r="E294" s="9">
        <v>101993243</v>
      </c>
      <c r="F294" s="9" t="s">
        <v>914</v>
      </c>
      <c r="G294" s="9" t="s">
        <v>113</v>
      </c>
      <c r="H294" s="9" t="s">
        <v>113</v>
      </c>
      <c r="I294" s="9" t="s">
        <v>113</v>
      </c>
      <c r="J294" s="9" t="s">
        <v>113</v>
      </c>
      <c r="K294" s="13" t="s">
        <v>113</v>
      </c>
    </row>
    <row r="295" spans="1:11" x14ac:dyDescent="0.2">
      <c r="A295" s="12"/>
      <c r="C295" s="4">
        <v>91702</v>
      </c>
      <c r="D295" s="4">
        <v>17</v>
      </c>
      <c r="E295" s="4">
        <v>103666132</v>
      </c>
      <c r="F295" s="4" t="s">
        <v>914</v>
      </c>
      <c r="G295" s="4" t="s">
        <v>113</v>
      </c>
      <c r="H295" s="4" t="s">
        <v>113</v>
      </c>
      <c r="I295" s="4" t="s">
        <v>113</v>
      </c>
      <c r="J295" s="4" t="s">
        <v>113</v>
      </c>
      <c r="K295" s="14" t="s">
        <v>113</v>
      </c>
    </row>
    <row r="296" spans="1:11" x14ac:dyDescent="0.2">
      <c r="A296" s="12"/>
      <c r="C296" s="4">
        <v>91708</v>
      </c>
      <c r="D296" s="4">
        <v>17</v>
      </c>
      <c r="E296" s="4">
        <v>103695161</v>
      </c>
      <c r="F296" s="4" t="s">
        <v>914</v>
      </c>
      <c r="G296" s="4" t="s">
        <v>113</v>
      </c>
      <c r="H296" s="4" t="s">
        <v>113</v>
      </c>
      <c r="I296" s="4" t="s">
        <v>113</v>
      </c>
      <c r="J296" s="4" t="s">
        <v>113</v>
      </c>
      <c r="K296" s="14" t="s">
        <v>103</v>
      </c>
    </row>
    <row r="297" spans="1:11" x14ac:dyDescent="0.2">
      <c r="A297" s="11"/>
      <c r="B297" s="9"/>
      <c r="C297" s="9">
        <v>92336</v>
      </c>
      <c r="D297" s="9">
        <v>17</v>
      </c>
      <c r="E297" s="9">
        <v>10374419</v>
      </c>
      <c r="F297" s="9" t="s">
        <v>919</v>
      </c>
      <c r="G297" s="9" t="s">
        <v>113</v>
      </c>
      <c r="H297" s="9" t="s">
        <v>113</v>
      </c>
      <c r="I297" s="9" t="s">
        <v>202</v>
      </c>
      <c r="J297" s="9" t="s">
        <v>85</v>
      </c>
      <c r="K297" s="13" t="s">
        <v>202</v>
      </c>
    </row>
    <row r="298" spans="1:11" x14ac:dyDescent="0.2">
      <c r="A298" s="11"/>
      <c r="B298" s="9"/>
      <c r="C298" s="9">
        <v>91744</v>
      </c>
      <c r="D298" s="9">
        <v>17</v>
      </c>
      <c r="E298" s="9">
        <v>10215439</v>
      </c>
      <c r="F298" s="9" t="s">
        <v>914</v>
      </c>
      <c r="G298" s="9" t="s">
        <v>113</v>
      </c>
      <c r="H298" s="9" t="s">
        <v>113</v>
      </c>
      <c r="I298" s="9" t="s">
        <v>113</v>
      </c>
      <c r="J298" s="9" t="s">
        <v>113</v>
      </c>
      <c r="K298" s="13" t="s">
        <v>113</v>
      </c>
    </row>
    <row r="299" spans="1:11" x14ac:dyDescent="0.2">
      <c r="A299" s="11"/>
      <c r="B299" s="9"/>
      <c r="C299" s="9">
        <v>92336</v>
      </c>
      <c r="D299" s="9">
        <v>17.5</v>
      </c>
      <c r="E299" s="9">
        <v>10097957</v>
      </c>
      <c r="F299" s="9" t="s">
        <v>914</v>
      </c>
      <c r="G299" s="9" t="s">
        <v>103</v>
      </c>
      <c r="H299" s="9" t="s">
        <v>103</v>
      </c>
      <c r="I299" s="9" t="s">
        <v>103</v>
      </c>
      <c r="J299" s="9" t="s">
        <v>103</v>
      </c>
      <c r="K299" s="13" t="s">
        <v>103</v>
      </c>
    </row>
    <row r="300" spans="1:11" x14ac:dyDescent="0.2">
      <c r="A300" s="12"/>
      <c r="C300" s="4">
        <v>91706</v>
      </c>
      <c r="D300" s="4">
        <v>18</v>
      </c>
      <c r="E300" s="4">
        <v>103477621</v>
      </c>
      <c r="F300" s="4" t="s">
        <v>914</v>
      </c>
      <c r="G300" s="4" t="s">
        <v>103</v>
      </c>
      <c r="H300" s="4" t="s">
        <v>113</v>
      </c>
      <c r="I300" s="4" t="s">
        <v>195</v>
      </c>
      <c r="J300" s="4" t="s">
        <v>195</v>
      </c>
      <c r="K300" s="14" t="s">
        <v>103</v>
      </c>
    </row>
    <row r="301" spans="1:11" x14ac:dyDescent="0.2">
      <c r="A301" s="12"/>
      <c r="C301" s="4">
        <v>92336</v>
      </c>
      <c r="D301" s="4">
        <v>18</v>
      </c>
      <c r="E301" s="4">
        <v>103731301</v>
      </c>
      <c r="F301" s="4" t="s">
        <v>919</v>
      </c>
      <c r="G301" s="4" t="s">
        <v>113</v>
      </c>
      <c r="H301" s="4" t="s">
        <v>113</v>
      </c>
      <c r="I301" s="4" t="s">
        <v>113</v>
      </c>
      <c r="J301" s="4" t="s">
        <v>113</v>
      </c>
      <c r="K301" s="14" t="s">
        <v>113</v>
      </c>
    </row>
    <row r="302" spans="1:11" x14ac:dyDescent="0.2">
      <c r="A302" s="11"/>
      <c r="B302" s="9"/>
      <c r="C302" s="9">
        <v>91706</v>
      </c>
      <c r="D302" s="9">
        <v>18</v>
      </c>
      <c r="E302" s="9">
        <v>10118280</v>
      </c>
      <c r="F302" s="9" t="s">
        <v>914</v>
      </c>
      <c r="G302" s="9" t="s">
        <v>103</v>
      </c>
      <c r="H302" s="9" t="s">
        <v>933</v>
      </c>
      <c r="I302" s="9" t="s">
        <v>933</v>
      </c>
      <c r="J302" s="9" t="s">
        <v>933</v>
      </c>
      <c r="K302" s="13" t="s">
        <v>933</v>
      </c>
    </row>
    <row r="303" spans="1:11" x14ac:dyDescent="0.2">
      <c r="A303" s="11"/>
      <c r="B303" s="9"/>
      <c r="C303" s="9">
        <v>92336</v>
      </c>
      <c r="D303" s="9">
        <v>18</v>
      </c>
      <c r="E303" s="9">
        <v>10243796</v>
      </c>
      <c r="F303" s="9" t="s">
        <v>914</v>
      </c>
      <c r="G303" s="9" t="s">
        <v>108</v>
      </c>
      <c r="H303" s="9" t="s">
        <v>1016</v>
      </c>
      <c r="I303" s="9" t="s">
        <v>1016</v>
      </c>
      <c r="J303" s="9" t="s">
        <v>108</v>
      </c>
      <c r="K303" s="13" t="s">
        <v>1016</v>
      </c>
    </row>
    <row r="304" spans="1:11" x14ac:dyDescent="0.2">
      <c r="A304" s="12"/>
      <c r="C304" s="4">
        <v>91752</v>
      </c>
      <c r="D304" s="4">
        <v>18</v>
      </c>
      <c r="E304" s="4">
        <v>103547202</v>
      </c>
      <c r="F304" s="4" t="s">
        <v>914</v>
      </c>
      <c r="G304" s="4" t="s">
        <v>191</v>
      </c>
      <c r="H304" s="4" t="s">
        <v>191</v>
      </c>
      <c r="I304" s="4" t="s">
        <v>113</v>
      </c>
      <c r="J304" s="4" t="s">
        <v>113</v>
      </c>
      <c r="K304" s="14" t="s">
        <v>113</v>
      </c>
    </row>
    <row r="305" spans="1:11" x14ac:dyDescent="0.2">
      <c r="A305" s="11"/>
      <c r="B305" s="9"/>
      <c r="C305" s="9">
        <v>92335</v>
      </c>
      <c r="D305" s="9">
        <v>18</v>
      </c>
      <c r="E305" s="9" t="s">
        <v>1220</v>
      </c>
      <c r="F305" s="9" t="s">
        <v>914</v>
      </c>
      <c r="G305" s="9" t="s">
        <v>113</v>
      </c>
      <c r="H305" s="9" t="s">
        <v>113</v>
      </c>
      <c r="I305" s="9" t="s">
        <v>113</v>
      </c>
      <c r="J305" s="9" t="s">
        <v>113</v>
      </c>
      <c r="K305" s="13" t="s">
        <v>113</v>
      </c>
    </row>
    <row r="306" spans="1:11" x14ac:dyDescent="0.2">
      <c r="A306" s="11"/>
      <c r="B306" s="9"/>
      <c r="C306" s="9">
        <v>92337</v>
      </c>
      <c r="D306" s="9">
        <v>19</v>
      </c>
      <c r="E306" s="9">
        <v>10092419</v>
      </c>
      <c r="F306" s="9" t="s">
        <v>914</v>
      </c>
      <c r="G306" s="9" t="s">
        <v>191</v>
      </c>
      <c r="H306" s="9" t="s">
        <v>113</v>
      </c>
      <c r="I306" s="9" t="s">
        <v>113</v>
      </c>
      <c r="J306" s="9" t="s">
        <v>113</v>
      </c>
      <c r="K306" s="13" t="s">
        <v>113</v>
      </c>
    </row>
    <row r="307" spans="1:11" x14ac:dyDescent="0.2">
      <c r="A307" s="12"/>
      <c r="C307" s="4">
        <v>91711</v>
      </c>
      <c r="D307" s="4">
        <v>20</v>
      </c>
      <c r="E307" s="4">
        <v>10370479</v>
      </c>
      <c r="F307" s="4" t="s">
        <v>914</v>
      </c>
      <c r="G307" s="4" t="s">
        <v>98</v>
      </c>
      <c r="H307" s="4" t="s">
        <v>98</v>
      </c>
      <c r="I307" s="4" t="s">
        <v>98</v>
      </c>
      <c r="J307" s="4" t="s">
        <v>98</v>
      </c>
      <c r="K307" s="14" t="s">
        <v>98</v>
      </c>
    </row>
    <row r="308" spans="1:11" x14ac:dyDescent="0.2">
      <c r="A308" s="11"/>
      <c r="B308" s="9"/>
      <c r="C308" s="9">
        <v>92821</v>
      </c>
      <c r="D308" s="9">
        <v>20</v>
      </c>
      <c r="E308" s="9" t="s">
        <v>1223</v>
      </c>
      <c r="F308" s="9" t="s">
        <v>914</v>
      </c>
      <c r="G308" s="9" t="s">
        <v>191</v>
      </c>
      <c r="H308" s="9" t="s">
        <v>113</v>
      </c>
      <c r="I308" s="9" t="s">
        <v>113</v>
      </c>
      <c r="J308" s="9" t="s">
        <v>113</v>
      </c>
      <c r="K308" s="13" t="s">
        <v>103</v>
      </c>
    </row>
    <row r="309" spans="1:11" x14ac:dyDescent="0.2">
      <c r="A309" s="11"/>
      <c r="B309" s="9"/>
      <c r="C309" s="9">
        <v>92335</v>
      </c>
      <c r="D309" s="9">
        <v>20</v>
      </c>
      <c r="E309" s="9" t="s">
        <v>1225</v>
      </c>
      <c r="F309" s="9" t="s">
        <v>914</v>
      </c>
      <c r="G309" s="9" t="s">
        <v>113</v>
      </c>
      <c r="H309" s="9" t="s">
        <v>113</v>
      </c>
      <c r="I309" s="9" t="s">
        <v>113</v>
      </c>
      <c r="J309" s="9" t="s">
        <v>113</v>
      </c>
      <c r="K309" s="13" t="s">
        <v>113</v>
      </c>
    </row>
    <row r="310" spans="1:11" x14ac:dyDescent="0.2">
      <c r="A310" s="11"/>
      <c r="B310" s="9"/>
      <c r="C310" s="9">
        <v>92335</v>
      </c>
      <c r="D310" s="9">
        <v>20</v>
      </c>
      <c r="E310" s="9">
        <v>10042928</v>
      </c>
      <c r="F310" s="9" t="s">
        <v>914</v>
      </c>
      <c r="G310" s="9" t="s">
        <v>85</v>
      </c>
      <c r="H310" s="9" t="s">
        <v>85</v>
      </c>
      <c r="I310" s="9" t="s">
        <v>85</v>
      </c>
      <c r="J310" s="9" t="s">
        <v>85</v>
      </c>
      <c r="K310" s="13" t="s">
        <v>85</v>
      </c>
    </row>
    <row r="311" spans="1:11" x14ac:dyDescent="0.2">
      <c r="A311" s="12"/>
      <c r="C311" s="4">
        <v>92377</v>
      </c>
      <c r="D311" s="4">
        <v>20</v>
      </c>
      <c r="E311" s="4">
        <v>10234495</v>
      </c>
      <c r="F311" s="4" t="s">
        <v>914</v>
      </c>
      <c r="G311" s="4" t="s">
        <v>103</v>
      </c>
      <c r="H311" s="4" t="s">
        <v>103</v>
      </c>
      <c r="I311" s="4" t="s">
        <v>103</v>
      </c>
      <c r="J311" s="4" t="s">
        <v>103</v>
      </c>
      <c r="K311" s="14" t="s">
        <v>103</v>
      </c>
    </row>
    <row r="312" spans="1:11" x14ac:dyDescent="0.2">
      <c r="A312" s="12"/>
      <c r="C312" s="4">
        <v>92336</v>
      </c>
      <c r="D312" s="4">
        <v>20</v>
      </c>
      <c r="E312" s="4">
        <v>10372591</v>
      </c>
      <c r="F312" s="4" t="s">
        <v>914</v>
      </c>
      <c r="G312" s="4" t="s">
        <v>103</v>
      </c>
      <c r="H312" s="4" t="s">
        <v>113</v>
      </c>
      <c r="I312" s="4" t="s">
        <v>113</v>
      </c>
      <c r="J312" s="4" t="s">
        <v>113</v>
      </c>
      <c r="K312" s="14" t="s">
        <v>103</v>
      </c>
    </row>
    <row r="313" spans="1:11" x14ac:dyDescent="0.2">
      <c r="A313" s="12"/>
      <c r="C313" s="4">
        <v>92337</v>
      </c>
      <c r="D313" s="4">
        <v>20</v>
      </c>
      <c r="E313" s="4">
        <v>10359053</v>
      </c>
      <c r="F313" s="4" t="s">
        <v>914</v>
      </c>
      <c r="G313" s="4" t="s">
        <v>113</v>
      </c>
      <c r="H313" s="4" t="s">
        <v>113</v>
      </c>
      <c r="I313" s="4" t="s">
        <v>113</v>
      </c>
      <c r="J313" s="4" t="s">
        <v>113</v>
      </c>
      <c r="K313" s="14" t="s">
        <v>113</v>
      </c>
    </row>
    <row r="314" spans="1:11" x14ac:dyDescent="0.2">
      <c r="A314" s="11"/>
      <c r="B314" s="9"/>
      <c r="C314" s="9">
        <v>92333</v>
      </c>
      <c r="D314" s="9">
        <v>20</v>
      </c>
      <c r="E314" s="9">
        <v>10042922</v>
      </c>
      <c r="F314" s="9" t="s">
        <v>914</v>
      </c>
      <c r="G314" s="9" t="s">
        <v>933</v>
      </c>
      <c r="H314" s="9" t="s">
        <v>933</v>
      </c>
      <c r="I314" s="9" t="s">
        <v>933</v>
      </c>
      <c r="J314" s="9" t="s">
        <v>933</v>
      </c>
      <c r="K314" s="13" t="s">
        <v>933</v>
      </c>
    </row>
    <row r="315" spans="1:11" x14ac:dyDescent="0.2">
      <c r="A315" s="12"/>
      <c r="C315" s="4">
        <v>91767</v>
      </c>
      <c r="D315" s="4">
        <v>20</v>
      </c>
      <c r="E315" s="4">
        <v>10090700</v>
      </c>
      <c r="F315" s="4" t="s">
        <v>914</v>
      </c>
      <c r="G315" s="4" t="s">
        <v>113</v>
      </c>
      <c r="H315" s="4" t="s">
        <v>113</v>
      </c>
      <c r="I315" s="4" t="s">
        <v>113</v>
      </c>
      <c r="J315" s="4" t="s">
        <v>113</v>
      </c>
      <c r="K315" s="14" t="s">
        <v>113</v>
      </c>
    </row>
    <row r="316" spans="1:11" x14ac:dyDescent="0.2">
      <c r="A316" s="12"/>
      <c r="C316" s="4">
        <v>92377</v>
      </c>
      <c r="D316" s="4">
        <v>21</v>
      </c>
      <c r="E316" s="4">
        <v>10357060</v>
      </c>
      <c r="F316" s="4" t="s">
        <v>914</v>
      </c>
      <c r="G316" s="4" t="s">
        <v>113</v>
      </c>
      <c r="H316" s="4" t="s">
        <v>113</v>
      </c>
      <c r="I316" s="4" t="s">
        <v>113</v>
      </c>
      <c r="J316" s="4" t="s">
        <v>113</v>
      </c>
      <c r="K316" s="14" t="s">
        <v>113</v>
      </c>
    </row>
    <row r="317" spans="1:11" x14ac:dyDescent="0.2">
      <c r="A317" s="12"/>
      <c r="C317" s="4">
        <v>92376</v>
      </c>
      <c r="D317" s="4">
        <v>21</v>
      </c>
      <c r="E317" s="4">
        <v>10292177</v>
      </c>
      <c r="F317" s="4" t="s">
        <v>914</v>
      </c>
      <c r="G317" s="4" t="s">
        <v>113</v>
      </c>
      <c r="H317" s="4" t="s">
        <v>113</v>
      </c>
      <c r="I317" s="4" t="s">
        <v>113</v>
      </c>
      <c r="J317" s="4" t="s">
        <v>113</v>
      </c>
      <c r="K317" s="14" t="s">
        <v>113</v>
      </c>
    </row>
    <row r="318" spans="1:11" x14ac:dyDescent="0.2">
      <c r="A318" s="11"/>
      <c r="B318" s="9"/>
      <c r="C318" s="9">
        <v>92880</v>
      </c>
      <c r="D318" s="9">
        <v>21.3</v>
      </c>
      <c r="E318" s="9">
        <v>103722532</v>
      </c>
      <c r="F318" s="9" t="s">
        <v>914</v>
      </c>
      <c r="G318" s="9" t="s">
        <v>113</v>
      </c>
      <c r="H318" s="9" t="s">
        <v>113</v>
      </c>
      <c r="I318" s="9" t="s">
        <v>113</v>
      </c>
      <c r="J318" s="9" t="s">
        <v>103</v>
      </c>
      <c r="K318" s="13" t="s">
        <v>113</v>
      </c>
    </row>
    <row r="319" spans="1:11" x14ac:dyDescent="0.2">
      <c r="A319" s="12"/>
      <c r="C319" s="4">
        <v>92377</v>
      </c>
      <c r="D319" s="4">
        <v>21.5</v>
      </c>
      <c r="E319" s="4">
        <v>103688112</v>
      </c>
      <c r="F319" s="4" t="s">
        <v>914</v>
      </c>
      <c r="G319" s="4" t="s">
        <v>113</v>
      </c>
      <c r="H319" s="4" t="s">
        <v>113</v>
      </c>
      <c r="I319" s="4" t="s">
        <v>113</v>
      </c>
      <c r="J319" s="4" t="s">
        <v>113</v>
      </c>
      <c r="K319" s="14" t="s">
        <v>113</v>
      </c>
    </row>
    <row r="320" spans="1:11" x14ac:dyDescent="0.2">
      <c r="A320" s="12"/>
      <c r="C320" s="4">
        <v>91007</v>
      </c>
      <c r="D320" s="4">
        <v>22</v>
      </c>
      <c r="E320" s="4" t="s">
        <v>1236</v>
      </c>
      <c r="F320" s="4" t="s">
        <v>914</v>
      </c>
      <c r="G320" s="4" t="s">
        <v>113</v>
      </c>
      <c r="H320" s="4" t="s">
        <v>113</v>
      </c>
      <c r="I320" s="4" t="s">
        <v>113</v>
      </c>
      <c r="J320" s="4" t="s">
        <v>113</v>
      </c>
      <c r="K320" s="14" t="s">
        <v>113</v>
      </c>
    </row>
    <row r="321" spans="1:11" x14ac:dyDescent="0.2">
      <c r="A321" s="11"/>
      <c r="B321" s="9"/>
      <c r="C321" s="9">
        <v>92335</v>
      </c>
      <c r="D321" s="9">
        <v>22</v>
      </c>
      <c r="E321" s="9">
        <v>10043613</v>
      </c>
      <c r="F321" s="9" t="s">
        <v>914</v>
      </c>
      <c r="G321" s="9" t="s">
        <v>113</v>
      </c>
      <c r="H321" s="9" t="s">
        <v>113</v>
      </c>
      <c r="I321" s="9" t="s">
        <v>113</v>
      </c>
      <c r="J321" s="9" t="s">
        <v>113</v>
      </c>
      <c r="K321" s="13" t="s">
        <v>113</v>
      </c>
    </row>
    <row r="322" spans="1:11" x14ac:dyDescent="0.2">
      <c r="A322" s="11"/>
      <c r="B322" s="9"/>
      <c r="C322" s="9">
        <v>90631</v>
      </c>
      <c r="D322" s="9">
        <v>22</v>
      </c>
      <c r="E322" s="9">
        <v>10371573</v>
      </c>
      <c r="F322" s="9" t="s">
        <v>919</v>
      </c>
      <c r="G322" s="9" t="s">
        <v>113</v>
      </c>
      <c r="H322" s="9" t="s">
        <v>113</v>
      </c>
      <c r="I322" s="9" t="s">
        <v>113</v>
      </c>
      <c r="J322" s="9" t="s">
        <v>202</v>
      </c>
      <c r="K322" s="13" t="s">
        <v>113</v>
      </c>
    </row>
    <row r="323" spans="1:11" x14ac:dyDescent="0.2">
      <c r="A323" s="11"/>
      <c r="B323" s="9"/>
      <c r="C323" s="9">
        <v>91024</v>
      </c>
      <c r="D323" s="9">
        <v>22.8</v>
      </c>
      <c r="E323" s="9">
        <v>103087423</v>
      </c>
      <c r="F323" s="9" t="s">
        <v>914</v>
      </c>
      <c r="G323" s="9" t="s">
        <v>113</v>
      </c>
      <c r="H323" s="9" t="s">
        <v>113</v>
      </c>
      <c r="I323" s="9" t="s">
        <v>113</v>
      </c>
      <c r="J323" s="9" t="s">
        <v>113</v>
      </c>
      <c r="K323" s="13" t="s">
        <v>113</v>
      </c>
    </row>
    <row r="324" spans="1:11" x14ac:dyDescent="0.2">
      <c r="A324" s="11"/>
      <c r="B324" s="9"/>
      <c r="C324" s="9">
        <v>92880</v>
      </c>
      <c r="D324" s="9">
        <v>23</v>
      </c>
      <c r="E324" s="9">
        <v>100750</v>
      </c>
      <c r="F324" s="9" t="s">
        <v>914</v>
      </c>
      <c r="G324" s="9" t="s">
        <v>103</v>
      </c>
      <c r="H324" s="9" t="s">
        <v>103</v>
      </c>
      <c r="I324" s="9" t="s">
        <v>103</v>
      </c>
      <c r="J324" s="9" t="s">
        <v>103</v>
      </c>
      <c r="K324" s="13" t="s">
        <v>103</v>
      </c>
    </row>
    <row r="325" spans="1:11" x14ac:dyDescent="0.2">
      <c r="A325" s="12"/>
      <c r="C325" s="4">
        <v>92376</v>
      </c>
      <c r="D325" s="4">
        <v>23</v>
      </c>
      <c r="E325" s="4">
        <v>10368812</v>
      </c>
      <c r="F325" s="4" t="s">
        <v>914</v>
      </c>
      <c r="G325" s="4" t="s">
        <v>933</v>
      </c>
      <c r="H325" s="4" t="s">
        <v>933</v>
      </c>
      <c r="I325" s="4" t="s">
        <v>933</v>
      </c>
      <c r="J325" s="4" t="s">
        <v>933</v>
      </c>
      <c r="K325" s="14" t="s">
        <v>933</v>
      </c>
    </row>
    <row r="326" spans="1:11" x14ac:dyDescent="0.2">
      <c r="A326" s="11"/>
      <c r="B326" s="9"/>
      <c r="C326" s="9">
        <v>92504</v>
      </c>
      <c r="D326" s="9">
        <v>23</v>
      </c>
      <c r="E326" s="9">
        <v>103587452</v>
      </c>
      <c r="F326" s="9" t="s">
        <v>914</v>
      </c>
      <c r="G326" s="9" t="s">
        <v>113</v>
      </c>
      <c r="H326" s="9" t="s">
        <v>113</v>
      </c>
      <c r="I326" s="9" t="s">
        <v>113</v>
      </c>
      <c r="J326" s="9" t="s">
        <v>113</v>
      </c>
      <c r="K326" s="13" t="s">
        <v>202</v>
      </c>
    </row>
    <row r="327" spans="1:11" x14ac:dyDescent="0.2">
      <c r="A327" s="11"/>
      <c r="B327" s="9"/>
      <c r="C327" s="9">
        <v>90603</v>
      </c>
      <c r="D327" s="9">
        <v>24</v>
      </c>
      <c r="E327" s="9">
        <v>103492297</v>
      </c>
      <c r="F327" s="9" t="s">
        <v>914</v>
      </c>
      <c r="G327" s="9" t="s">
        <v>103</v>
      </c>
      <c r="H327" s="9" t="s">
        <v>113</v>
      </c>
      <c r="I327" s="9" t="s">
        <v>103</v>
      </c>
      <c r="J327" s="9" t="s">
        <v>113</v>
      </c>
      <c r="K327" s="13" t="s">
        <v>113</v>
      </c>
    </row>
    <row r="328" spans="1:11" x14ac:dyDescent="0.2">
      <c r="A328" s="12"/>
      <c r="C328" s="4">
        <v>92376</v>
      </c>
      <c r="D328" s="4">
        <v>24</v>
      </c>
      <c r="E328" s="4">
        <v>101772261</v>
      </c>
      <c r="F328" s="4" t="s">
        <v>914</v>
      </c>
      <c r="G328" s="4" t="s">
        <v>195</v>
      </c>
      <c r="H328" s="4" t="s">
        <v>1016</v>
      </c>
      <c r="I328" s="4" t="s">
        <v>1016</v>
      </c>
      <c r="J328" s="4" t="s">
        <v>191</v>
      </c>
      <c r="K328" s="14" t="s">
        <v>191</v>
      </c>
    </row>
    <row r="329" spans="1:11" x14ac:dyDescent="0.2">
      <c r="A329" s="12"/>
      <c r="C329" s="4">
        <v>92376</v>
      </c>
      <c r="D329" s="4">
        <v>24</v>
      </c>
      <c r="E329" s="4">
        <v>10344423</v>
      </c>
      <c r="F329" s="4" t="s">
        <v>914</v>
      </c>
      <c r="G329" s="4" t="s">
        <v>933</v>
      </c>
      <c r="H329" s="4" t="s">
        <v>933</v>
      </c>
      <c r="I329" s="4" t="s">
        <v>933</v>
      </c>
      <c r="J329" s="4" t="s">
        <v>933</v>
      </c>
      <c r="K329" s="14" t="s">
        <v>933</v>
      </c>
    </row>
    <row r="330" spans="1:11" x14ac:dyDescent="0.2">
      <c r="A330" s="11"/>
      <c r="B330" s="9"/>
      <c r="C330" s="9">
        <v>92886</v>
      </c>
      <c r="D330" s="9">
        <v>24</v>
      </c>
      <c r="E330" s="9">
        <v>101008</v>
      </c>
      <c r="F330" s="9" t="s">
        <v>914</v>
      </c>
      <c r="G330" s="9" t="s">
        <v>113</v>
      </c>
      <c r="H330" s="9" t="s">
        <v>113</v>
      </c>
      <c r="I330" s="9" t="s">
        <v>113</v>
      </c>
      <c r="J330" s="9" t="s">
        <v>103</v>
      </c>
      <c r="K330" s="13" t="s">
        <v>103</v>
      </c>
    </row>
    <row r="331" spans="1:11" x14ac:dyDescent="0.2">
      <c r="A331" s="11"/>
      <c r="B331" s="9"/>
      <c r="C331" s="9">
        <v>92337</v>
      </c>
      <c r="D331" s="9">
        <v>24</v>
      </c>
      <c r="E331" s="9">
        <v>10349685</v>
      </c>
      <c r="F331" s="9" t="s">
        <v>914</v>
      </c>
      <c r="G331" s="9" t="s">
        <v>74</v>
      </c>
      <c r="H331" s="9" t="s">
        <v>103</v>
      </c>
      <c r="I331" s="9" t="s">
        <v>74</v>
      </c>
      <c r="J331" s="9" t="s">
        <v>103</v>
      </c>
      <c r="K331" s="13" t="s">
        <v>74</v>
      </c>
    </row>
    <row r="332" spans="1:11" x14ac:dyDescent="0.2">
      <c r="A332" s="11"/>
      <c r="B332" s="9"/>
      <c r="C332" s="9">
        <v>92376</v>
      </c>
      <c r="D332" s="9">
        <v>24.3</v>
      </c>
      <c r="E332" s="9">
        <v>101330641</v>
      </c>
      <c r="F332" s="9" t="s">
        <v>914</v>
      </c>
      <c r="G332" s="9" t="s">
        <v>85</v>
      </c>
      <c r="H332" s="9" t="s">
        <v>85</v>
      </c>
      <c r="I332" s="9" t="s">
        <v>85</v>
      </c>
      <c r="J332" s="9" t="s">
        <v>85</v>
      </c>
      <c r="K332" s="13" t="s">
        <v>85</v>
      </c>
    </row>
    <row r="333" spans="1:11" x14ac:dyDescent="0.2">
      <c r="A333" s="11"/>
      <c r="B333" s="9"/>
      <c r="C333" s="9">
        <v>91780</v>
      </c>
      <c r="D333" s="9">
        <v>25</v>
      </c>
      <c r="E333" s="9" t="s">
        <v>1247</v>
      </c>
      <c r="F333" s="9" t="s">
        <v>914</v>
      </c>
      <c r="G333" s="9" t="s">
        <v>113</v>
      </c>
      <c r="H333" s="9" t="s">
        <v>113</v>
      </c>
      <c r="I333" s="9" t="s">
        <v>113</v>
      </c>
      <c r="J333" s="9" t="s">
        <v>199</v>
      </c>
      <c r="K333" s="13" t="s">
        <v>199</v>
      </c>
    </row>
    <row r="334" spans="1:11" x14ac:dyDescent="0.2">
      <c r="A334" s="11"/>
      <c r="B334" s="9"/>
      <c r="C334" s="9">
        <v>92376</v>
      </c>
      <c r="D334" s="9">
        <v>25</v>
      </c>
      <c r="E334" s="9">
        <v>10364310</v>
      </c>
      <c r="F334" s="9" t="s">
        <v>914</v>
      </c>
      <c r="G334" s="9" t="s">
        <v>113</v>
      </c>
      <c r="H334" s="9" t="s">
        <v>113</v>
      </c>
      <c r="I334" s="9" t="s">
        <v>113</v>
      </c>
      <c r="J334" s="9" t="s">
        <v>113</v>
      </c>
      <c r="K334" s="13" t="s">
        <v>113</v>
      </c>
    </row>
    <row r="335" spans="1:11" x14ac:dyDescent="0.2">
      <c r="A335" s="12"/>
      <c r="C335" s="4">
        <v>92376</v>
      </c>
      <c r="D335" s="4">
        <v>25</v>
      </c>
      <c r="E335" s="4" t="s">
        <v>1250</v>
      </c>
      <c r="F335" s="4" t="s">
        <v>914</v>
      </c>
      <c r="G335" s="4" t="s">
        <v>103</v>
      </c>
      <c r="H335" s="4" t="s">
        <v>103</v>
      </c>
      <c r="I335" s="4" t="s">
        <v>103</v>
      </c>
      <c r="J335" s="4" t="s">
        <v>103</v>
      </c>
      <c r="K335" s="14" t="s">
        <v>103</v>
      </c>
    </row>
    <row r="336" spans="1:11" x14ac:dyDescent="0.2">
      <c r="A336" s="12"/>
      <c r="C336" s="4">
        <v>92316</v>
      </c>
      <c r="D336" s="4">
        <v>25</v>
      </c>
      <c r="E336" s="4">
        <v>10151953</v>
      </c>
      <c r="F336" s="4" t="s">
        <v>914</v>
      </c>
      <c r="G336" s="4" t="s">
        <v>113</v>
      </c>
      <c r="H336" s="4" t="s">
        <v>113</v>
      </c>
      <c r="I336" s="4" t="s">
        <v>113</v>
      </c>
      <c r="J336" s="4" t="s">
        <v>113</v>
      </c>
      <c r="K336" s="14" t="s">
        <v>113</v>
      </c>
    </row>
    <row r="337" spans="1:11" x14ac:dyDescent="0.2">
      <c r="A337" s="11"/>
      <c r="B337" s="9"/>
      <c r="C337" s="9">
        <v>90605</v>
      </c>
      <c r="D337" s="9">
        <v>25</v>
      </c>
      <c r="E337" s="9">
        <v>10372767</v>
      </c>
      <c r="F337" s="9" t="s">
        <v>914</v>
      </c>
      <c r="G337" s="9" t="s">
        <v>113</v>
      </c>
      <c r="H337" s="9" t="s">
        <v>113</v>
      </c>
      <c r="I337" s="9" t="s">
        <v>113</v>
      </c>
      <c r="J337" s="9" t="s">
        <v>113</v>
      </c>
      <c r="K337" s="13" t="s">
        <v>113</v>
      </c>
    </row>
    <row r="338" spans="1:11" x14ac:dyDescent="0.2">
      <c r="A338" s="12"/>
      <c r="C338" s="4">
        <v>92880</v>
      </c>
      <c r="D338" s="4">
        <v>25</v>
      </c>
      <c r="E338" s="4">
        <v>10368799</v>
      </c>
      <c r="F338" s="4" t="s">
        <v>914</v>
      </c>
      <c r="G338" s="4" t="s">
        <v>113</v>
      </c>
      <c r="H338" s="4" t="s">
        <v>113</v>
      </c>
      <c r="I338" s="4" t="s">
        <v>113</v>
      </c>
      <c r="J338" s="4" t="s">
        <v>113</v>
      </c>
      <c r="K338" s="14" t="s">
        <v>113</v>
      </c>
    </row>
    <row r="339" spans="1:11" x14ac:dyDescent="0.2">
      <c r="A339" s="11"/>
      <c r="B339" s="9"/>
      <c r="C339" s="9">
        <v>92509</v>
      </c>
      <c r="D339" s="9">
        <v>25</v>
      </c>
      <c r="E339" s="9" t="s">
        <v>1254</v>
      </c>
      <c r="F339" s="9" t="s">
        <v>914</v>
      </c>
      <c r="G339" s="9" t="s">
        <v>113</v>
      </c>
      <c r="H339" s="9" t="s">
        <v>113</v>
      </c>
      <c r="I339" s="9" t="s">
        <v>113</v>
      </c>
      <c r="J339" s="9" t="s">
        <v>113</v>
      </c>
      <c r="K339" s="13" t="s">
        <v>113</v>
      </c>
    </row>
    <row r="340" spans="1:11" x14ac:dyDescent="0.2">
      <c r="A340" s="11"/>
      <c r="B340" s="9"/>
      <c r="C340" s="9">
        <v>91104</v>
      </c>
      <c r="D340" s="9">
        <v>25</v>
      </c>
      <c r="E340" s="9">
        <v>103707841</v>
      </c>
      <c r="F340" s="9" t="s">
        <v>914</v>
      </c>
      <c r="G340" s="9" t="s">
        <v>103</v>
      </c>
      <c r="H340" s="9" t="s">
        <v>113</v>
      </c>
      <c r="I340" s="9" t="s">
        <v>113</v>
      </c>
      <c r="J340" s="9" t="s">
        <v>113</v>
      </c>
      <c r="K340" s="13" t="s">
        <v>103</v>
      </c>
    </row>
    <row r="341" spans="1:11" x14ac:dyDescent="0.2">
      <c r="A341" s="12"/>
      <c r="C341" s="4">
        <v>92509</v>
      </c>
      <c r="D341" s="4">
        <v>25</v>
      </c>
      <c r="E341" s="4">
        <v>10370654</v>
      </c>
      <c r="F341" s="4" t="s">
        <v>914</v>
      </c>
      <c r="G341" s="4" t="s">
        <v>113</v>
      </c>
      <c r="H341" s="4" t="s">
        <v>113</v>
      </c>
      <c r="I341" s="4" t="s">
        <v>113</v>
      </c>
      <c r="J341" s="4" t="s">
        <v>113</v>
      </c>
      <c r="K341" s="14" t="s">
        <v>113</v>
      </c>
    </row>
    <row r="342" spans="1:11" x14ac:dyDescent="0.2">
      <c r="A342" s="11"/>
      <c r="B342" s="9"/>
      <c r="C342" s="9">
        <v>92316</v>
      </c>
      <c r="D342" s="9">
        <v>25</v>
      </c>
      <c r="E342" s="9">
        <v>10247799</v>
      </c>
      <c r="F342" s="9" t="s">
        <v>914</v>
      </c>
      <c r="G342" s="9" t="s">
        <v>933</v>
      </c>
      <c r="H342" s="9" t="s">
        <v>933</v>
      </c>
      <c r="I342" s="9" t="s">
        <v>933</v>
      </c>
      <c r="J342" s="9" t="s">
        <v>933</v>
      </c>
      <c r="K342" s="13" t="s">
        <v>933</v>
      </c>
    </row>
    <row r="343" spans="1:11" x14ac:dyDescent="0.2">
      <c r="A343" s="11"/>
      <c r="B343" s="9"/>
      <c r="C343" s="9">
        <v>92831</v>
      </c>
      <c r="D343" s="9">
        <v>25</v>
      </c>
      <c r="E343" s="9">
        <v>113637</v>
      </c>
      <c r="F343" s="9" t="s">
        <v>919</v>
      </c>
      <c r="G343" s="9" t="s">
        <v>103</v>
      </c>
      <c r="H343" s="9" t="s">
        <v>103</v>
      </c>
      <c r="I343" s="9" t="s">
        <v>103</v>
      </c>
      <c r="J343" s="9" t="s">
        <v>103</v>
      </c>
      <c r="K343" s="13" t="s">
        <v>103</v>
      </c>
    </row>
    <row r="344" spans="1:11" x14ac:dyDescent="0.2">
      <c r="A344" s="12"/>
      <c r="C344" s="4">
        <v>91104</v>
      </c>
      <c r="D344" s="4">
        <v>25</v>
      </c>
      <c r="E344" s="4">
        <v>102487991</v>
      </c>
      <c r="F344" s="4" t="s">
        <v>914</v>
      </c>
      <c r="G344" s="4" t="s">
        <v>113</v>
      </c>
      <c r="H344" s="4" t="s">
        <v>113</v>
      </c>
      <c r="I344" s="4" t="s">
        <v>113</v>
      </c>
      <c r="J344" s="4" t="s">
        <v>113</v>
      </c>
      <c r="K344" s="14" t="s">
        <v>113</v>
      </c>
    </row>
    <row r="345" spans="1:11" x14ac:dyDescent="0.2">
      <c r="A345" s="12"/>
      <c r="C345" s="4">
        <v>91711</v>
      </c>
      <c r="D345" s="4">
        <v>26</v>
      </c>
      <c r="E345" s="4">
        <v>10163419</v>
      </c>
      <c r="F345" s="4" t="s">
        <v>914</v>
      </c>
      <c r="G345" s="4" t="s">
        <v>113</v>
      </c>
      <c r="H345" s="4" t="s">
        <v>113</v>
      </c>
      <c r="I345" s="4" t="s">
        <v>113</v>
      </c>
      <c r="J345" s="4" t="s">
        <v>113</v>
      </c>
      <c r="K345" s="14" t="s">
        <v>113</v>
      </c>
    </row>
    <row r="346" spans="1:11" x14ac:dyDescent="0.2">
      <c r="A346" s="12"/>
      <c r="C346" s="4">
        <v>92501</v>
      </c>
      <c r="D346" s="4">
        <v>26</v>
      </c>
      <c r="E346" s="4">
        <v>10187804</v>
      </c>
      <c r="F346" s="4" t="s">
        <v>914</v>
      </c>
      <c r="G346" s="4" t="s">
        <v>113</v>
      </c>
      <c r="H346" s="4" t="s">
        <v>113</v>
      </c>
      <c r="I346" s="4" t="s">
        <v>85</v>
      </c>
      <c r="J346" s="4" t="s">
        <v>85</v>
      </c>
      <c r="K346" s="14" t="s">
        <v>85</v>
      </c>
    </row>
    <row r="347" spans="1:11" x14ac:dyDescent="0.2">
      <c r="A347" s="11"/>
      <c r="B347" s="9"/>
      <c r="C347" s="9">
        <v>92509</v>
      </c>
      <c r="D347" s="9">
        <v>26</v>
      </c>
      <c r="E347" s="9" t="s">
        <v>1263</v>
      </c>
      <c r="F347" s="9" t="s">
        <v>914</v>
      </c>
      <c r="G347" s="9" t="s">
        <v>113</v>
      </c>
      <c r="H347" s="9" t="s">
        <v>113</v>
      </c>
      <c r="I347" s="9" t="s">
        <v>113</v>
      </c>
      <c r="J347" s="9" t="s">
        <v>113</v>
      </c>
      <c r="K347" s="13" t="s">
        <v>113</v>
      </c>
    </row>
    <row r="348" spans="1:11" x14ac:dyDescent="0.2">
      <c r="A348" s="11"/>
      <c r="B348" s="9"/>
      <c r="C348" s="9">
        <v>91103</v>
      </c>
      <c r="D348" s="9">
        <v>26</v>
      </c>
      <c r="E348" s="9">
        <v>103713841</v>
      </c>
      <c r="F348" s="9" t="s">
        <v>914</v>
      </c>
      <c r="G348" s="9" t="s">
        <v>103</v>
      </c>
      <c r="H348" s="9" t="s">
        <v>74</v>
      </c>
      <c r="I348" s="9" t="s">
        <v>74</v>
      </c>
      <c r="J348" s="9" t="s">
        <v>74</v>
      </c>
      <c r="K348" s="13" t="s">
        <v>103</v>
      </c>
    </row>
    <row r="349" spans="1:11" x14ac:dyDescent="0.2">
      <c r="A349" s="12"/>
      <c r="C349" s="4">
        <v>92405</v>
      </c>
      <c r="D349" s="4">
        <v>26</v>
      </c>
      <c r="E349" s="4">
        <v>100043616</v>
      </c>
      <c r="F349" s="4" t="s">
        <v>914</v>
      </c>
      <c r="G349" s="4" t="s">
        <v>113</v>
      </c>
      <c r="H349" s="4" t="s">
        <v>113</v>
      </c>
      <c r="I349" s="4" t="s">
        <v>113</v>
      </c>
      <c r="J349" s="4" t="s">
        <v>113</v>
      </c>
      <c r="K349" s="14" t="s">
        <v>113</v>
      </c>
    </row>
    <row r="350" spans="1:11" x14ac:dyDescent="0.2">
      <c r="A350" s="12"/>
      <c r="C350" s="4">
        <v>91104</v>
      </c>
      <c r="D350" s="4">
        <v>26.5</v>
      </c>
      <c r="E350" s="4">
        <v>10372766</v>
      </c>
      <c r="F350" s="4" t="s">
        <v>914</v>
      </c>
      <c r="G350" s="4" t="s">
        <v>74</v>
      </c>
      <c r="H350" s="4" t="s">
        <v>108</v>
      </c>
      <c r="I350" s="4" t="s">
        <v>74</v>
      </c>
      <c r="J350" s="4" t="s">
        <v>74</v>
      </c>
      <c r="K350" s="14" t="s">
        <v>74</v>
      </c>
    </row>
    <row r="351" spans="1:11" x14ac:dyDescent="0.2">
      <c r="A351" s="11"/>
      <c r="B351" s="9"/>
      <c r="C351" s="9">
        <v>91101</v>
      </c>
      <c r="D351" s="9">
        <v>26.8</v>
      </c>
      <c r="E351" s="9">
        <v>10372837</v>
      </c>
      <c r="F351" s="9" t="s">
        <v>914</v>
      </c>
      <c r="G351" s="9" t="s">
        <v>108</v>
      </c>
      <c r="H351" s="9" t="s">
        <v>113</v>
      </c>
      <c r="I351" s="9" t="s">
        <v>113</v>
      </c>
      <c r="J351" s="9" t="s">
        <v>113</v>
      </c>
      <c r="K351" s="13" t="s">
        <v>108</v>
      </c>
    </row>
    <row r="352" spans="1:11" x14ac:dyDescent="0.2">
      <c r="A352" s="11"/>
      <c r="B352" s="9"/>
      <c r="C352" s="9">
        <v>91104</v>
      </c>
      <c r="D352" s="9">
        <v>27</v>
      </c>
      <c r="E352" s="9">
        <v>10370589</v>
      </c>
      <c r="F352" s="9" t="s">
        <v>914</v>
      </c>
      <c r="G352" s="9" t="s">
        <v>933</v>
      </c>
      <c r="H352" s="9" t="s">
        <v>74</v>
      </c>
      <c r="I352" s="9" t="s">
        <v>74</v>
      </c>
      <c r="J352" s="9" t="s">
        <v>74</v>
      </c>
      <c r="K352" s="13" t="s">
        <v>933</v>
      </c>
    </row>
    <row r="353" spans="1:11" x14ac:dyDescent="0.2">
      <c r="A353" s="11"/>
      <c r="B353" s="9"/>
      <c r="C353" s="9">
        <v>91104</v>
      </c>
      <c r="D353" s="9">
        <v>27</v>
      </c>
      <c r="E353" s="9">
        <v>10353364</v>
      </c>
      <c r="F353" s="9" t="s">
        <v>914</v>
      </c>
      <c r="G353" s="9" t="s">
        <v>113</v>
      </c>
      <c r="H353" s="9" t="s">
        <v>113</v>
      </c>
      <c r="I353" s="9" t="s">
        <v>113</v>
      </c>
      <c r="J353" s="9" t="s">
        <v>113</v>
      </c>
      <c r="K353" s="13" t="s">
        <v>113</v>
      </c>
    </row>
    <row r="354" spans="1:11" x14ac:dyDescent="0.2">
      <c r="A354" s="11"/>
      <c r="B354" s="9"/>
      <c r="C354" s="9">
        <v>92507</v>
      </c>
      <c r="D354" s="9">
        <v>28</v>
      </c>
      <c r="E354" s="9">
        <v>10366652</v>
      </c>
      <c r="F354" s="9" t="s">
        <v>914</v>
      </c>
      <c r="G354" s="9" t="s">
        <v>113</v>
      </c>
      <c r="H354" s="9" t="s">
        <v>113</v>
      </c>
      <c r="I354" s="9" t="s">
        <v>113</v>
      </c>
      <c r="J354" s="9" t="s">
        <v>113</v>
      </c>
      <c r="K354" s="13" t="s">
        <v>113</v>
      </c>
    </row>
    <row r="355" spans="1:11" x14ac:dyDescent="0.2">
      <c r="A355" s="12"/>
      <c r="C355" s="4">
        <v>92404</v>
      </c>
      <c r="D355" s="4">
        <v>28</v>
      </c>
      <c r="E355" s="4">
        <v>10353600</v>
      </c>
      <c r="F355" s="4" t="s">
        <v>914</v>
      </c>
      <c r="G355" s="4" t="s">
        <v>1176</v>
      </c>
      <c r="H355" s="4" t="s">
        <v>1176</v>
      </c>
      <c r="I355" s="4" t="s">
        <v>1176</v>
      </c>
      <c r="J355" s="4" t="s">
        <v>1176</v>
      </c>
      <c r="K355" s="14" t="s">
        <v>1176</v>
      </c>
    </row>
    <row r="356" spans="1:11" x14ac:dyDescent="0.2">
      <c r="A356" s="12"/>
      <c r="C356" s="4">
        <v>92408</v>
      </c>
      <c r="D356" s="4">
        <v>28</v>
      </c>
      <c r="E356" s="4">
        <v>100434242</v>
      </c>
      <c r="F356" s="4" t="s">
        <v>914</v>
      </c>
      <c r="G356" s="4" t="s">
        <v>103</v>
      </c>
      <c r="H356" s="4" t="s">
        <v>103</v>
      </c>
      <c r="I356" s="4" t="s">
        <v>103</v>
      </c>
      <c r="J356" s="4" t="s">
        <v>103</v>
      </c>
      <c r="K356" s="14" t="s">
        <v>103</v>
      </c>
    </row>
    <row r="357" spans="1:11" x14ac:dyDescent="0.2">
      <c r="A357" s="12"/>
      <c r="C357" s="4">
        <v>92408</v>
      </c>
      <c r="D357" s="4">
        <v>28</v>
      </c>
      <c r="E357" s="4" t="s">
        <v>1270</v>
      </c>
      <c r="F357" s="4" t="s">
        <v>914</v>
      </c>
      <c r="G357" s="4" t="s">
        <v>113</v>
      </c>
      <c r="H357" s="4" t="s">
        <v>113</v>
      </c>
      <c r="I357" s="4" t="s">
        <v>113</v>
      </c>
      <c r="J357" s="4" t="s">
        <v>113</v>
      </c>
      <c r="K357" s="14" t="s">
        <v>113</v>
      </c>
    </row>
    <row r="358" spans="1:11" x14ac:dyDescent="0.2">
      <c r="A358" s="11"/>
      <c r="B358" s="9"/>
      <c r="C358" s="9">
        <v>92411</v>
      </c>
      <c r="D358" s="9">
        <v>28</v>
      </c>
      <c r="E358" s="9">
        <v>10284631</v>
      </c>
      <c r="F358" s="9" t="s">
        <v>914</v>
      </c>
      <c r="G358" s="9" t="s">
        <v>933</v>
      </c>
      <c r="H358" s="9" t="s">
        <v>113</v>
      </c>
      <c r="I358" s="9" t="s">
        <v>933</v>
      </c>
      <c r="J358" s="9" t="s">
        <v>933</v>
      </c>
      <c r="K358" s="13" t="s">
        <v>933</v>
      </c>
    </row>
    <row r="359" spans="1:11" x14ac:dyDescent="0.2">
      <c r="A359" s="12"/>
      <c r="C359" s="4">
        <v>92405</v>
      </c>
      <c r="D359" s="4">
        <v>28</v>
      </c>
      <c r="E359" s="4">
        <v>10354791</v>
      </c>
      <c r="F359" s="4" t="s">
        <v>914</v>
      </c>
      <c r="G359" s="4" t="s">
        <v>113</v>
      </c>
      <c r="H359" s="4" t="s">
        <v>113</v>
      </c>
      <c r="I359" s="4" t="s">
        <v>113</v>
      </c>
      <c r="J359" s="4" t="s">
        <v>113</v>
      </c>
      <c r="K359" s="14" t="s">
        <v>113</v>
      </c>
    </row>
    <row r="360" spans="1:11" x14ac:dyDescent="0.2">
      <c r="A360" s="11"/>
      <c r="B360" s="9"/>
      <c r="C360" s="9">
        <v>91101</v>
      </c>
      <c r="D360" s="9">
        <v>30</v>
      </c>
      <c r="E360" s="9">
        <v>10373128</v>
      </c>
      <c r="F360" s="9" t="s">
        <v>914</v>
      </c>
      <c r="G360" s="9" t="s">
        <v>103</v>
      </c>
      <c r="H360" s="9" t="s">
        <v>74</v>
      </c>
      <c r="I360" s="9" t="s">
        <v>74</v>
      </c>
      <c r="J360" s="9" t="s">
        <v>103</v>
      </c>
      <c r="K360" s="13" t="s">
        <v>74</v>
      </c>
    </row>
    <row r="361" spans="1:11" x14ac:dyDescent="0.2">
      <c r="A361" s="11"/>
      <c r="B361" s="9"/>
      <c r="C361" s="9">
        <v>92505</v>
      </c>
      <c r="D361" s="9">
        <v>30</v>
      </c>
      <c r="E361" s="9">
        <v>103614671</v>
      </c>
      <c r="F361" s="9" t="s">
        <v>914</v>
      </c>
      <c r="G361" s="9" t="s">
        <v>103</v>
      </c>
      <c r="H361" s="9" t="s">
        <v>113</v>
      </c>
      <c r="I361" s="9" t="s">
        <v>195</v>
      </c>
      <c r="J361" s="9" t="s">
        <v>103</v>
      </c>
      <c r="K361" s="13" t="s">
        <v>103</v>
      </c>
    </row>
    <row r="362" spans="1:11" x14ac:dyDescent="0.2">
      <c r="A362" s="12"/>
      <c r="C362" s="4">
        <v>92404</v>
      </c>
      <c r="D362" s="4">
        <v>30</v>
      </c>
      <c r="E362" s="4">
        <v>10360807</v>
      </c>
      <c r="F362" s="4" t="s">
        <v>914</v>
      </c>
      <c r="G362" s="4" t="s">
        <v>113</v>
      </c>
      <c r="H362" s="4" t="s">
        <v>113</v>
      </c>
      <c r="I362" s="4" t="s">
        <v>113</v>
      </c>
      <c r="J362" s="4" t="s">
        <v>113</v>
      </c>
      <c r="K362" s="14" t="s">
        <v>113</v>
      </c>
    </row>
    <row r="363" spans="1:11" x14ac:dyDescent="0.2">
      <c r="A363" s="12"/>
      <c r="C363" s="4">
        <v>92335</v>
      </c>
      <c r="D363" s="4">
        <v>30</v>
      </c>
      <c r="E363" s="4">
        <v>10254405</v>
      </c>
      <c r="F363" s="4" t="s">
        <v>914</v>
      </c>
      <c r="G363" s="4" t="s">
        <v>103</v>
      </c>
      <c r="H363" s="4" t="s">
        <v>103</v>
      </c>
      <c r="I363" s="4" t="s">
        <v>103</v>
      </c>
      <c r="J363" s="4" t="s">
        <v>103</v>
      </c>
      <c r="K363" s="14" t="s">
        <v>103</v>
      </c>
    </row>
    <row r="364" spans="1:11" x14ac:dyDescent="0.2">
      <c r="A364" s="12"/>
      <c r="C364" s="4">
        <v>92324</v>
      </c>
      <c r="D364" s="4">
        <v>30</v>
      </c>
      <c r="E364" s="4">
        <v>10364835</v>
      </c>
      <c r="F364" s="4" t="s">
        <v>914</v>
      </c>
      <c r="G364" s="4" t="s">
        <v>113</v>
      </c>
      <c r="H364" s="4" t="s">
        <v>85</v>
      </c>
      <c r="I364" s="4" t="s">
        <v>103</v>
      </c>
      <c r="J364" s="4" t="s">
        <v>103</v>
      </c>
      <c r="K364" s="14" t="s">
        <v>85</v>
      </c>
    </row>
    <row r="365" spans="1:11" x14ac:dyDescent="0.2">
      <c r="A365" s="12"/>
      <c r="C365" s="4">
        <v>92807</v>
      </c>
      <c r="D365" s="4">
        <v>30</v>
      </c>
      <c r="E365" s="4">
        <v>10299552</v>
      </c>
      <c r="F365" s="4" t="s">
        <v>914</v>
      </c>
      <c r="G365" s="4" t="s">
        <v>113</v>
      </c>
      <c r="H365" s="4" t="s">
        <v>113</v>
      </c>
      <c r="I365" s="4" t="s">
        <v>113</v>
      </c>
      <c r="J365" s="4" t="s">
        <v>113</v>
      </c>
      <c r="K365" s="14" t="s">
        <v>113</v>
      </c>
    </row>
    <row r="366" spans="1:11" x14ac:dyDescent="0.2">
      <c r="A366" s="11"/>
      <c r="B366" s="9"/>
      <c r="C366" s="9">
        <v>90241</v>
      </c>
      <c r="D366" s="9">
        <v>30</v>
      </c>
      <c r="E366" s="9">
        <v>103667201</v>
      </c>
      <c r="F366" s="9" t="s">
        <v>919</v>
      </c>
      <c r="G366" s="9" t="s">
        <v>113</v>
      </c>
      <c r="H366" s="9" t="s">
        <v>113</v>
      </c>
      <c r="I366" s="9" t="s">
        <v>113</v>
      </c>
      <c r="J366" s="9" t="s">
        <v>113</v>
      </c>
      <c r="K366" s="13" t="s">
        <v>202</v>
      </c>
    </row>
    <row r="367" spans="1:11" x14ac:dyDescent="0.2">
      <c r="A367" s="12"/>
      <c r="C367" s="4">
        <v>92404</v>
      </c>
      <c r="D367" s="4">
        <v>30</v>
      </c>
      <c r="E367" s="4">
        <v>10368864</v>
      </c>
      <c r="F367" s="4" t="s">
        <v>914</v>
      </c>
      <c r="G367" s="4" t="s">
        <v>113</v>
      </c>
      <c r="H367" s="4" t="s">
        <v>113</v>
      </c>
      <c r="I367" s="4" t="s">
        <v>113</v>
      </c>
      <c r="J367" s="4" t="s">
        <v>113</v>
      </c>
      <c r="K367" s="14" t="s">
        <v>113</v>
      </c>
    </row>
    <row r="368" spans="1:11" x14ac:dyDescent="0.2">
      <c r="A368" s="12"/>
      <c r="C368" s="4">
        <v>92337</v>
      </c>
      <c r="D368" s="4">
        <v>30</v>
      </c>
      <c r="E368" s="4">
        <v>10256187</v>
      </c>
      <c r="F368" s="4" t="s">
        <v>914</v>
      </c>
      <c r="G368" s="4" t="s">
        <v>113</v>
      </c>
      <c r="H368" s="4" t="s">
        <v>113</v>
      </c>
      <c r="I368" s="4" t="s">
        <v>113</v>
      </c>
      <c r="J368" s="4" t="s">
        <v>113</v>
      </c>
      <c r="K368" s="14" t="s">
        <v>113</v>
      </c>
    </row>
    <row r="369" spans="1:11" x14ac:dyDescent="0.2">
      <c r="A369" s="11"/>
      <c r="B369" s="9"/>
      <c r="C369" s="9">
        <v>94210</v>
      </c>
      <c r="D369" s="9">
        <v>30</v>
      </c>
      <c r="E369" s="9">
        <v>10373647</v>
      </c>
      <c r="F369" s="9" t="s">
        <v>914</v>
      </c>
      <c r="G369" s="9" t="s">
        <v>113</v>
      </c>
      <c r="H369" s="9" t="s">
        <v>113</v>
      </c>
      <c r="I369" s="9" t="s">
        <v>113</v>
      </c>
      <c r="J369" s="9" t="s">
        <v>113</v>
      </c>
      <c r="K369" s="13" t="s">
        <v>113</v>
      </c>
    </row>
    <row r="370" spans="1:11" x14ac:dyDescent="0.2">
      <c r="A370" s="12"/>
      <c r="C370" s="4">
        <v>90247</v>
      </c>
      <c r="D370" s="4">
        <v>30</v>
      </c>
      <c r="E370" s="4">
        <v>10361238</v>
      </c>
      <c r="F370" s="4" t="s">
        <v>914</v>
      </c>
      <c r="G370" s="4" t="s">
        <v>113</v>
      </c>
      <c r="H370" s="4" t="s">
        <v>113</v>
      </c>
      <c r="I370" s="4" t="s">
        <v>113</v>
      </c>
      <c r="J370" s="4" t="s">
        <v>113</v>
      </c>
      <c r="K370" s="14" t="s">
        <v>113</v>
      </c>
    </row>
    <row r="371" spans="1:11" x14ac:dyDescent="0.2">
      <c r="A371" s="12"/>
      <c r="C371" s="4">
        <v>90606</v>
      </c>
      <c r="D371" s="4">
        <v>30</v>
      </c>
      <c r="E371" s="4">
        <v>10278358</v>
      </c>
      <c r="F371" s="4" t="s">
        <v>914</v>
      </c>
      <c r="G371" s="4" t="s">
        <v>113</v>
      </c>
      <c r="H371" s="4" t="s">
        <v>113</v>
      </c>
      <c r="I371" s="4" t="s">
        <v>113</v>
      </c>
      <c r="J371" s="4" t="s">
        <v>113</v>
      </c>
      <c r="K371" s="14" t="s">
        <v>113</v>
      </c>
    </row>
    <row r="372" spans="1:11" x14ac:dyDescent="0.2">
      <c r="A372" s="11"/>
      <c r="B372" s="9"/>
      <c r="C372" s="9">
        <v>90012</v>
      </c>
      <c r="D372" s="9">
        <v>30</v>
      </c>
      <c r="E372" s="9">
        <v>10340122</v>
      </c>
      <c r="F372" s="9" t="s">
        <v>914</v>
      </c>
      <c r="G372" s="9" t="s">
        <v>103</v>
      </c>
      <c r="H372" s="9" t="s">
        <v>113</v>
      </c>
      <c r="I372" s="9" t="s">
        <v>113</v>
      </c>
      <c r="J372" s="9" t="s">
        <v>113</v>
      </c>
      <c r="K372" s="13" t="s">
        <v>103</v>
      </c>
    </row>
    <row r="373" spans="1:11" x14ac:dyDescent="0.2">
      <c r="A373" s="11"/>
      <c r="B373" s="9"/>
      <c r="C373" s="9">
        <v>91030</v>
      </c>
      <c r="D373" s="9">
        <v>30</v>
      </c>
      <c r="E373" s="9">
        <v>103746631</v>
      </c>
      <c r="F373" s="9" t="s">
        <v>914</v>
      </c>
      <c r="G373" s="9" t="s">
        <v>74</v>
      </c>
      <c r="H373" s="9" t="s">
        <v>74</v>
      </c>
      <c r="I373" s="9" t="s">
        <v>74</v>
      </c>
      <c r="J373" s="9" t="s">
        <v>103</v>
      </c>
      <c r="K373" s="13" t="s">
        <v>103</v>
      </c>
    </row>
    <row r="374" spans="1:11" x14ac:dyDescent="0.2">
      <c r="A374" s="12"/>
      <c r="C374" s="4">
        <v>90640</v>
      </c>
      <c r="D374" s="4">
        <v>30</v>
      </c>
      <c r="E374" s="4">
        <v>103739531</v>
      </c>
      <c r="F374" s="4" t="s">
        <v>919</v>
      </c>
      <c r="G374" s="4" t="s">
        <v>103</v>
      </c>
      <c r="H374" s="4" t="s">
        <v>113</v>
      </c>
      <c r="I374" s="4" t="s">
        <v>103</v>
      </c>
      <c r="J374" s="4" t="s">
        <v>113</v>
      </c>
      <c r="K374" s="14" t="s">
        <v>103</v>
      </c>
    </row>
    <row r="375" spans="1:11" x14ac:dyDescent="0.2">
      <c r="A375" s="12"/>
      <c r="C375" s="4">
        <v>92506</v>
      </c>
      <c r="D375" s="4">
        <v>30</v>
      </c>
      <c r="E375" s="4">
        <v>10366592</v>
      </c>
      <c r="F375" s="4" t="s">
        <v>914</v>
      </c>
      <c r="G375" s="4" t="s">
        <v>113</v>
      </c>
      <c r="H375" s="4" t="s">
        <v>933</v>
      </c>
      <c r="I375" s="4" t="s">
        <v>103</v>
      </c>
      <c r="J375" s="4" t="s">
        <v>113</v>
      </c>
      <c r="K375" s="14" t="s">
        <v>103</v>
      </c>
    </row>
    <row r="376" spans="1:11" x14ac:dyDescent="0.2">
      <c r="A376" s="11"/>
      <c r="B376" s="9"/>
      <c r="C376" s="9">
        <v>92627</v>
      </c>
      <c r="D376" s="9">
        <v>30</v>
      </c>
      <c r="E376" s="9" t="s">
        <v>1287</v>
      </c>
      <c r="F376" s="9" t="s">
        <v>914</v>
      </c>
      <c r="G376" s="9" t="s">
        <v>113</v>
      </c>
      <c r="H376" s="9" t="s">
        <v>113</v>
      </c>
      <c r="I376" s="9" t="s">
        <v>113</v>
      </c>
      <c r="J376" s="9" t="s">
        <v>113</v>
      </c>
      <c r="K376" s="13" t="s">
        <v>113</v>
      </c>
    </row>
    <row r="377" spans="1:11" x14ac:dyDescent="0.2">
      <c r="A377" s="11"/>
      <c r="B377" s="9"/>
      <c r="C377" s="9">
        <v>92373</v>
      </c>
      <c r="D377" s="9">
        <v>32</v>
      </c>
      <c r="E377" s="9">
        <v>10346405</v>
      </c>
      <c r="F377" s="9" t="s">
        <v>914</v>
      </c>
      <c r="G377" s="9" t="s">
        <v>85</v>
      </c>
      <c r="H377" s="9" t="s">
        <v>85</v>
      </c>
      <c r="I377" s="9" t="s">
        <v>85</v>
      </c>
      <c r="J377" s="9" t="s">
        <v>85</v>
      </c>
      <c r="K377" s="13" t="s">
        <v>103</v>
      </c>
    </row>
    <row r="378" spans="1:11" x14ac:dyDescent="0.2">
      <c r="A378" s="12"/>
      <c r="C378" s="4">
        <v>90004</v>
      </c>
      <c r="D378" s="4">
        <v>33</v>
      </c>
      <c r="E378" s="4" t="s">
        <v>1288</v>
      </c>
      <c r="F378" s="4" t="s">
        <v>914</v>
      </c>
      <c r="G378" s="4" t="s">
        <v>103</v>
      </c>
      <c r="H378" s="4" t="s">
        <v>74</v>
      </c>
      <c r="I378" s="4" t="s">
        <v>74</v>
      </c>
      <c r="J378" s="4" t="s">
        <v>74</v>
      </c>
      <c r="K378" s="14" t="s">
        <v>74</v>
      </c>
    </row>
    <row r="379" spans="1:11" x14ac:dyDescent="0.2">
      <c r="A379" s="11"/>
      <c r="B379" s="9"/>
      <c r="C379" s="9">
        <v>92706</v>
      </c>
      <c r="D379" s="9">
        <v>33</v>
      </c>
      <c r="E379" s="9">
        <v>100311371</v>
      </c>
      <c r="F379" s="9" t="s">
        <v>914</v>
      </c>
      <c r="G379" s="9" t="s">
        <v>113</v>
      </c>
      <c r="H379" s="9" t="s">
        <v>113</v>
      </c>
      <c r="I379" s="9" t="s">
        <v>113</v>
      </c>
      <c r="J379" s="9" t="s">
        <v>113</v>
      </c>
      <c r="K379" s="13" t="s">
        <v>113</v>
      </c>
    </row>
    <row r="380" spans="1:11" x14ac:dyDescent="0.2">
      <c r="A380" s="11"/>
      <c r="B380" s="9"/>
      <c r="C380" s="9">
        <v>91205</v>
      </c>
      <c r="D380" s="9">
        <v>33</v>
      </c>
      <c r="E380" s="9" t="s">
        <v>1291</v>
      </c>
      <c r="F380" s="9" t="s">
        <v>914</v>
      </c>
      <c r="G380" s="9" t="s">
        <v>113</v>
      </c>
      <c r="H380" s="9" t="s">
        <v>113</v>
      </c>
      <c r="I380" s="9" t="s">
        <v>113</v>
      </c>
      <c r="J380" s="9" t="s">
        <v>113</v>
      </c>
      <c r="K380" s="13" t="s">
        <v>113</v>
      </c>
    </row>
    <row r="381" spans="1:11" x14ac:dyDescent="0.2">
      <c r="A381" s="12"/>
      <c r="C381" s="4">
        <v>90242</v>
      </c>
      <c r="D381" s="4">
        <v>34</v>
      </c>
      <c r="E381" s="4">
        <v>102401522</v>
      </c>
      <c r="F381" s="4" t="s">
        <v>914</v>
      </c>
      <c r="G381" s="4" t="s">
        <v>113</v>
      </c>
      <c r="H381" s="4" t="s">
        <v>113</v>
      </c>
      <c r="I381" s="4" t="s">
        <v>113</v>
      </c>
      <c r="J381" s="4" t="s">
        <v>113</v>
      </c>
      <c r="K381" s="14" t="s">
        <v>113</v>
      </c>
    </row>
    <row r="382" spans="1:11" x14ac:dyDescent="0.2">
      <c r="A382" s="12"/>
      <c r="C382" s="4">
        <v>90015</v>
      </c>
      <c r="D382" s="4">
        <v>34.799999999999997</v>
      </c>
      <c r="E382" s="4">
        <v>10372309</v>
      </c>
      <c r="F382" s="4" t="s">
        <v>914</v>
      </c>
      <c r="G382" s="4" t="s">
        <v>85</v>
      </c>
      <c r="H382" s="4" t="s">
        <v>85</v>
      </c>
      <c r="I382" s="4" t="s">
        <v>85</v>
      </c>
      <c r="J382" s="4" t="s">
        <v>85</v>
      </c>
      <c r="K382" s="14" t="s">
        <v>202</v>
      </c>
    </row>
    <row r="383" spans="1:11" x14ac:dyDescent="0.2">
      <c r="A383" s="12"/>
      <c r="C383" s="4">
        <v>90065</v>
      </c>
      <c r="D383" s="4">
        <v>35</v>
      </c>
      <c r="E383" s="4">
        <v>10240226</v>
      </c>
      <c r="F383" s="4" t="s">
        <v>914</v>
      </c>
      <c r="G383" s="4" t="s">
        <v>74</v>
      </c>
      <c r="H383" s="4" t="s">
        <v>103</v>
      </c>
      <c r="I383" s="4" t="s">
        <v>74</v>
      </c>
      <c r="J383" s="4" t="s">
        <v>74</v>
      </c>
      <c r="K383" s="14" t="s">
        <v>74</v>
      </c>
    </row>
    <row r="384" spans="1:11" x14ac:dyDescent="0.2">
      <c r="A384" s="12"/>
      <c r="C384" s="4">
        <v>91001</v>
      </c>
      <c r="D384" s="4">
        <v>35</v>
      </c>
      <c r="E384" s="4">
        <v>10366423</v>
      </c>
      <c r="F384" s="4" t="s">
        <v>914</v>
      </c>
      <c r="G384" s="4" t="s">
        <v>74</v>
      </c>
      <c r="H384" s="4" t="s">
        <v>74</v>
      </c>
      <c r="I384" s="4" t="s">
        <v>74</v>
      </c>
      <c r="J384" s="4" t="s">
        <v>103</v>
      </c>
      <c r="K384" s="14" t="s">
        <v>74</v>
      </c>
    </row>
    <row r="385" spans="1:11" x14ac:dyDescent="0.2">
      <c r="A385" s="11"/>
      <c r="B385" s="9"/>
      <c r="C385" s="9">
        <v>92509</v>
      </c>
      <c r="D385" s="9">
        <v>35</v>
      </c>
      <c r="E385" s="9" t="s">
        <v>1297</v>
      </c>
      <c r="F385" s="9" t="s">
        <v>914</v>
      </c>
      <c r="G385" s="9" t="s">
        <v>113</v>
      </c>
      <c r="H385" s="9" t="s">
        <v>113</v>
      </c>
      <c r="I385" s="9" t="s">
        <v>113</v>
      </c>
      <c r="J385" s="9" t="s">
        <v>113</v>
      </c>
      <c r="K385" s="13" t="s">
        <v>113</v>
      </c>
    </row>
    <row r="386" spans="1:11" x14ac:dyDescent="0.2">
      <c r="A386" s="11"/>
      <c r="B386" s="9"/>
      <c r="C386" s="9">
        <v>92506</v>
      </c>
      <c r="D386" s="9">
        <v>35</v>
      </c>
      <c r="E386" s="9">
        <v>10358351</v>
      </c>
      <c r="F386" s="9" t="s">
        <v>914</v>
      </c>
      <c r="G386" s="9" t="s">
        <v>103</v>
      </c>
      <c r="H386" s="9" t="s">
        <v>113</v>
      </c>
      <c r="I386" s="9" t="s">
        <v>113</v>
      </c>
      <c r="J386" s="9" t="s">
        <v>113</v>
      </c>
      <c r="K386" s="13" t="s">
        <v>103</v>
      </c>
    </row>
    <row r="387" spans="1:11" x14ac:dyDescent="0.2">
      <c r="A387" s="12"/>
      <c r="C387" s="4">
        <v>91780</v>
      </c>
      <c r="D387" s="4">
        <v>35</v>
      </c>
      <c r="E387" s="4">
        <v>10371388</v>
      </c>
      <c r="F387" s="4" t="s">
        <v>914</v>
      </c>
      <c r="G387" s="4" t="s">
        <v>113</v>
      </c>
      <c r="H387" s="4" t="s">
        <v>113</v>
      </c>
      <c r="I387" s="4" t="s">
        <v>113</v>
      </c>
      <c r="J387" s="4" t="s">
        <v>103</v>
      </c>
      <c r="K387" s="14" t="s">
        <v>103</v>
      </c>
    </row>
    <row r="388" spans="1:11" x14ac:dyDescent="0.2">
      <c r="A388" s="11"/>
      <c r="B388" s="9"/>
      <c r="C388" s="9">
        <v>90065</v>
      </c>
      <c r="D388" s="9">
        <v>35</v>
      </c>
      <c r="E388" s="9">
        <v>10366519</v>
      </c>
      <c r="F388" s="9" t="s">
        <v>914</v>
      </c>
      <c r="G388" s="9" t="s">
        <v>113</v>
      </c>
      <c r="H388" s="9" t="s">
        <v>933</v>
      </c>
      <c r="I388" s="9" t="s">
        <v>933</v>
      </c>
      <c r="J388" s="9" t="s">
        <v>113</v>
      </c>
      <c r="K388" s="13" t="s">
        <v>103</v>
      </c>
    </row>
    <row r="389" spans="1:11" x14ac:dyDescent="0.2">
      <c r="A389" s="12"/>
      <c r="C389" s="4">
        <v>90065</v>
      </c>
      <c r="D389" s="4">
        <v>35</v>
      </c>
      <c r="E389" s="4">
        <v>10371899</v>
      </c>
      <c r="F389" s="4" t="s">
        <v>914</v>
      </c>
      <c r="G389" s="4" t="s">
        <v>74</v>
      </c>
      <c r="H389" s="4" t="s">
        <v>74</v>
      </c>
      <c r="I389" s="4" t="s">
        <v>74</v>
      </c>
      <c r="J389" s="4" t="s">
        <v>74</v>
      </c>
      <c r="K389" s="14" t="s">
        <v>74</v>
      </c>
    </row>
    <row r="390" spans="1:11" x14ac:dyDescent="0.2">
      <c r="A390" s="12"/>
      <c r="C390" s="4">
        <v>92374</v>
      </c>
      <c r="D390" s="4">
        <v>37</v>
      </c>
      <c r="E390" s="4">
        <v>10292343</v>
      </c>
      <c r="F390" s="4" t="s">
        <v>914</v>
      </c>
      <c r="G390" s="4" t="s">
        <v>103</v>
      </c>
      <c r="H390" s="4" t="s">
        <v>103</v>
      </c>
      <c r="I390" s="4" t="s">
        <v>103</v>
      </c>
      <c r="J390" s="4" t="s">
        <v>103</v>
      </c>
      <c r="K390" s="14" t="s">
        <v>103</v>
      </c>
    </row>
    <row r="391" spans="1:11" x14ac:dyDescent="0.2">
      <c r="A391" s="11"/>
      <c r="B391" s="9"/>
      <c r="C391" s="9">
        <v>91101</v>
      </c>
      <c r="D391" s="9">
        <v>37</v>
      </c>
      <c r="E391" s="9">
        <v>1037037911</v>
      </c>
      <c r="F391" s="9" t="s">
        <v>914</v>
      </c>
      <c r="G391" s="9" t="s">
        <v>113</v>
      </c>
      <c r="H391" s="9" t="s">
        <v>113</v>
      </c>
      <c r="I391" s="9" t="s">
        <v>113</v>
      </c>
      <c r="J391" s="9" t="s">
        <v>113</v>
      </c>
      <c r="K391" s="13" t="s">
        <v>113</v>
      </c>
    </row>
    <row r="392" spans="1:11" x14ac:dyDescent="0.2">
      <c r="A392" s="12"/>
      <c r="C392" s="4">
        <v>90280</v>
      </c>
      <c r="D392" s="4">
        <v>38</v>
      </c>
      <c r="E392" s="4">
        <v>103734162</v>
      </c>
      <c r="F392" s="4" t="s">
        <v>914</v>
      </c>
      <c r="G392" s="4" t="s">
        <v>933</v>
      </c>
      <c r="H392" s="4" t="s">
        <v>933</v>
      </c>
      <c r="I392" s="4" t="s">
        <v>933</v>
      </c>
      <c r="J392" s="4" t="s">
        <v>933</v>
      </c>
      <c r="K392" s="14" t="s">
        <v>933</v>
      </c>
    </row>
    <row r="393" spans="1:11" x14ac:dyDescent="0.2">
      <c r="A393" s="12"/>
      <c r="C393" s="4">
        <v>90650</v>
      </c>
      <c r="D393" s="4">
        <v>39</v>
      </c>
      <c r="E393" s="4">
        <v>103560671</v>
      </c>
      <c r="F393" s="4" t="s">
        <v>914</v>
      </c>
      <c r="G393" s="4" t="s">
        <v>933</v>
      </c>
      <c r="H393" s="4" t="s">
        <v>933</v>
      </c>
      <c r="I393" s="4" t="s">
        <v>933</v>
      </c>
      <c r="J393" s="4" t="s">
        <v>933</v>
      </c>
      <c r="K393" s="14" t="s">
        <v>933</v>
      </c>
    </row>
    <row r="394" spans="1:11" x14ac:dyDescent="0.2">
      <c r="A394" s="11"/>
      <c r="B394" s="9"/>
      <c r="C394" s="9">
        <v>92570</v>
      </c>
      <c r="D394" s="9">
        <v>39.299999999999997</v>
      </c>
      <c r="E394" s="9">
        <v>10373098</v>
      </c>
      <c r="F394" s="9" t="s">
        <v>914</v>
      </c>
      <c r="G394" s="9" t="s">
        <v>74</v>
      </c>
      <c r="H394" s="9" t="s">
        <v>74</v>
      </c>
      <c r="I394" s="9" t="s">
        <v>74</v>
      </c>
      <c r="J394" s="9" t="s">
        <v>74</v>
      </c>
      <c r="K394" s="13" t="s">
        <v>74</v>
      </c>
    </row>
    <row r="395" spans="1:11" x14ac:dyDescent="0.2">
      <c r="A395" s="11"/>
      <c r="B395" s="9"/>
      <c r="C395" s="9">
        <v>92346</v>
      </c>
      <c r="D395" s="9">
        <v>40</v>
      </c>
      <c r="E395" s="9" t="s">
        <v>1305</v>
      </c>
      <c r="F395" s="9" t="s">
        <v>914</v>
      </c>
      <c r="G395" s="9" t="s">
        <v>113</v>
      </c>
      <c r="H395" s="9" t="s">
        <v>113</v>
      </c>
      <c r="I395" s="9" t="s">
        <v>113</v>
      </c>
      <c r="J395" s="9" t="s">
        <v>113</v>
      </c>
      <c r="K395" s="13" t="s">
        <v>113</v>
      </c>
    </row>
    <row r="396" spans="1:11" x14ac:dyDescent="0.2">
      <c r="A396" s="12"/>
      <c r="C396" s="4">
        <v>92397</v>
      </c>
      <c r="D396" s="4">
        <v>40</v>
      </c>
      <c r="E396" s="4">
        <v>10371896</v>
      </c>
      <c r="F396" s="4" t="s">
        <v>914</v>
      </c>
      <c r="G396" s="4" t="s">
        <v>103</v>
      </c>
      <c r="H396" s="4" t="s">
        <v>113</v>
      </c>
      <c r="I396" s="4" t="s">
        <v>103</v>
      </c>
      <c r="J396" s="4" t="s">
        <v>113</v>
      </c>
      <c r="K396" s="14" t="s">
        <v>113</v>
      </c>
    </row>
    <row r="397" spans="1:11" x14ac:dyDescent="0.2">
      <c r="A397" s="12"/>
      <c r="C397" s="4">
        <v>90027</v>
      </c>
      <c r="D397" s="4">
        <v>40</v>
      </c>
      <c r="E397" s="4">
        <v>103727751</v>
      </c>
      <c r="F397" s="4" t="s">
        <v>914</v>
      </c>
      <c r="G397" s="4" t="s">
        <v>113</v>
      </c>
      <c r="H397" s="4" t="s">
        <v>113</v>
      </c>
      <c r="I397" s="4" t="s">
        <v>202</v>
      </c>
      <c r="J397" s="4" t="s">
        <v>202</v>
      </c>
      <c r="K397" s="14" t="s">
        <v>113</v>
      </c>
    </row>
    <row r="398" spans="1:11" x14ac:dyDescent="0.2">
      <c r="A398" s="12"/>
      <c r="C398" s="4">
        <v>92879</v>
      </c>
      <c r="D398" s="4">
        <v>40</v>
      </c>
      <c r="E398" s="4" t="s">
        <v>1311</v>
      </c>
      <c r="F398" s="4" t="s">
        <v>919</v>
      </c>
      <c r="G398" s="4" t="s">
        <v>113</v>
      </c>
      <c r="H398" s="4" t="s">
        <v>113</v>
      </c>
      <c r="I398" s="4" t="s">
        <v>113</v>
      </c>
      <c r="J398" s="4" t="s">
        <v>113</v>
      </c>
      <c r="K398" s="14" t="s">
        <v>113</v>
      </c>
    </row>
    <row r="399" spans="1:11" x14ac:dyDescent="0.2">
      <c r="A399" s="12"/>
      <c r="C399" s="4">
        <v>92627</v>
      </c>
      <c r="D399" s="4">
        <v>41</v>
      </c>
      <c r="E399" s="4">
        <v>103615121</v>
      </c>
      <c r="F399" s="4" t="s">
        <v>914</v>
      </c>
      <c r="G399" s="4" t="s">
        <v>113</v>
      </c>
      <c r="H399" s="4" t="s">
        <v>113</v>
      </c>
      <c r="I399" s="4" t="s">
        <v>113</v>
      </c>
      <c r="J399" s="4" t="s">
        <v>113</v>
      </c>
      <c r="K399" s="14" t="s">
        <v>113</v>
      </c>
    </row>
    <row r="400" spans="1:11" x14ac:dyDescent="0.2">
      <c r="A400" s="11"/>
      <c r="B400" s="9"/>
      <c r="C400" s="9">
        <v>92646</v>
      </c>
      <c r="D400" s="9">
        <v>42</v>
      </c>
      <c r="E400" s="9">
        <v>103664392</v>
      </c>
      <c r="F400" s="9" t="s">
        <v>914</v>
      </c>
      <c r="G400" s="9" t="s">
        <v>74</v>
      </c>
      <c r="H400" s="9" t="s">
        <v>74</v>
      </c>
      <c r="I400" s="9" t="s">
        <v>74</v>
      </c>
      <c r="J400" s="9" t="s">
        <v>74</v>
      </c>
      <c r="K400" s="13" t="s">
        <v>74</v>
      </c>
    </row>
    <row r="401" spans="1:11" x14ac:dyDescent="0.2">
      <c r="A401" s="11"/>
      <c r="B401" s="9"/>
      <c r="C401" s="9">
        <v>90302</v>
      </c>
      <c r="D401" s="9">
        <v>42</v>
      </c>
      <c r="E401" s="9">
        <v>120997</v>
      </c>
      <c r="F401" s="9" t="s">
        <v>914</v>
      </c>
      <c r="G401" s="9" t="s">
        <v>113</v>
      </c>
      <c r="H401" s="9" t="s">
        <v>113</v>
      </c>
      <c r="I401" s="9" t="s">
        <v>113</v>
      </c>
      <c r="J401" s="9" t="s">
        <v>113</v>
      </c>
      <c r="K401" s="13" t="s">
        <v>113</v>
      </c>
    </row>
    <row r="402" spans="1:11" x14ac:dyDescent="0.2">
      <c r="A402" s="11"/>
      <c r="B402" s="9"/>
      <c r="C402" s="9">
        <v>90814</v>
      </c>
      <c r="D402" s="9">
        <v>43</v>
      </c>
      <c r="E402" s="9">
        <v>10310504</v>
      </c>
      <c r="F402" s="9" t="s">
        <v>914</v>
      </c>
      <c r="G402" s="9" t="s">
        <v>199</v>
      </c>
      <c r="H402" s="9" t="s">
        <v>199</v>
      </c>
      <c r="I402" s="9" t="s">
        <v>199</v>
      </c>
      <c r="J402" s="9" t="s">
        <v>199</v>
      </c>
      <c r="K402" s="13" t="s">
        <v>199</v>
      </c>
    </row>
    <row r="403" spans="1:11" x14ac:dyDescent="0.2">
      <c r="A403" s="12"/>
      <c r="C403" s="4">
        <v>92610</v>
      </c>
      <c r="D403" s="4">
        <v>43</v>
      </c>
      <c r="E403" s="4">
        <v>103718361</v>
      </c>
      <c r="F403" s="4" t="s">
        <v>914</v>
      </c>
      <c r="G403" s="4" t="s">
        <v>202</v>
      </c>
      <c r="H403" s="4" t="s">
        <v>113</v>
      </c>
      <c r="I403" s="4" t="s">
        <v>202</v>
      </c>
      <c r="J403" s="4" t="s">
        <v>113</v>
      </c>
      <c r="K403" s="14" t="s">
        <v>202</v>
      </c>
    </row>
    <row r="404" spans="1:11" x14ac:dyDescent="0.2">
      <c r="A404" s="12"/>
      <c r="C404" s="4">
        <v>90043</v>
      </c>
      <c r="D404" s="4">
        <v>43</v>
      </c>
      <c r="E404" s="4">
        <v>10351757</v>
      </c>
      <c r="F404" s="4" t="s">
        <v>914</v>
      </c>
      <c r="G404" s="4" t="s">
        <v>103</v>
      </c>
      <c r="H404" s="4" t="s">
        <v>103</v>
      </c>
      <c r="I404" s="4" t="s">
        <v>113</v>
      </c>
      <c r="J404" s="4" t="s">
        <v>113</v>
      </c>
      <c r="K404" s="14" t="s">
        <v>113</v>
      </c>
    </row>
    <row r="405" spans="1:11" x14ac:dyDescent="0.2">
      <c r="A405" s="11"/>
      <c r="B405" s="9"/>
      <c r="C405" s="9">
        <v>92345</v>
      </c>
      <c r="D405" s="9">
        <v>44</v>
      </c>
      <c r="E405" s="9">
        <v>10226387</v>
      </c>
      <c r="F405" s="9" t="s">
        <v>914</v>
      </c>
      <c r="G405" s="9" t="s">
        <v>103</v>
      </c>
      <c r="H405" s="9" t="s">
        <v>113</v>
      </c>
      <c r="I405" s="9" t="s">
        <v>113</v>
      </c>
      <c r="J405" s="9" t="s">
        <v>113</v>
      </c>
      <c r="K405" s="13" t="s">
        <v>103</v>
      </c>
    </row>
    <row r="406" spans="1:11" x14ac:dyDescent="0.2">
      <c r="A406" s="11"/>
      <c r="B406" s="9"/>
      <c r="C406" s="9">
        <v>92612</v>
      </c>
      <c r="D406" s="9">
        <v>45</v>
      </c>
      <c r="E406" s="9">
        <v>103730673</v>
      </c>
      <c r="F406" s="9" t="s">
        <v>914</v>
      </c>
      <c r="G406" s="9" t="s">
        <v>103</v>
      </c>
      <c r="H406" s="9" t="s">
        <v>195</v>
      </c>
      <c r="I406" s="9" t="s">
        <v>103</v>
      </c>
      <c r="J406" s="9" t="s">
        <v>195</v>
      </c>
      <c r="K406" s="13" t="s">
        <v>113</v>
      </c>
    </row>
    <row r="407" spans="1:11" x14ac:dyDescent="0.2">
      <c r="A407" s="11"/>
      <c r="B407" s="9"/>
      <c r="C407" s="9">
        <v>92392</v>
      </c>
      <c r="D407" s="9">
        <v>45</v>
      </c>
      <c r="E407" s="9">
        <v>10366590</v>
      </c>
      <c r="F407" s="9" t="s">
        <v>914</v>
      </c>
      <c r="G407" s="9" t="s">
        <v>113</v>
      </c>
      <c r="H407" s="9" t="s">
        <v>103</v>
      </c>
      <c r="I407" s="9" t="s">
        <v>113</v>
      </c>
      <c r="J407" s="9" t="s">
        <v>113</v>
      </c>
      <c r="K407" s="13" t="s">
        <v>113</v>
      </c>
    </row>
    <row r="408" spans="1:11" x14ac:dyDescent="0.2">
      <c r="A408" s="11"/>
      <c r="B408" s="9"/>
      <c r="C408" s="9">
        <v>90631</v>
      </c>
      <c r="D408" s="9">
        <v>45</v>
      </c>
      <c r="E408" s="9">
        <v>10370772</v>
      </c>
      <c r="F408" s="9" t="s">
        <v>914</v>
      </c>
      <c r="G408" s="9" t="s">
        <v>113</v>
      </c>
      <c r="H408" s="9" t="s">
        <v>113</v>
      </c>
      <c r="I408" s="9" t="s">
        <v>113</v>
      </c>
      <c r="J408" s="9" t="s">
        <v>113</v>
      </c>
      <c r="K408" s="13" t="s">
        <v>113</v>
      </c>
    </row>
    <row r="409" spans="1:11" x14ac:dyDescent="0.2">
      <c r="A409" s="12"/>
      <c r="C409" s="4">
        <v>90250</v>
      </c>
      <c r="D409" s="4">
        <v>46</v>
      </c>
      <c r="E409" s="4">
        <v>10366658</v>
      </c>
      <c r="F409" s="4" t="s">
        <v>914</v>
      </c>
      <c r="G409" s="4" t="s">
        <v>933</v>
      </c>
      <c r="H409" s="4" t="s">
        <v>933</v>
      </c>
      <c r="I409" s="4" t="s">
        <v>933</v>
      </c>
      <c r="J409" s="4" t="s">
        <v>195</v>
      </c>
      <c r="K409" s="14" t="s">
        <v>195</v>
      </c>
    </row>
    <row r="410" spans="1:11" x14ac:dyDescent="0.2">
      <c r="A410" s="11"/>
      <c r="B410" s="9"/>
      <c r="C410" s="9">
        <v>92553</v>
      </c>
      <c r="D410" s="9">
        <v>46</v>
      </c>
      <c r="E410" s="9">
        <v>10355978</v>
      </c>
      <c r="F410" s="9" t="s">
        <v>914</v>
      </c>
      <c r="G410" s="9" t="s">
        <v>113</v>
      </c>
      <c r="H410" s="9" t="s">
        <v>103</v>
      </c>
      <c r="I410" s="9" t="s">
        <v>113</v>
      </c>
      <c r="J410" s="9" t="s">
        <v>113</v>
      </c>
      <c r="K410" s="13" t="s">
        <v>113</v>
      </c>
    </row>
    <row r="411" spans="1:11" x14ac:dyDescent="0.2">
      <c r="A411" s="12"/>
      <c r="C411" s="4">
        <v>91607</v>
      </c>
      <c r="D411" s="4">
        <v>47</v>
      </c>
      <c r="E411" s="4">
        <v>100230941</v>
      </c>
      <c r="F411" s="4" t="s">
        <v>914</v>
      </c>
      <c r="G411" s="4" t="s">
        <v>103</v>
      </c>
      <c r="H411" s="4" t="s">
        <v>103</v>
      </c>
      <c r="I411" s="4" t="s">
        <v>74</v>
      </c>
      <c r="J411" s="4" t="s">
        <v>103</v>
      </c>
      <c r="K411" s="14" t="s">
        <v>202</v>
      </c>
    </row>
    <row r="412" spans="1:11" x14ac:dyDescent="0.2">
      <c r="A412" s="11"/>
      <c r="B412" s="9"/>
      <c r="C412" s="9">
        <v>92407</v>
      </c>
      <c r="D412" s="9">
        <v>47</v>
      </c>
      <c r="E412" s="9">
        <v>10338974</v>
      </c>
      <c r="F412" s="9" t="s">
        <v>914</v>
      </c>
      <c r="G412" s="9" t="s">
        <v>113</v>
      </c>
      <c r="H412" s="9" t="s">
        <v>113</v>
      </c>
      <c r="I412" s="9" t="s">
        <v>113</v>
      </c>
      <c r="J412" s="9" t="s">
        <v>113</v>
      </c>
      <c r="K412" s="13" t="s">
        <v>113</v>
      </c>
    </row>
    <row r="413" spans="1:11" x14ac:dyDescent="0.2">
      <c r="A413" s="11"/>
      <c r="B413" s="9"/>
      <c r="C413" s="9">
        <v>92570</v>
      </c>
      <c r="D413" s="9">
        <v>48</v>
      </c>
      <c r="E413" s="9">
        <v>103667961</v>
      </c>
      <c r="F413" s="9" t="s">
        <v>914</v>
      </c>
      <c r="G413" s="9" t="s">
        <v>113</v>
      </c>
      <c r="H413" s="9" t="s">
        <v>113</v>
      </c>
      <c r="I413" s="9" t="s">
        <v>113</v>
      </c>
      <c r="J413" s="9" t="s">
        <v>113</v>
      </c>
      <c r="K413" s="13" t="s">
        <v>113</v>
      </c>
    </row>
    <row r="414" spans="1:11" x14ac:dyDescent="0.2">
      <c r="A414" s="12"/>
      <c r="C414" s="4">
        <v>92392</v>
      </c>
      <c r="D414" s="4">
        <v>48</v>
      </c>
      <c r="E414" s="4">
        <v>100442712</v>
      </c>
      <c r="F414" s="4" t="s">
        <v>914</v>
      </c>
      <c r="G414" s="4" t="s">
        <v>1176</v>
      </c>
      <c r="H414" s="4" t="s">
        <v>1176</v>
      </c>
      <c r="I414" s="4" t="s">
        <v>1176</v>
      </c>
      <c r="J414" s="4" t="s">
        <v>1176</v>
      </c>
      <c r="K414" s="14" t="s">
        <v>1176</v>
      </c>
    </row>
    <row r="415" spans="1:11" x14ac:dyDescent="0.2">
      <c r="A415" s="11"/>
      <c r="B415" s="9"/>
      <c r="C415" s="9">
        <v>92405</v>
      </c>
      <c r="D415" s="9">
        <v>50</v>
      </c>
      <c r="E415" s="9">
        <v>102307258</v>
      </c>
      <c r="F415" s="9" t="s">
        <v>914</v>
      </c>
      <c r="G415" s="9" t="s">
        <v>103</v>
      </c>
      <c r="H415" s="9" t="s">
        <v>103</v>
      </c>
      <c r="I415" s="9" t="s">
        <v>103</v>
      </c>
      <c r="J415" s="9" t="s">
        <v>103</v>
      </c>
      <c r="K415" s="13" t="s">
        <v>103</v>
      </c>
    </row>
    <row r="416" spans="1:11" x14ac:dyDescent="0.2">
      <c r="A416" s="11"/>
      <c r="B416" s="9"/>
      <c r="C416" s="9">
        <v>92394</v>
      </c>
      <c r="D416" s="9">
        <v>50</v>
      </c>
      <c r="E416" s="9">
        <v>10362633</v>
      </c>
      <c r="F416" s="9" t="s">
        <v>914</v>
      </c>
      <c r="G416" s="9" t="s">
        <v>113</v>
      </c>
      <c r="H416" s="9" t="s">
        <v>113</v>
      </c>
      <c r="I416" s="9" t="s">
        <v>113</v>
      </c>
      <c r="J416" s="9" t="s">
        <v>113</v>
      </c>
      <c r="K416" s="13" t="s">
        <v>113</v>
      </c>
    </row>
    <row r="417" spans="1:11" x14ac:dyDescent="0.2">
      <c r="A417" s="11"/>
      <c r="B417" s="9"/>
      <c r="C417" s="9">
        <v>92301</v>
      </c>
      <c r="D417" s="9">
        <v>53</v>
      </c>
      <c r="E417" s="9">
        <v>101938847</v>
      </c>
      <c r="F417" s="9" t="s">
        <v>914</v>
      </c>
      <c r="G417" s="9" t="s">
        <v>103</v>
      </c>
      <c r="H417" s="9" t="s">
        <v>103</v>
      </c>
      <c r="I417" s="9" t="s">
        <v>103</v>
      </c>
      <c r="J417" s="9" t="s">
        <v>103</v>
      </c>
      <c r="K417" s="13" t="s">
        <v>103</v>
      </c>
    </row>
    <row r="418" spans="1:11" x14ac:dyDescent="0.2">
      <c r="A418" s="12"/>
      <c r="C418" s="4">
        <v>92395</v>
      </c>
      <c r="D418" s="4">
        <v>55</v>
      </c>
      <c r="E418" s="4">
        <v>10366437</v>
      </c>
      <c r="F418" s="4" t="s">
        <v>914</v>
      </c>
      <c r="G418" s="4" t="s">
        <v>113</v>
      </c>
      <c r="H418" s="4" t="s">
        <v>113</v>
      </c>
      <c r="I418" s="4" t="s">
        <v>113</v>
      </c>
      <c r="J418" s="4" t="s">
        <v>113</v>
      </c>
      <c r="K418" s="14" t="s">
        <v>113</v>
      </c>
    </row>
    <row r="419" spans="1:11" x14ac:dyDescent="0.2">
      <c r="A419" s="12"/>
      <c r="C419" s="4">
        <v>92562</v>
      </c>
      <c r="D419" s="4">
        <v>59</v>
      </c>
      <c r="E419" s="4">
        <v>1030744</v>
      </c>
      <c r="F419" s="4" t="s">
        <v>914</v>
      </c>
      <c r="G419" s="4" t="s">
        <v>103</v>
      </c>
      <c r="H419" s="4" t="s">
        <v>113</v>
      </c>
      <c r="I419" s="4" t="s">
        <v>113</v>
      </c>
      <c r="J419" s="4" t="s">
        <v>191</v>
      </c>
      <c r="K419" s="14" t="s">
        <v>191</v>
      </c>
    </row>
    <row r="420" spans="1:11" x14ac:dyDescent="0.2">
      <c r="A420" s="12"/>
      <c r="C420" s="4">
        <v>92557</v>
      </c>
      <c r="D420" s="4">
        <v>60</v>
      </c>
      <c r="E420" s="4" t="s">
        <v>1330</v>
      </c>
      <c r="F420" s="4" t="s">
        <v>914</v>
      </c>
      <c r="G420" s="4" t="s">
        <v>1176</v>
      </c>
      <c r="H420" s="4" t="s">
        <v>1176</v>
      </c>
      <c r="I420" s="4" t="s">
        <v>1176</v>
      </c>
      <c r="J420" s="4" t="s">
        <v>1176</v>
      </c>
      <c r="K420" s="14" t="s">
        <v>1176</v>
      </c>
    </row>
    <row r="421" spans="1:11" x14ac:dyDescent="0.2">
      <c r="A421" s="12"/>
      <c r="C421" s="4">
        <v>92311</v>
      </c>
      <c r="D421" s="4">
        <v>86</v>
      </c>
      <c r="E421" s="4">
        <v>10308227</v>
      </c>
      <c r="F421" s="4" t="s">
        <v>914</v>
      </c>
      <c r="G421" s="4" t="s">
        <v>113</v>
      </c>
      <c r="H421" s="4" t="s">
        <v>113</v>
      </c>
      <c r="I421" s="4" t="s">
        <v>113</v>
      </c>
      <c r="J421" s="4" t="s">
        <v>113</v>
      </c>
      <c r="K421" s="14" t="s">
        <v>113</v>
      </c>
    </row>
    <row r="422" spans="1:11" x14ac:dyDescent="0.2">
      <c r="A422" s="65"/>
      <c r="B422" s="59"/>
      <c r="C422" s="59">
        <v>93505</v>
      </c>
      <c r="D422" s="59">
        <v>120</v>
      </c>
      <c r="E422" s="59">
        <v>10043435</v>
      </c>
      <c r="F422" s="59" t="s">
        <v>914</v>
      </c>
      <c r="G422" s="59" t="s">
        <v>113</v>
      </c>
      <c r="H422" s="59" t="s">
        <v>113</v>
      </c>
      <c r="I422" s="59" t="s">
        <v>113</v>
      </c>
      <c r="J422" s="59" t="s">
        <v>113</v>
      </c>
      <c r="K422" s="66" t="s">
        <v>113</v>
      </c>
    </row>
    <row r="552" ht="14.25" customHeight="1" x14ac:dyDescent="0.2"/>
  </sheetData>
  <mergeCells count="12">
    <mergeCell ref="O21:P21"/>
    <mergeCell ref="M1:W1"/>
    <mergeCell ref="M8:X8"/>
    <mergeCell ref="O12:Q12"/>
    <mergeCell ref="O13:P13"/>
    <mergeCell ref="O14:P14"/>
    <mergeCell ref="O15:P15"/>
    <mergeCell ref="O16:P16"/>
    <mergeCell ref="O17:P17"/>
    <mergeCell ref="O18:P18"/>
    <mergeCell ref="O19:P19"/>
    <mergeCell ref="O20:P2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0C53-2D51-4150-A06E-F727051C9F43}">
  <dimension ref="A1:X552"/>
  <sheetViews>
    <sheetView workbookViewId="0">
      <selection activeCell="A2" sqref="A2:B430"/>
    </sheetView>
  </sheetViews>
  <sheetFormatPr baseColWidth="10" defaultColWidth="8.83203125" defaultRowHeight="15" x14ac:dyDescent="0.2"/>
  <cols>
    <col min="1" max="1" width="16.83203125" style="4" bestFit="1" customWidth="1"/>
    <col min="2" max="2" width="19.5" style="4" bestFit="1" customWidth="1"/>
    <col min="3" max="3" width="9.1640625" style="4"/>
    <col min="4" max="4" width="26.1640625" style="4" bestFit="1" customWidth="1"/>
    <col min="5" max="5" width="14.5" style="4" bestFit="1" customWidth="1"/>
    <col min="6" max="6" width="30.6640625" style="4" bestFit="1" customWidth="1"/>
    <col min="7" max="11" width="25.83203125" style="4" bestFit="1" customWidth="1"/>
    <col min="13" max="13" width="34.83203125" customWidth="1"/>
    <col min="14" max="14" width="14.6640625" customWidth="1"/>
    <col min="16" max="16" width="12.6640625" customWidth="1"/>
    <col min="17" max="17" width="16.33203125" customWidth="1"/>
    <col min="18" max="18" width="17.33203125" customWidth="1"/>
    <col min="19" max="19" width="13.6640625" customWidth="1"/>
    <col min="20" max="20" width="16.6640625" customWidth="1"/>
    <col min="21" max="21" width="18.5" customWidth="1"/>
    <col min="22" max="22" width="15" customWidth="1"/>
    <col min="24" max="24" width="17.1640625" customWidth="1"/>
    <col min="25" max="25" width="19.33203125" customWidth="1"/>
  </cols>
  <sheetData>
    <row r="1" spans="1:24" ht="16.5" customHeight="1" x14ac:dyDescent="0.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  <c r="M1" s="71" t="s">
        <v>11</v>
      </c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4" x14ac:dyDescent="0.2">
      <c r="A2" s="11"/>
      <c r="B2" s="9"/>
      <c r="C2" s="9">
        <v>91711</v>
      </c>
      <c r="D2" s="9">
        <v>0.1</v>
      </c>
      <c r="E2" s="9">
        <v>10355979</v>
      </c>
      <c r="F2" s="9" t="s">
        <v>914</v>
      </c>
      <c r="G2" s="9" t="s">
        <v>92</v>
      </c>
      <c r="H2" s="9" t="s">
        <v>92</v>
      </c>
      <c r="I2" s="9" t="s">
        <v>92</v>
      </c>
      <c r="J2" s="9" t="s">
        <v>92</v>
      </c>
      <c r="K2" s="13" t="s">
        <v>92</v>
      </c>
      <c r="M2" s="18"/>
      <c r="N2" s="18" t="s">
        <v>17</v>
      </c>
      <c r="O2" s="18" t="s">
        <v>18</v>
      </c>
      <c r="P2" s="18" t="s">
        <v>19</v>
      </c>
      <c r="Q2" s="18" t="s">
        <v>20</v>
      </c>
      <c r="R2" s="18" t="s">
        <v>21</v>
      </c>
      <c r="S2" s="18" t="s">
        <v>22</v>
      </c>
      <c r="T2" s="18" t="s">
        <v>23</v>
      </c>
      <c r="U2" s="18" t="s">
        <v>24</v>
      </c>
      <c r="V2" s="19" t="s">
        <v>25</v>
      </c>
      <c r="W2" s="20" t="s">
        <v>26</v>
      </c>
    </row>
    <row r="3" spans="1:24" x14ac:dyDescent="0.2">
      <c r="A3" s="11"/>
      <c r="B3" s="9"/>
      <c r="C3" s="9">
        <v>91711</v>
      </c>
      <c r="D3" s="9">
        <v>0.1</v>
      </c>
      <c r="E3" s="9">
        <v>10042380</v>
      </c>
      <c r="F3" s="9" t="s">
        <v>914</v>
      </c>
      <c r="G3" s="9" t="s">
        <v>92</v>
      </c>
      <c r="H3" s="9" t="s">
        <v>92</v>
      </c>
      <c r="I3" s="9" t="s">
        <v>92</v>
      </c>
      <c r="J3" s="9" t="s">
        <v>92</v>
      </c>
      <c r="K3" s="13" t="s">
        <v>92</v>
      </c>
      <c r="M3" s="10" t="s">
        <v>32</v>
      </c>
      <c r="N3" s="24" cm="1">
        <f t="array" ref="N3">SUM(COUNTIF($G:$K,{"H.*","I.*"}))/W10</f>
        <v>0.65778688524590168</v>
      </c>
      <c r="O3" s="21">
        <f>COUNTIF($G:$K,"E.*")/W10</f>
        <v>3.4323770491803282E-2</v>
      </c>
      <c r="P3" s="21" cm="1">
        <f t="array" ref="P3">SUM(COUNTIF($G:$K,{"J.*","K.*","L.*","M.*","N.*","O.*","P.*","Q.*","R.*","S.*","T.*","U.*","V.*","W.*"}))/W10</f>
        <v>7.274590163934426E-2</v>
      </c>
      <c r="Q3" s="21">
        <f>COUNTIF($G:$K,"C.*")/W10</f>
        <v>1.7418032786885244E-2</v>
      </c>
      <c r="R3" s="21">
        <f>COUNTIF($G:$K,"A.*")/W10</f>
        <v>5.3790983606557374E-2</v>
      </c>
      <c r="S3" s="21">
        <v>0</v>
      </c>
      <c r="T3" s="21">
        <f>COUNTIF($G:$K,"B.*")/W10</f>
        <v>2.5614754098360654E-3</v>
      </c>
      <c r="U3" s="21">
        <f>COUNTIF($G:$K,"F.*")/W10</f>
        <v>0.11885245901639344</v>
      </c>
      <c r="V3" s="22">
        <f>COUNTIF($G:$K,"D.*")/W10</f>
        <v>4.2520491803278687E-2</v>
      </c>
      <c r="W3" s="21">
        <f>SUM(N3:V3)</f>
        <v>1</v>
      </c>
    </row>
    <row r="4" spans="1:24" ht="16.5" customHeight="1" x14ac:dyDescent="0.2">
      <c r="A4" s="11"/>
      <c r="B4" s="9"/>
      <c r="C4" s="9">
        <v>91711</v>
      </c>
      <c r="D4" s="9">
        <v>0.2</v>
      </c>
      <c r="E4" s="9">
        <v>10305558</v>
      </c>
      <c r="F4" s="9" t="s">
        <v>914</v>
      </c>
      <c r="G4" s="9" t="s">
        <v>103</v>
      </c>
      <c r="H4" s="9" t="s">
        <v>92</v>
      </c>
      <c r="I4" s="9" t="s">
        <v>92</v>
      </c>
      <c r="J4" s="9" t="s">
        <v>92</v>
      </c>
      <c r="K4" s="13" t="s">
        <v>103</v>
      </c>
      <c r="M4" s="29" t="s">
        <v>38</v>
      </c>
      <c r="N4" s="30" cm="1">
        <f t="array" ref="N4">SUM(_xlfn.BYCOL(G:K,_xlfn.LAMBDA(_xlpm.col,SUMIF(_xlpm.col,"H.*",D:D)+SUMIF(_xlpm.col,"I.*",D:D))))/N10</f>
        <v>13.854049844236759</v>
      </c>
      <c r="O4" s="31" cm="1">
        <f t="array" ref="O4">SUM(_xlfn.BYCOL(G:K,_xlfn.LAMBDA(_xlpm.col,SUMIF(_xlpm.col,"E.*",D:D))))/O10</f>
        <v>6.5932835820895521</v>
      </c>
      <c r="P4" s="32" cm="1">
        <f t="array" ref="P4">SUM(_xlfn.BYCOL($G:$K,_xlfn.LAMBDA(_xlpm.col,SUMIF(_xlpm.col,"J.*",$D:$D)+SUMIF(_xlpm.col,"K.*",$D:$D)+SUMIF(_xlpm.col,"L.*",$D:$D)+SUMIF(_xlpm.col,"M.*",$D:$D)+SUMIF(_xlpm.col,"N.*",$D:$D)+SUMIF(_xlpm.col,"O.*",$D:$D)+SUMIF(_xlpm.col,"P.*",$D:$D)+SUMIF(_xlpm.col,"Q.*",$D:$D)+SUMIF(_xlpm.col,"R.*",$D:$D)+SUMIF(_xlpm.col,"S.*",$D:$D)+SUMIF(_xlpm.col,"T.*",$D:$D)+SUMIF(_xlpm.col,"U.*",$D:$D)+SUMIF(_xlpm.col,"V.*",$D:$D)+SUMIF(_xlpm.col,"W.*",$D:$D))))/$P10</f>
        <v>17.8556338028169</v>
      </c>
      <c r="Q4" s="32" cm="1">
        <f t="array" ref="Q4">SUM(_xlfn.BYCOL(G:K,_xlfn.LAMBDA(_xlpm.col,SUMIF(_xlpm.col,"C.*",D:D))))/Q10</f>
        <v>23.197058823529414</v>
      </c>
      <c r="R4" s="32" cm="1">
        <f t="array" ref="R4">SUM(_xlfn.BYCOL(G:K,_xlfn.LAMBDA(_xlpm.col,SUMIF(_xlpm.col,"A.*",D:D))))/R10</f>
        <v>18.998095238095239</v>
      </c>
      <c r="S4" s="32" t="s">
        <v>39</v>
      </c>
      <c r="T4" s="32" cm="1">
        <f t="array" ref="T4">SUM(_xlfn.BYCOL(G:K,_xlfn.LAMBDA(_xlpm.col,SUMIF(_xlpm.col,"B.*",D:D))))/T10</f>
        <v>3</v>
      </c>
      <c r="U4" s="32" t="s">
        <v>39</v>
      </c>
      <c r="V4" s="32" cm="1">
        <f t="array" ref="V4">SUM(_xlfn.BYCOL(G:K,_xlfn.LAMBDA(_xlpm.col,SUMIF(_xlpm.col,"D.*",D:D))))/V10</f>
        <v>0.88734939759036147</v>
      </c>
      <c r="W4" s="30">
        <f>AVERAGE(N4:V4)</f>
        <v>12.055067241194033</v>
      </c>
    </row>
    <row r="5" spans="1:24" x14ac:dyDescent="0.2">
      <c r="A5" s="12"/>
      <c r="C5" s="4">
        <v>91711</v>
      </c>
      <c r="D5" s="4">
        <v>0.25</v>
      </c>
      <c r="E5" s="4">
        <v>10360779</v>
      </c>
      <c r="F5" s="4" t="s">
        <v>919</v>
      </c>
      <c r="G5" s="4" t="s">
        <v>92</v>
      </c>
      <c r="H5" s="4" t="s">
        <v>92</v>
      </c>
      <c r="I5" s="4" t="s">
        <v>92</v>
      </c>
      <c r="J5" s="4" t="s">
        <v>92</v>
      </c>
      <c r="K5" s="14" t="s">
        <v>92</v>
      </c>
      <c r="M5" s="10" t="s">
        <v>44</v>
      </c>
      <c r="N5" s="10"/>
      <c r="O5" s="10"/>
      <c r="P5" s="39" cm="1">
        <f t="array" ref="P5">SUM(_xlfn.BYCOL($G:$K,_xlfn.LAMBDA(_xlpm.col,SUMIF(_xlpm.col,"J.*",$D:$D)*2+SUMIF(_xlpm.col,"K.*",$D:$D)*3+SUMIF(_xlpm.col,"L.*",$D:$D)*4+SUMIF(_xlpm.col,"M.*",$D:$D)*5+SUMIF(_xlpm.col,"N.*",$D:$D)*6+SUMIF(_xlpm.col,"O.*",$D:$D)*7+SUMIF(_xlpm.col,"P.*",$D:$D)*8+SUMIF(_xlpm.col,"Q.*",$D:$D)*9+SUMIF(_xlpm.col,"R.*",$D:$D)*10+SUMIF(_xlpm.col,"S.*",$D:$D)*11+SUMIF(_xlpm.col,"T.*",$D:$D)*12+SUMIF(_xlpm.col,"U.*",$D:$D)*13+SUMIF(_xlpm.col,"V.*",$D:$D)*14+SUMIF(_xlpm.col,"W.*",$D:$D)*15)))/$P10</f>
        <v>47.855633802816904</v>
      </c>
      <c r="Q5" s="10"/>
      <c r="R5" s="10"/>
      <c r="S5" s="10"/>
      <c r="T5" s="10"/>
      <c r="U5" s="10"/>
      <c r="V5" s="10"/>
      <c r="W5" s="10"/>
    </row>
    <row r="6" spans="1:24" x14ac:dyDescent="0.2">
      <c r="A6" s="11"/>
      <c r="B6" s="9"/>
      <c r="C6" s="9">
        <v>91711</v>
      </c>
      <c r="D6" s="9">
        <v>0.5</v>
      </c>
      <c r="E6" s="9" t="s">
        <v>920</v>
      </c>
      <c r="F6" s="9" t="s">
        <v>914</v>
      </c>
      <c r="G6" s="9" t="s">
        <v>92</v>
      </c>
      <c r="H6" s="9" t="s">
        <v>92</v>
      </c>
      <c r="I6" s="9" t="s">
        <v>92</v>
      </c>
      <c r="J6" s="9" t="s">
        <v>92</v>
      </c>
      <c r="K6" s="13" t="s">
        <v>92</v>
      </c>
      <c r="M6" s="40" t="s">
        <v>47</v>
      </c>
      <c r="N6" s="40"/>
      <c r="O6" s="40"/>
      <c r="P6" s="41">
        <f>P5/P4</f>
        <v>2.6801419838296199</v>
      </c>
      <c r="Q6" s="40"/>
      <c r="R6" s="40"/>
      <c r="S6" s="40"/>
      <c r="T6" s="40"/>
      <c r="U6" s="40"/>
      <c r="V6" s="40"/>
      <c r="W6" s="40"/>
    </row>
    <row r="7" spans="1:24" x14ac:dyDescent="0.2">
      <c r="A7" s="12"/>
      <c r="C7" s="4">
        <v>91711</v>
      </c>
      <c r="D7" s="4">
        <v>0.5</v>
      </c>
      <c r="E7" s="4">
        <v>121158</v>
      </c>
      <c r="F7" s="4" t="s">
        <v>914</v>
      </c>
      <c r="G7" s="4" t="s">
        <v>98</v>
      </c>
      <c r="H7" s="4" t="s">
        <v>98</v>
      </c>
      <c r="I7" s="4" t="s">
        <v>98</v>
      </c>
      <c r="J7" s="4" t="s">
        <v>98</v>
      </c>
      <c r="K7" s="14" t="s">
        <v>103</v>
      </c>
      <c r="P7" s="35"/>
    </row>
    <row r="8" spans="1:24" x14ac:dyDescent="0.2">
      <c r="A8" s="12"/>
      <c r="C8" s="4">
        <v>10025</v>
      </c>
      <c r="D8" s="4">
        <v>0.5</v>
      </c>
      <c r="E8" s="4">
        <v>10369321</v>
      </c>
      <c r="F8" s="4" t="s">
        <v>919</v>
      </c>
      <c r="G8" s="4" t="s">
        <v>92</v>
      </c>
      <c r="H8" s="4" t="s">
        <v>202</v>
      </c>
      <c r="I8" s="4" t="s">
        <v>202</v>
      </c>
      <c r="J8" s="4" t="s">
        <v>202</v>
      </c>
      <c r="K8" s="14" t="s">
        <v>202</v>
      </c>
      <c r="M8" s="72" t="s">
        <v>54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</row>
    <row r="9" spans="1:24" x14ac:dyDescent="0.2">
      <c r="A9" s="12"/>
      <c r="C9" s="4">
        <v>91711</v>
      </c>
      <c r="D9" s="4">
        <v>0.5</v>
      </c>
      <c r="E9" s="4">
        <v>117777</v>
      </c>
      <c r="F9" s="4" t="s">
        <v>919</v>
      </c>
      <c r="G9" s="4" t="s">
        <v>92</v>
      </c>
      <c r="H9" s="4" t="s">
        <v>92</v>
      </c>
      <c r="I9" s="4" t="s">
        <v>195</v>
      </c>
      <c r="J9" s="4" t="s">
        <v>195</v>
      </c>
      <c r="K9" s="14" t="s">
        <v>195</v>
      </c>
      <c r="M9" s="4"/>
      <c r="N9" s="4" t="s">
        <v>17</v>
      </c>
      <c r="O9" s="4" t="s">
        <v>18</v>
      </c>
      <c r="P9" s="4" t="s">
        <v>19</v>
      </c>
      <c r="Q9" s="4" t="s">
        <v>20</v>
      </c>
      <c r="R9" s="4" t="s">
        <v>21</v>
      </c>
      <c r="S9" s="4" t="s">
        <v>22</v>
      </c>
      <c r="T9" s="4" t="s">
        <v>23</v>
      </c>
      <c r="U9" s="4" t="s">
        <v>24</v>
      </c>
      <c r="V9" s="4" t="s">
        <v>25</v>
      </c>
      <c r="W9" s="4" t="s">
        <v>26</v>
      </c>
      <c r="X9" s="59" t="s">
        <v>59</v>
      </c>
    </row>
    <row r="10" spans="1:24" x14ac:dyDescent="0.2">
      <c r="A10" s="12"/>
      <c r="C10" s="4">
        <v>91711</v>
      </c>
      <c r="D10" s="4">
        <v>0.5</v>
      </c>
      <c r="E10" s="4" t="s">
        <v>201</v>
      </c>
      <c r="F10" s="4" t="s">
        <v>914</v>
      </c>
      <c r="G10" s="4" t="s">
        <v>113</v>
      </c>
      <c r="H10" s="4" t="s">
        <v>113</v>
      </c>
      <c r="I10" s="4" t="s">
        <v>113</v>
      </c>
      <c r="J10" s="4" t="s">
        <v>113</v>
      </c>
      <c r="K10" s="14" t="s">
        <v>113</v>
      </c>
      <c r="M10" s="36" t="s">
        <v>63</v>
      </c>
      <c r="N10" s="36" cm="1">
        <f t="array" ref="N10">SUM(COUNTIF($G:$K,{"H.*","I.*"}))</f>
        <v>1284</v>
      </c>
      <c r="O10" s="36">
        <f>COUNTIF($G:$K,"E.*")</f>
        <v>67</v>
      </c>
      <c r="P10" s="36" cm="1">
        <f t="array" ref="P10">SUM(COUNTIF($G:$K,{"J.*","K.*","L.*","M.*","N.*","O.*","P.*","Q.*","R.*","S.*","T.*","U.*","V.*","W.*"}))</f>
        <v>142</v>
      </c>
      <c r="Q10" s="62">
        <f>COUNTIF($G:$K,"C.*")</f>
        <v>34</v>
      </c>
      <c r="R10" s="36">
        <f>COUNTIF($G:$K,"A.*")</f>
        <v>105</v>
      </c>
      <c r="S10" s="36">
        <v>0</v>
      </c>
      <c r="T10" s="36">
        <f>COUNTIF($G:$K,"B.*")</f>
        <v>5</v>
      </c>
      <c r="U10" s="36">
        <f>COUNTIF($G:$K,"F.*")</f>
        <v>232</v>
      </c>
      <c r="V10" s="36">
        <f>COUNTIF($G:$K,"D.*")</f>
        <v>83</v>
      </c>
      <c r="W10" s="37">
        <f>SUM(N10:V10)</f>
        <v>1952</v>
      </c>
      <c r="X10" s="4">
        <f>COUNTIFS($G2:$K1000,"&lt;&gt;",$G2:$K1000,"&lt;&gt;OFF.*",$G2:$K1000,"&lt;&gt;AA.*",$G2:$K1000,"&lt;&gt;BB.*",$G2:$K1000,"&lt;&gt;G.*",$G2:$K1000,"&lt;&gt;X.*",$G2:$K1000,"&lt;&gt;Y.*",$G2:$K1000,"&lt;&gt;Z.*",G2:K1000,"&lt;&gt;CC.*")</f>
        <v>1952</v>
      </c>
    </row>
    <row r="11" spans="1:24" x14ac:dyDescent="0.2">
      <c r="A11" s="12"/>
      <c r="C11" s="4">
        <v>91711</v>
      </c>
      <c r="D11" s="4">
        <v>0.5</v>
      </c>
      <c r="E11" s="4">
        <v>10358521</v>
      </c>
      <c r="F11" s="4" t="s">
        <v>919</v>
      </c>
      <c r="G11" s="4" t="s">
        <v>92</v>
      </c>
      <c r="H11" s="4" t="s">
        <v>113</v>
      </c>
      <c r="I11" s="4" t="s">
        <v>113</v>
      </c>
      <c r="J11" s="4" t="s">
        <v>92</v>
      </c>
      <c r="K11" s="14" t="s">
        <v>92</v>
      </c>
    </row>
    <row r="12" spans="1:24" ht="16" x14ac:dyDescent="0.2">
      <c r="A12" s="12"/>
      <c r="C12" s="4">
        <v>91711</v>
      </c>
      <c r="D12" s="4">
        <v>0.6</v>
      </c>
      <c r="E12" s="4">
        <v>103667471</v>
      </c>
      <c r="F12" s="4" t="s">
        <v>914</v>
      </c>
      <c r="G12" s="4" t="s">
        <v>92</v>
      </c>
      <c r="H12" s="4" t="s">
        <v>92</v>
      </c>
      <c r="I12" s="4" t="s">
        <v>92</v>
      </c>
      <c r="J12" s="4" t="s">
        <v>92</v>
      </c>
      <c r="K12" s="14" t="s">
        <v>92</v>
      </c>
      <c r="M12" s="38" t="s">
        <v>68</v>
      </c>
      <c r="O12" s="69" t="s">
        <v>69</v>
      </c>
      <c r="P12" s="73"/>
      <c r="Q12" s="70"/>
    </row>
    <row r="13" spans="1:24" ht="16" x14ac:dyDescent="0.2">
      <c r="A13" s="12"/>
      <c r="C13" s="4">
        <v>91763</v>
      </c>
      <c r="D13" s="4">
        <v>0.7</v>
      </c>
      <c r="E13" s="4">
        <v>10370640</v>
      </c>
      <c r="F13" s="4" t="s">
        <v>914</v>
      </c>
      <c r="G13" s="4" t="s">
        <v>113</v>
      </c>
      <c r="H13" s="4" t="s">
        <v>113</v>
      </c>
      <c r="I13" s="4" t="s">
        <v>113</v>
      </c>
      <c r="J13" s="4" t="s">
        <v>113</v>
      </c>
      <c r="K13" s="14" t="s">
        <v>113</v>
      </c>
      <c r="M13" s="5" t="s">
        <v>74</v>
      </c>
      <c r="O13" s="74" t="s">
        <v>75</v>
      </c>
      <c r="P13" s="74"/>
      <c r="Q13" s="36" t="e">
        <f>2*W10/COUNTIFS(A:A,"&lt;&gt;",A:A,"&lt;&gt;FirstName")</f>
        <v>#DIV/0!</v>
      </c>
    </row>
    <row r="14" spans="1:24" ht="16" x14ac:dyDescent="0.2">
      <c r="A14" s="12"/>
      <c r="C14" s="4">
        <v>91786</v>
      </c>
      <c r="D14" s="4">
        <v>0.9</v>
      </c>
      <c r="E14" s="4">
        <v>10357621</v>
      </c>
      <c r="F14" s="4" t="s">
        <v>914</v>
      </c>
      <c r="G14" s="4" t="s">
        <v>113</v>
      </c>
      <c r="H14" s="4" t="s">
        <v>113</v>
      </c>
      <c r="I14" s="4" t="s">
        <v>113</v>
      </c>
      <c r="J14" s="4" t="s">
        <v>108</v>
      </c>
      <c r="K14" s="14" t="s">
        <v>92</v>
      </c>
      <c r="M14" s="5" t="s">
        <v>81</v>
      </c>
      <c r="O14" s="72" t="s">
        <v>82</v>
      </c>
      <c r="P14" s="72"/>
      <c r="Q14" s="4">
        <v>816</v>
      </c>
    </row>
    <row r="15" spans="1:24" ht="16" x14ac:dyDescent="0.2">
      <c r="A15" s="11"/>
      <c r="B15" s="9"/>
      <c r="C15" s="9">
        <v>91711</v>
      </c>
      <c r="D15" s="9">
        <v>0.9</v>
      </c>
      <c r="E15" s="9">
        <v>101025</v>
      </c>
      <c r="F15" s="9" t="s">
        <v>914</v>
      </c>
      <c r="G15" s="9" t="s">
        <v>113</v>
      </c>
      <c r="H15" s="9" t="s">
        <v>113</v>
      </c>
      <c r="I15" s="9" t="s">
        <v>113</v>
      </c>
      <c r="J15" s="9" t="s">
        <v>113</v>
      </c>
      <c r="K15" s="13" t="s">
        <v>113</v>
      </c>
      <c r="M15" s="5" t="s">
        <v>85</v>
      </c>
      <c r="O15" s="75" t="s">
        <v>86</v>
      </c>
      <c r="P15" s="75"/>
      <c r="Q15" s="59">
        <f>COUNTIFS(A:A,"&lt;&gt;",A:A,"&lt;&gt;FirstName")</f>
        <v>0</v>
      </c>
    </row>
    <row r="16" spans="1:24" ht="16" x14ac:dyDescent="0.2">
      <c r="A16" s="12"/>
      <c r="C16" s="4">
        <v>91711</v>
      </c>
      <c r="D16" s="4">
        <v>1</v>
      </c>
      <c r="E16" s="4">
        <v>10341303</v>
      </c>
      <c r="F16" s="4" t="s">
        <v>914</v>
      </c>
      <c r="G16" s="4" t="s">
        <v>113</v>
      </c>
      <c r="H16" s="4" t="s">
        <v>103</v>
      </c>
      <c r="I16" s="4" t="s">
        <v>92</v>
      </c>
      <c r="J16" s="4" t="s">
        <v>113</v>
      </c>
      <c r="K16" s="14" t="s">
        <v>85</v>
      </c>
      <c r="M16" s="5" t="s">
        <v>92</v>
      </c>
      <c r="O16" s="72" t="s">
        <v>93</v>
      </c>
      <c r="P16" s="69"/>
      <c r="Q16" s="61">
        <f>Q15/Q14</f>
        <v>0</v>
      </c>
    </row>
    <row r="17" spans="1:22" ht="16" x14ac:dyDescent="0.2">
      <c r="A17" s="11"/>
      <c r="B17" s="9"/>
      <c r="C17" s="9">
        <v>91786</v>
      </c>
      <c r="D17" s="9">
        <v>1</v>
      </c>
      <c r="E17" s="9">
        <v>10366859</v>
      </c>
      <c r="F17" s="9" t="s">
        <v>914</v>
      </c>
      <c r="G17" s="9" t="s">
        <v>92</v>
      </c>
      <c r="H17" s="9" t="s">
        <v>92</v>
      </c>
      <c r="I17" s="9" t="s">
        <v>74</v>
      </c>
      <c r="J17" s="9" t="s">
        <v>74</v>
      </c>
      <c r="K17" s="13" t="s">
        <v>74</v>
      </c>
      <c r="M17" s="5" t="s">
        <v>98</v>
      </c>
      <c r="O17" s="76" t="s">
        <v>99</v>
      </c>
      <c r="P17" s="76"/>
      <c r="Q17" s="60">
        <v>49</v>
      </c>
      <c r="S17" t="s">
        <v>930</v>
      </c>
    </row>
    <row r="18" spans="1:22" ht="16" x14ac:dyDescent="0.2">
      <c r="A18" s="12"/>
      <c r="C18" s="4">
        <v>91711</v>
      </c>
      <c r="D18" s="4">
        <v>1</v>
      </c>
      <c r="E18" s="4">
        <v>10042755</v>
      </c>
      <c r="F18" s="4" t="s">
        <v>914</v>
      </c>
      <c r="G18" s="4" t="s">
        <v>92</v>
      </c>
      <c r="H18" s="4" t="s">
        <v>113</v>
      </c>
      <c r="I18" s="4" t="s">
        <v>92</v>
      </c>
      <c r="J18" s="4" t="s">
        <v>113</v>
      </c>
      <c r="K18" s="14" t="s">
        <v>191</v>
      </c>
      <c r="M18" s="5" t="s">
        <v>103</v>
      </c>
      <c r="O18" s="69" t="s">
        <v>104</v>
      </c>
      <c r="P18" s="70"/>
      <c r="Q18" s="4">
        <f>AVERAGE(D2:D422)</f>
        <v>14.179572446555822</v>
      </c>
      <c r="S18" t="s">
        <v>105</v>
      </c>
      <c r="T18">
        <f>(N4*N10+O4*O10+P4*P10+Q4*Q10+R4*R10+T4*T10+V4*V10)*833/421</f>
        <v>46770.674584323038</v>
      </c>
    </row>
    <row r="19" spans="1:22" ht="16" x14ac:dyDescent="0.2">
      <c r="A19" s="12"/>
      <c r="C19" s="4">
        <v>91711</v>
      </c>
      <c r="D19" s="4">
        <v>1</v>
      </c>
      <c r="E19" s="4">
        <v>10348203</v>
      </c>
      <c r="F19" s="4" t="s">
        <v>914</v>
      </c>
      <c r="G19" s="4" t="s">
        <v>933</v>
      </c>
      <c r="H19" s="4" t="s">
        <v>98</v>
      </c>
      <c r="I19" s="4" t="s">
        <v>98</v>
      </c>
      <c r="J19" s="4" t="s">
        <v>933</v>
      </c>
      <c r="K19" s="14" t="s">
        <v>933</v>
      </c>
      <c r="M19" s="5" t="s">
        <v>108</v>
      </c>
      <c r="O19" s="69" t="s">
        <v>109</v>
      </c>
      <c r="P19" s="70"/>
      <c r="Q19" s="4">
        <f>MEDIAN(D2:D422)</f>
        <v>10</v>
      </c>
      <c r="S19" t="s">
        <v>110</v>
      </c>
      <c r="T19">
        <f>T18*49</f>
        <v>2291763.0546318288</v>
      </c>
    </row>
    <row r="20" spans="1:22" ht="16" x14ac:dyDescent="0.2">
      <c r="A20" s="12"/>
      <c r="C20" s="4">
        <v>91711</v>
      </c>
      <c r="D20" s="4">
        <v>1</v>
      </c>
      <c r="E20" s="4">
        <v>10257033</v>
      </c>
      <c r="F20" s="4" t="s">
        <v>914</v>
      </c>
      <c r="G20" s="4" t="s">
        <v>191</v>
      </c>
      <c r="H20" s="4" t="s">
        <v>191</v>
      </c>
      <c r="I20" s="4" t="s">
        <v>191</v>
      </c>
      <c r="J20" s="4" t="s">
        <v>191</v>
      </c>
      <c r="K20" s="14" t="s">
        <v>191</v>
      </c>
      <c r="M20" s="5" t="s">
        <v>113</v>
      </c>
      <c r="O20" s="69" t="s">
        <v>114</v>
      </c>
      <c r="P20" s="70"/>
      <c r="Q20" s="4" t="e">
        <f>SUM(D2:D1000)*(Q14/Q15)</f>
        <v>#DIV/0!</v>
      </c>
      <c r="S20" t="s">
        <v>115</v>
      </c>
      <c r="T20">
        <f>1227.3/(T19)</f>
        <v>5.3552656655300062E-4</v>
      </c>
    </row>
    <row r="21" spans="1:22" ht="16" x14ac:dyDescent="0.2">
      <c r="A21" s="12"/>
      <c r="C21" s="4">
        <v>91711</v>
      </c>
      <c r="D21" s="4">
        <v>1</v>
      </c>
      <c r="E21" s="4">
        <v>10374423</v>
      </c>
      <c r="F21" s="4" t="s">
        <v>914</v>
      </c>
      <c r="G21" s="4" t="s">
        <v>92</v>
      </c>
      <c r="H21" s="4" t="s">
        <v>92</v>
      </c>
      <c r="I21" s="4" t="s">
        <v>92</v>
      </c>
      <c r="J21" s="4" t="s">
        <v>92</v>
      </c>
      <c r="K21" s="14" t="s">
        <v>92</v>
      </c>
      <c r="M21" s="5" t="s">
        <v>118</v>
      </c>
      <c r="O21" s="69" t="s">
        <v>119</v>
      </c>
      <c r="P21" s="70"/>
      <c r="Q21" s="61" t="e">
        <f>COUNTIF(D:D,"&lt;=5")/Q15</f>
        <v>#DIV/0!</v>
      </c>
    </row>
    <row r="22" spans="1:22" ht="16" x14ac:dyDescent="0.2">
      <c r="A22" s="11"/>
      <c r="B22" s="9"/>
      <c r="C22" s="9">
        <v>91786</v>
      </c>
      <c r="D22" s="9">
        <v>1</v>
      </c>
      <c r="E22" s="9">
        <v>10105644</v>
      </c>
      <c r="F22" s="9" t="s">
        <v>914</v>
      </c>
      <c r="G22" s="9" t="s">
        <v>113</v>
      </c>
      <c r="H22" s="9" t="s">
        <v>92</v>
      </c>
      <c r="I22" s="9" t="s">
        <v>92</v>
      </c>
      <c r="J22" s="9" t="s">
        <v>113</v>
      </c>
      <c r="K22" s="13" t="s">
        <v>113</v>
      </c>
      <c r="M22" s="5" t="s">
        <v>125</v>
      </c>
      <c r="T22" t="s">
        <v>126</v>
      </c>
      <c r="U22" t="s">
        <v>127</v>
      </c>
      <c r="V22" t="s">
        <v>128</v>
      </c>
    </row>
    <row r="23" spans="1:22" ht="16" x14ac:dyDescent="0.2">
      <c r="A23" s="12"/>
      <c r="C23" s="4">
        <v>91763</v>
      </c>
      <c r="D23" s="4">
        <v>1</v>
      </c>
      <c r="E23" s="4">
        <v>10042835</v>
      </c>
      <c r="F23" s="4" t="s">
        <v>914</v>
      </c>
      <c r="G23" s="4" t="s">
        <v>113</v>
      </c>
      <c r="H23" s="4" t="s">
        <v>113</v>
      </c>
      <c r="I23" s="4" t="s">
        <v>113</v>
      </c>
      <c r="J23" s="4" t="s">
        <v>113</v>
      </c>
      <c r="K23" s="14" t="s">
        <v>113</v>
      </c>
      <c r="M23" s="5" t="s">
        <v>132</v>
      </c>
      <c r="S23" t="s">
        <v>133</v>
      </c>
      <c r="T23">
        <f>N4*N10</f>
        <v>17788.599999999999</v>
      </c>
      <c r="U23" t="e">
        <f>T23*(833/Q15)</f>
        <v>#DIV/0!</v>
      </c>
      <c r="V23" t="e">
        <f>U23*49</f>
        <v>#DIV/0!</v>
      </c>
    </row>
    <row r="24" spans="1:22" ht="16" x14ac:dyDescent="0.2">
      <c r="A24" s="12"/>
      <c r="C24" s="4">
        <v>91767</v>
      </c>
      <c r="D24" s="4">
        <v>1</v>
      </c>
      <c r="E24" s="4">
        <v>10148493</v>
      </c>
      <c r="F24" s="4" t="s">
        <v>914</v>
      </c>
      <c r="G24" s="4" t="s">
        <v>113</v>
      </c>
      <c r="H24" s="4" t="s">
        <v>113</v>
      </c>
      <c r="I24" s="4" t="s">
        <v>113</v>
      </c>
      <c r="J24" s="4" t="s">
        <v>113</v>
      </c>
      <c r="K24" s="14" t="s">
        <v>113</v>
      </c>
      <c r="M24" s="5" t="s">
        <v>138</v>
      </c>
    </row>
    <row r="25" spans="1:22" ht="16" x14ac:dyDescent="0.2">
      <c r="A25" s="11"/>
      <c r="B25" s="9"/>
      <c r="C25" s="9">
        <v>91711</v>
      </c>
      <c r="D25" s="9">
        <v>1</v>
      </c>
      <c r="E25" s="9">
        <v>10290464</v>
      </c>
      <c r="F25" s="9" t="s">
        <v>914</v>
      </c>
      <c r="G25" s="9" t="s">
        <v>113</v>
      </c>
      <c r="H25" s="9" t="s">
        <v>113</v>
      </c>
      <c r="I25" s="9" t="s">
        <v>113</v>
      </c>
      <c r="J25" s="9" t="s">
        <v>113</v>
      </c>
      <c r="K25" s="13" t="s">
        <v>113</v>
      </c>
      <c r="M25" s="5" t="s">
        <v>142</v>
      </c>
    </row>
    <row r="26" spans="1:22" ht="16" x14ac:dyDescent="0.2">
      <c r="A26" s="12"/>
      <c r="C26" s="4">
        <v>91711</v>
      </c>
      <c r="D26" s="4">
        <v>1</v>
      </c>
      <c r="E26" s="4">
        <v>10364773</v>
      </c>
      <c r="F26" s="4" t="s">
        <v>914</v>
      </c>
      <c r="G26" s="4" t="s">
        <v>933</v>
      </c>
      <c r="H26" s="4" t="s">
        <v>933</v>
      </c>
      <c r="I26" s="4" t="s">
        <v>933</v>
      </c>
      <c r="J26" s="4" t="s">
        <v>933</v>
      </c>
      <c r="K26" s="14" t="s">
        <v>933</v>
      </c>
      <c r="M26" s="5" t="s">
        <v>147</v>
      </c>
    </row>
    <row r="27" spans="1:22" ht="16" x14ac:dyDescent="0.2">
      <c r="A27" s="11"/>
      <c r="B27" s="9"/>
      <c r="C27" s="9">
        <v>91711</v>
      </c>
      <c r="D27" s="9">
        <v>1</v>
      </c>
      <c r="E27" s="9">
        <v>103780071</v>
      </c>
      <c r="F27" s="9" t="s">
        <v>914</v>
      </c>
      <c r="G27" s="9" t="s">
        <v>113</v>
      </c>
      <c r="H27" s="9" t="s">
        <v>113</v>
      </c>
      <c r="I27" s="9" t="s">
        <v>113</v>
      </c>
      <c r="J27" s="9" t="s">
        <v>92</v>
      </c>
      <c r="K27" s="13" t="s">
        <v>92</v>
      </c>
      <c r="M27" s="5" t="s">
        <v>152</v>
      </c>
    </row>
    <row r="28" spans="1:22" ht="16" x14ac:dyDescent="0.2">
      <c r="A28" s="12"/>
      <c r="C28" s="4">
        <v>91711</v>
      </c>
      <c r="D28" s="4">
        <v>1</v>
      </c>
      <c r="E28" s="4">
        <v>10105699</v>
      </c>
      <c r="F28" s="4" t="s">
        <v>914</v>
      </c>
      <c r="G28" s="4" t="s">
        <v>933</v>
      </c>
      <c r="H28" s="4" t="s">
        <v>933</v>
      </c>
      <c r="I28" s="4" t="s">
        <v>103</v>
      </c>
      <c r="J28" s="4" t="s">
        <v>103</v>
      </c>
      <c r="K28" s="14" t="s">
        <v>933</v>
      </c>
      <c r="M28" s="5" t="s">
        <v>154</v>
      </c>
    </row>
    <row r="29" spans="1:22" ht="16" x14ac:dyDescent="0.2">
      <c r="A29" s="11"/>
      <c r="B29" s="9"/>
      <c r="C29" s="9">
        <v>91711</v>
      </c>
      <c r="D29" s="9">
        <v>1</v>
      </c>
      <c r="E29" s="9">
        <v>10368798</v>
      </c>
      <c r="F29" s="9" t="s">
        <v>914</v>
      </c>
      <c r="G29" s="9" t="s">
        <v>113</v>
      </c>
      <c r="H29" s="9" t="s">
        <v>113</v>
      </c>
      <c r="I29" s="9" t="s">
        <v>113</v>
      </c>
      <c r="J29" s="9" t="s">
        <v>113</v>
      </c>
      <c r="K29" s="13" t="s">
        <v>113</v>
      </c>
      <c r="M29" s="5" t="s">
        <v>158</v>
      </c>
    </row>
    <row r="30" spans="1:22" ht="16" x14ac:dyDescent="0.2">
      <c r="A30" s="12"/>
      <c r="C30" s="4">
        <v>91711</v>
      </c>
      <c r="D30" s="4">
        <v>1</v>
      </c>
      <c r="E30" s="4">
        <v>10363207</v>
      </c>
      <c r="F30" s="4" t="s">
        <v>914</v>
      </c>
      <c r="G30" s="4" t="s">
        <v>103</v>
      </c>
      <c r="H30" s="4" t="s">
        <v>92</v>
      </c>
      <c r="I30" s="4" t="s">
        <v>92</v>
      </c>
      <c r="J30" s="4" t="s">
        <v>92</v>
      </c>
      <c r="K30" s="14" t="s">
        <v>92</v>
      </c>
      <c r="M30" s="5" t="s">
        <v>162</v>
      </c>
    </row>
    <row r="31" spans="1:22" ht="16" x14ac:dyDescent="0.2">
      <c r="A31" s="12"/>
      <c r="C31" s="4">
        <v>91711</v>
      </c>
      <c r="D31" s="4">
        <v>1</v>
      </c>
      <c r="E31" s="4">
        <v>100132351</v>
      </c>
      <c r="F31" s="4" t="s">
        <v>919</v>
      </c>
      <c r="G31" s="4" t="s">
        <v>202</v>
      </c>
      <c r="H31" s="4" t="s">
        <v>202</v>
      </c>
      <c r="I31" s="4" t="s">
        <v>202</v>
      </c>
      <c r="J31" s="4" t="s">
        <v>202</v>
      </c>
      <c r="K31" s="14" t="s">
        <v>202</v>
      </c>
      <c r="M31" s="5" t="s">
        <v>165</v>
      </c>
    </row>
    <row r="32" spans="1:22" ht="16" x14ac:dyDescent="0.2">
      <c r="A32" s="12"/>
      <c r="C32" s="4">
        <v>91763</v>
      </c>
      <c r="D32" s="4">
        <v>1</v>
      </c>
      <c r="E32" s="4">
        <v>10043602</v>
      </c>
      <c r="F32" s="4" t="s">
        <v>914</v>
      </c>
      <c r="G32" s="4" t="s">
        <v>92</v>
      </c>
      <c r="H32" s="4" t="s">
        <v>92</v>
      </c>
      <c r="I32" s="4" t="s">
        <v>92</v>
      </c>
      <c r="J32" s="4" t="s">
        <v>92</v>
      </c>
      <c r="K32" s="14" t="s">
        <v>92</v>
      </c>
      <c r="M32" s="5" t="s">
        <v>167</v>
      </c>
    </row>
    <row r="33" spans="1:13" ht="16" x14ac:dyDescent="0.2">
      <c r="A33" s="12"/>
      <c r="C33" s="4">
        <v>91786</v>
      </c>
      <c r="D33" s="4">
        <v>1</v>
      </c>
      <c r="E33" s="4">
        <v>103731181</v>
      </c>
      <c r="F33" s="4" t="s">
        <v>914</v>
      </c>
      <c r="G33" s="4" t="s">
        <v>98</v>
      </c>
      <c r="H33" s="4" t="s">
        <v>92</v>
      </c>
      <c r="I33" s="4" t="s">
        <v>98</v>
      </c>
      <c r="J33" s="4" t="s">
        <v>191</v>
      </c>
      <c r="K33" s="14" t="s">
        <v>191</v>
      </c>
      <c r="M33" s="5" t="s">
        <v>169</v>
      </c>
    </row>
    <row r="34" spans="1:13" ht="16" x14ac:dyDescent="0.2">
      <c r="A34" s="11"/>
      <c r="B34" s="9"/>
      <c r="C34" s="9">
        <v>91711</v>
      </c>
      <c r="D34" s="9">
        <v>1</v>
      </c>
      <c r="E34" s="9">
        <v>10355937</v>
      </c>
      <c r="F34" s="9" t="s">
        <v>914</v>
      </c>
      <c r="G34" s="9" t="s">
        <v>92</v>
      </c>
      <c r="H34" s="9" t="s">
        <v>92</v>
      </c>
      <c r="I34" s="9" t="s">
        <v>98</v>
      </c>
      <c r="J34" s="9" t="s">
        <v>98</v>
      </c>
      <c r="K34" s="13" t="s">
        <v>92</v>
      </c>
      <c r="M34" s="5" t="s">
        <v>174</v>
      </c>
    </row>
    <row r="35" spans="1:13" ht="16" x14ac:dyDescent="0.2">
      <c r="A35" s="11"/>
      <c r="B35" s="9"/>
      <c r="C35" s="9">
        <v>91711</v>
      </c>
      <c r="D35" s="9">
        <v>1</v>
      </c>
      <c r="E35" s="9">
        <v>100436878</v>
      </c>
      <c r="F35" s="9" t="s">
        <v>914</v>
      </c>
      <c r="G35" s="9" t="s">
        <v>92</v>
      </c>
      <c r="H35" s="9" t="s">
        <v>103</v>
      </c>
      <c r="I35" s="9" t="s">
        <v>92</v>
      </c>
      <c r="J35" s="9" t="s">
        <v>92</v>
      </c>
      <c r="K35" s="13" t="s">
        <v>103</v>
      </c>
      <c r="M35" s="5" t="s">
        <v>176</v>
      </c>
    </row>
    <row r="36" spans="1:13" ht="16" x14ac:dyDescent="0.2">
      <c r="A36" s="12"/>
      <c r="C36" s="4">
        <v>91786</v>
      </c>
      <c r="D36" s="4">
        <v>1</v>
      </c>
      <c r="E36" s="4">
        <v>103582192</v>
      </c>
      <c r="F36" s="4" t="s">
        <v>914</v>
      </c>
      <c r="G36" s="4" t="s">
        <v>74</v>
      </c>
      <c r="H36" s="4" t="s">
        <v>74</v>
      </c>
      <c r="I36" s="4" t="s">
        <v>74</v>
      </c>
      <c r="J36" s="4" t="s">
        <v>74</v>
      </c>
      <c r="K36" s="14" t="s">
        <v>74</v>
      </c>
      <c r="M36" s="5" t="s">
        <v>179</v>
      </c>
    </row>
    <row r="37" spans="1:13" ht="16" x14ac:dyDescent="0.2">
      <c r="A37" s="11"/>
      <c r="B37" s="9"/>
      <c r="C37" s="9">
        <v>91711</v>
      </c>
      <c r="D37" s="9">
        <v>1</v>
      </c>
      <c r="E37" s="9">
        <v>103702131</v>
      </c>
      <c r="F37" s="9" t="s">
        <v>914</v>
      </c>
      <c r="G37" s="9" t="s">
        <v>113</v>
      </c>
      <c r="H37" s="9" t="s">
        <v>191</v>
      </c>
      <c r="I37" s="9" t="s">
        <v>191</v>
      </c>
      <c r="J37" s="9" t="s">
        <v>191</v>
      </c>
      <c r="K37" s="13" t="s">
        <v>191</v>
      </c>
      <c r="M37" s="5" t="s">
        <v>183</v>
      </c>
    </row>
    <row r="38" spans="1:13" ht="16" x14ac:dyDescent="0.2">
      <c r="A38" s="11"/>
      <c r="B38" s="9"/>
      <c r="C38" s="9">
        <v>91711</v>
      </c>
      <c r="D38" s="9">
        <v>1</v>
      </c>
      <c r="E38" s="9">
        <v>10042947</v>
      </c>
      <c r="F38" s="9" t="s">
        <v>914</v>
      </c>
      <c r="G38" s="9" t="s">
        <v>113</v>
      </c>
      <c r="H38" s="9" t="s">
        <v>113</v>
      </c>
      <c r="I38" s="9" t="s">
        <v>113</v>
      </c>
      <c r="J38" s="9" t="s">
        <v>113</v>
      </c>
      <c r="K38" s="13" t="s">
        <v>113</v>
      </c>
      <c r="M38" s="5" t="s">
        <v>187</v>
      </c>
    </row>
    <row r="39" spans="1:13" ht="16" x14ac:dyDescent="0.2">
      <c r="A39" s="12"/>
      <c r="C39" s="4">
        <v>91763</v>
      </c>
      <c r="D39" s="4">
        <v>1</v>
      </c>
      <c r="E39" s="4">
        <v>10042609</v>
      </c>
      <c r="F39" s="4" t="s">
        <v>914</v>
      </c>
      <c r="G39" s="4" t="s">
        <v>113</v>
      </c>
      <c r="H39" s="4" t="s">
        <v>113</v>
      </c>
      <c r="I39" s="4" t="s">
        <v>113</v>
      </c>
      <c r="J39" s="4" t="s">
        <v>113</v>
      </c>
      <c r="K39" s="14" t="s">
        <v>113</v>
      </c>
      <c r="M39" s="5" t="s">
        <v>191</v>
      </c>
    </row>
    <row r="40" spans="1:13" ht="16" x14ac:dyDescent="0.2">
      <c r="A40" s="12"/>
      <c r="C40" s="4">
        <v>91750</v>
      </c>
      <c r="D40" s="4">
        <v>1</v>
      </c>
      <c r="E40" s="4">
        <v>10370581</v>
      </c>
      <c r="F40" s="4" t="s">
        <v>914</v>
      </c>
      <c r="G40" s="4" t="s">
        <v>113</v>
      </c>
      <c r="H40" s="4" t="s">
        <v>113</v>
      </c>
      <c r="I40" s="4" t="s">
        <v>113</v>
      </c>
      <c r="J40" s="4" t="s">
        <v>113</v>
      </c>
      <c r="K40" s="14" t="s">
        <v>113</v>
      </c>
      <c r="M40" s="5" t="s">
        <v>195</v>
      </c>
    </row>
    <row r="41" spans="1:13" ht="16" x14ac:dyDescent="0.2">
      <c r="A41" s="12"/>
      <c r="C41" s="4">
        <v>91711</v>
      </c>
      <c r="D41" s="4">
        <v>1</v>
      </c>
      <c r="E41" s="4">
        <v>10351831</v>
      </c>
      <c r="F41" s="4" t="s">
        <v>914</v>
      </c>
      <c r="G41" s="4" t="s">
        <v>98</v>
      </c>
      <c r="H41" s="4" t="s">
        <v>98</v>
      </c>
      <c r="I41" s="4" t="s">
        <v>98</v>
      </c>
      <c r="J41" s="4" t="s">
        <v>98</v>
      </c>
      <c r="K41" s="14" t="s">
        <v>98</v>
      </c>
      <c r="M41" s="5" t="s">
        <v>199</v>
      </c>
    </row>
    <row r="42" spans="1:13" ht="16" x14ac:dyDescent="0.2">
      <c r="A42" s="12"/>
      <c r="C42" s="4">
        <v>91711</v>
      </c>
      <c r="D42" s="4">
        <v>1.2</v>
      </c>
      <c r="E42" s="4">
        <v>100067671</v>
      </c>
      <c r="F42" s="4" t="s">
        <v>914</v>
      </c>
      <c r="G42" s="4" t="s">
        <v>92</v>
      </c>
      <c r="H42" s="4" t="s">
        <v>92</v>
      </c>
      <c r="I42" s="4" t="s">
        <v>92</v>
      </c>
      <c r="J42" s="4" t="s">
        <v>92</v>
      </c>
      <c r="K42" s="14" t="s">
        <v>92</v>
      </c>
      <c r="M42" s="6" t="s">
        <v>202</v>
      </c>
    </row>
    <row r="43" spans="1:13" x14ac:dyDescent="0.2">
      <c r="A43" s="12"/>
      <c r="C43" s="4">
        <v>91711</v>
      </c>
      <c r="D43" s="4">
        <v>1.2</v>
      </c>
      <c r="E43" s="4">
        <v>119251</v>
      </c>
      <c r="F43" s="4" t="s">
        <v>914</v>
      </c>
      <c r="G43" s="4" t="s">
        <v>92</v>
      </c>
      <c r="H43" s="4" t="s">
        <v>92</v>
      </c>
      <c r="I43" s="4" t="s">
        <v>113</v>
      </c>
      <c r="J43" s="4" t="s">
        <v>103</v>
      </c>
      <c r="K43" s="14" t="s">
        <v>103</v>
      </c>
    </row>
    <row r="44" spans="1:13" x14ac:dyDescent="0.2">
      <c r="A44" s="12"/>
      <c r="C44" s="4">
        <v>91711</v>
      </c>
      <c r="D44" s="4">
        <v>1.2</v>
      </c>
      <c r="E44" s="4">
        <v>103664621</v>
      </c>
      <c r="F44" s="4" t="s">
        <v>919</v>
      </c>
      <c r="G44" s="4" t="s">
        <v>113</v>
      </c>
      <c r="H44" s="4" t="s">
        <v>113</v>
      </c>
      <c r="I44" s="4" t="s">
        <v>113</v>
      </c>
      <c r="J44" s="4" t="s">
        <v>113</v>
      </c>
      <c r="K44" s="14" t="s">
        <v>113</v>
      </c>
    </row>
    <row r="45" spans="1:13" x14ac:dyDescent="0.2">
      <c r="A45" s="12"/>
      <c r="C45" s="4">
        <v>91711</v>
      </c>
      <c r="D45" s="4">
        <v>1.25</v>
      </c>
      <c r="E45" s="4">
        <v>10109674</v>
      </c>
      <c r="F45" s="4" t="s">
        <v>914</v>
      </c>
      <c r="G45" s="4" t="s">
        <v>113</v>
      </c>
      <c r="H45" s="4" t="s">
        <v>98</v>
      </c>
      <c r="I45" s="4" t="s">
        <v>113</v>
      </c>
      <c r="J45" s="4" t="s">
        <v>92</v>
      </c>
      <c r="K45" s="14" t="s">
        <v>92</v>
      </c>
    </row>
    <row r="46" spans="1:13" x14ac:dyDescent="0.2">
      <c r="A46" s="11"/>
      <c r="B46" s="9"/>
      <c r="C46" s="9">
        <v>91711</v>
      </c>
      <c r="D46" s="9">
        <v>1.5</v>
      </c>
      <c r="E46" s="9">
        <v>102039821</v>
      </c>
      <c r="F46" s="9" t="s">
        <v>914</v>
      </c>
      <c r="G46" s="9" t="s">
        <v>92</v>
      </c>
      <c r="H46" s="9" t="s">
        <v>113</v>
      </c>
      <c r="I46" s="9" t="s">
        <v>92</v>
      </c>
      <c r="J46" s="9" t="s">
        <v>113</v>
      </c>
      <c r="K46" s="13" t="s">
        <v>113</v>
      </c>
    </row>
    <row r="47" spans="1:13" x14ac:dyDescent="0.2">
      <c r="A47" s="12"/>
      <c r="C47" s="4">
        <v>91711</v>
      </c>
      <c r="D47" s="4">
        <v>1.5</v>
      </c>
      <c r="E47" s="4">
        <v>100132311</v>
      </c>
      <c r="F47" s="4" t="s">
        <v>914</v>
      </c>
      <c r="G47" s="4" t="s">
        <v>98</v>
      </c>
      <c r="H47" s="4" t="s">
        <v>98</v>
      </c>
      <c r="I47" s="4" t="s">
        <v>98</v>
      </c>
      <c r="J47" s="4" t="s">
        <v>98</v>
      </c>
      <c r="K47" s="14" t="s">
        <v>933</v>
      </c>
    </row>
    <row r="48" spans="1:13" x14ac:dyDescent="0.2">
      <c r="A48" s="11"/>
      <c r="B48" s="9"/>
      <c r="C48" s="9">
        <v>91711</v>
      </c>
      <c r="D48" s="9">
        <v>1.5</v>
      </c>
      <c r="E48" s="9">
        <v>10358850</v>
      </c>
      <c r="F48" s="9" t="s">
        <v>914</v>
      </c>
      <c r="G48" s="9" t="s">
        <v>98</v>
      </c>
      <c r="H48" s="9" t="s">
        <v>98</v>
      </c>
      <c r="I48" s="9" t="s">
        <v>98</v>
      </c>
      <c r="J48" s="9" t="s">
        <v>98</v>
      </c>
      <c r="K48" s="13" t="s">
        <v>98</v>
      </c>
    </row>
    <row r="49" spans="1:11" x14ac:dyDescent="0.2">
      <c r="A49" s="11"/>
      <c r="B49" s="9"/>
      <c r="C49" s="9">
        <v>91711</v>
      </c>
      <c r="D49" s="9">
        <v>1.5</v>
      </c>
      <c r="E49" s="9">
        <v>10031840</v>
      </c>
      <c r="F49" s="9" t="s">
        <v>914</v>
      </c>
      <c r="G49" s="9" t="s">
        <v>113</v>
      </c>
      <c r="H49" s="9" t="s">
        <v>113</v>
      </c>
      <c r="I49" s="9" t="s">
        <v>113</v>
      </c>
      <c r="J49" s="9" t="s">
        <v>113</v>
      </c>
      <c r="K49" s="13" t="s">
        <v>113</v>
      </c>
    </row>
    <row r="50" spans="1:11" x14ac:dyDescent="0.2">
      <c r="A50" s="12"/>
      <c r="C50" s="4">
        <v>91711</v>
      </c>
      <c r="D50" s="4">
        <v>1.5</v>
      </c>
      <c r="E50" s="4">
        <v>102563492</v>
      </c>
      <c r="F50" s="4" t="s">
        <v>914</v>
      </c>
      <c r="G50" s="4" t="s">
        <v>113</v>
      </c>
      <c r="H50" s="4" t="s">
        <v>113</v>
      </c>
      <c r="I50" s="4" t="s">
        <v>113</v>
      </c>
      <c r="J50" s="4" t="s">
        <v>113</v>
      </c>
      <c r="K50" s="14" t="s">
        <v>113</v>
      </c>
    </row>
    <row r="51" spans="1:11" x14ac:dyDescent="0.2">
      <c r="A51" s="12"/>
      <c r="C51" s="4">
        <v>91763</v>
      </c>
      <c r="D51" s="4">
        <v>1.5</v>
      </c>
      <c r="E51" s="4">
        <v>10285299</v>
      </c>
      <c r="F51" s="4" t="s">
        <v>914</v>
      </c>
      <c r="G51" s="4" t="s">
        <v>113</v>
      </c>
      <c r="H51" s="4" t="s">
        <v>113</v>
      </c>
      <c r="I51" s="4" t="s">
        <v>113</v>
      </c>
      <c r="J51" s="4" t="s">
        <v>113</v>
      </c>
      <c r="K51" s="14" t="s">
        <v>113</v>
      </c>
    </row>
    <row r="52" spans="1:11" x14ac:dyDescent="0.2">
      <c r="A52" s="12"/>
      <c r="C52" s="4">
        <v>91786</v>
      </c>
      <c r="D52" s="4">
        <v>1.5</v>
      </c>
      <c r="E52" s="4">
        <v>10358577</v>
      </c>
      <c r="F52" s="4" t="s">
        <v>919</v>
      </c>
      <c r="G52" s="4" t="s">
        <v>92</v>
      </c>
      <c r="H52" s="4" t="s">
        <v>92</v>
      </c>
      <c r="I52" s="4" t="s">
        <v>92</v>
      </c>
      <c r="J52" s="4" t="s">
        <v>92</v>
      </c>
      <c r="K52" s="14" t="s">
        <v>92</v>
      </c>
    </row>
    <row r="53" spans="1:11" x14ac:dyDescent="0.2">
      <c r="A53" s="11"/>
      <c r="B53" s="9"/>
      <c r="C53" s="9">
        <v>91711</v>
      </c>
      <c r="D53" s="9">
        <v>1.6</v>
      </c>
      <c r="E53" s="9">
        <v>10357480</v>
      </c>
      <c r="F53" s="9" t="s">
        <v>919</v>
      </c>
      <c r="G53" s="9" t="s">
        <v>113</v>
      </c>
      <c r="H53" s="9" t="s">
        <v>113</v>
      </c>
      <c r="I53" s="9" t="s">
        <v>113</v>
      </c>
      <c r="J53" s="9" t="s">
        <v>113</v>
      </c>
      <c r="K53" s="13" t="s">
        <v>113</v>
      </c>
    </row>
    <row r="54" spans="1:11" x14ac:dyDescent="0.2">
      <c r="A54" s="11"/>
      <c r="B54" s="9"/>
      <c r="C54" s="9">
        <v>91767</v>
      </c>
      <c r="D54" s="9">
        <v>2</v>
      </c>
      <c r="E54" s="9">
        <v>10345269</v>
      </c>
      <c r="F54" s="9" t="s">
        <v>914</v>
      </c>
      <c r="G54" s="9" t="s">
        <v>113</v>
      </c>
      <c r="H54" s="9" t="s">
        <v>113</v>
      </c>
      <c r="I54" s="9" t="s">
        <v>113</v>
      </c>
      <c r="J54" s="9" t="s">
        <v>113</v>
      </c>
      <c r="K54" s="13" t="s">
        <v>113</v>
      </c>
    </row>
    <row r="55" spans="1:11" x14ac:dyDescent="0.2">
      <c r="A55" s="11"/>
      <c r="B55" s="9"/>
      <c r="C55" s="9">
        <v>91711</v>
      </c>
      <c r="D55" s="9">
        <v>2</v>
      </c>
      <c r="E55" s="9">
        <v>10044199</v>
      </c>
      <c r="F55" s="9" t="s">
        <v>914</v>
      </c>
      <c r="G55" s="9" t="s">
        <v>98</v>
      </c>
      <c r="H55" s="9" t="s">
        <v>98</v>
      </c>
      <c r="I55" s="9" t="s">
        <v>98</v>
      </c>
      <c r="J55" s="9" t="s">
        <v>113</v>
      </c>
      <c r="K55" s="13" t="s">
        <v>202</v>
      </c>
    </row>
    <row r="56" spans="1:11" x14ac:dyDescent="0.2">
      <c r="A56" s="11"/>
      <c r="B56" s="9"/>
      <c r="C56" s="9">
        <v>91711</v>
      </c>
      <c r="D56" s="9">
        <v>2</v>
      </c>
      <c r="E56" s="9">
        <v>103706336</v>
      </c>
      <c r="F56" s="9" t="s">
        <v>919</v>
      </c>
      <c r="G56" s="9" t="s">
        <v>113</v>
      </c>
      <c r="H56" s="9" t="s">
        <v>113</v>
      </c>
      <c r="I56" s="9" t="s">
        <v>113</v>
      </c>
      <c r="J56" s="9" t="s">
        <v>113</v>
      </c>
      <c r="K56" s="13" t="s">
        <v>113</v>
      </c>
    </row>
    <row r="57" spans="1:11" x14ac:dyDescent="0.2">
      <c r="A57" s="12"/>
      <c r="C57" s="4">
        <v>91763</v>
      </c>
      <c r="D57" s="4">
        <v>2</v>
      </c>
      <c r="E57" s="4">
        <v>10373435</v>
      </c>
      <c r="F57" s="4" t="s">
        <v>919</v>
      </c>
      <c r="G57" s="4" t="s">
        <v>933</v>
      </c>
      <c r="H57" s="4" t="s">
        <v>933</v>
      </c>
      <c r="I57" s="4" t="s">
        <v>933</v>
      </c>
      <c r="J57" s="4" t="s">
        <v>933</v>
      </c>
      <c r="K57" s="14" t="s">
        <v>933</v>
      </c>
    </row>
    <row r="58" spans="1:11" x14ac:dyDescent="0.2">
      <c r="A58" s="12"/>
      <c r="C58" s="4">
        <v>91763</v>
      </c>
      <c r="D58" s="4">
        <v>2</v>
      </c>
      <c r="E58" s="4">
        <v>10362526</v>
      </c>
      <c r="F58" s="4" t="s">
        <v>914</v>
      </c>
      <c r="G58" s="4" t="s">
        <v>113</v>
      </c>
      <c r="H58" s="4" t="s">
        <v>113</v>
      </c>
      <c r="I58" s="4" t="s">
        <v>113</v>
      </c>
      <c r="J58" s="4" t="s">
        <v>113</v>
      </c>
      <c r="K58" s="14" t="s">
        <v>113</v>
      </c>
    </row>
    <row r="59" spans="1:11" x14ac:dyDescent="0.2">
      <c r="A59" s="11"/>
      <c r="B59" s="9"/>
      <c r="C59" s="9">
        <v>91711</v>
      </c>
      <c r="D59" s="9">
        <v>2</v>
      </c>
      <c r="E59" s="9">
        <v>10358014</v>
      </c>
      <c r="F59" s="9" t="s">
        <v>914</v>
      </c>
      <c r="G59" s="9" t="s">
        <v>113</v>
      </c>
      <c r="H59" s="9" t="s">
        <v>113</v>
      </c>
      <c r="I59" s="9" t="s">
        <v>113</v>
      </c>
      <c r="J59" s="9" t="s">
        <v>191</v>
      </c>
      <c r="K59" s="13" t="s">
        <v>191</v>
      </c>
    </row>
    <row r="60" spans="1:11" x14ac:dyDescent="0.2">
      <c r="A60" s="11"/>
      <c r="B60" s="9"/>
      <c r="C60" s="9">
        <v>91711</v>
      </c>
      <c r="D60" s="9">
        <v>2</v>
      </c>
      <c r="E60" s="9">
        <v>118949</v>
      </c>
      <c r="F60" s="9" t="s">
        <v>914</v>
      </c>
      <c r="G60" s="9" t="s">
        <v>113</v>
      </c>
      <c r="H60" s="9" t="s">
        <v>113</v>
      </c>
      <c r="I60" s="9" t="s">
        <v>113</v>
      </c>
      <c r="J60" s="9" t="s">
        <v>113</v>
      </c>
      <c r="K60" s="13" t="s">
        <v>113</v>
      </c>
    </row>
    <row r="61" spans="1:11" x14ac:dyDescent="0.2">
      <c r="A61" s="12"/>
      <c r="C61" s="4">
        <v>91786</v>
      </c>
      <c r="D61" s="4">
        <v>2</v>
      </c>
      <c r="E61" s="4">
        <v>10370979</v>
      </c>
      <c r="F61" s="4" t="s">
        <v>914</v>
      </c>
      <c r="G61" s="4" t="s">
        <v>113</v>
      </c>
      <c r="H61" s="4" t="s">
        <v>103</v>
      </c>
      <c r="I61" s="4" t="s">
        <v>113</v>
      </c>
      <c r="J61" s="4" t="s">
        <v>113</v>
      </c>
      <c r="K61" s="14" t="s">
        <v>103</v>
      </c>
    </row>
    <row r="62" spans="1:11" x14ac:dyDescent="0.2">
      <c r="A62" s="11"/>
      <c r="B62" s="9"/>
      <c r="C62" s="9">
        <v>91763</v>
      </c>
      <c r="D62" s="9">
        <v>2</v>
      </c>
      <c r="E62" s="9">
        <v>10368483</v>
      </c>
      <c r="F62" s="9" t="s">
        <v>914</v>
      </c>
      <c r="G62" s="9" t="s">
        <v>113</v>
      </c>
      <c r="H62" s="9" t="s">
        <v>113</v>
      </c>
      <c r="I62" s="9" t="s">
        <v>74</v>
      </c>
      <c r="J62" s="9" t="s">
        <v>113</v>
      </c>
      <c r="K62" s="13" t="s">
        <v>74</v>
      </c>
    </row>
    <row r="63" spans="1:11" x14ac:dyDescent="0.2">
      <c r="A63" s="11"/>
      <c r="B63" s="9"/>
      <c r="C63" s="9">
        <v>91786</v>
      </c>
      <c r="D63" s="9">
        <v>2</v>
      </c>
      <c r="E63" s="9">
        <v>10043620</v>
      </c>
      <c r="F63" s="9" t="s">
        <v>914</v>
      </c>
      <c r="G63" s="9" t="s">
        <v>113</v>
      </c>
      <c r="H63" s="9" t="s">
        <v>113</v>
      </c>
      <c r="I63" s="9" t="s">
        <v>113</v>
      </c>
      <c r="J63" s="9" t="s">
        <v>113</v>
      </c>
      <c r="K63" s="13" t="s">
        <v>113</v>
      </c>
    </row>
    <row r="64" spans="1:11" x14ac:dyDescent="0.2">
      <c r="A64" s="11"/>
      <c r="B64" s="9"/>
      <c r="C64" s="9">
        <v>91711</v>
      </c>
      <c r="D64" s="9">
        <v>2</v>
      </c>
      <c r="E64" s="9">
        <v>10368863</v>
      </c>
      <c r="F64" s="9" t="s">
        <v>914</v>
      </c>
      <c r="G64" s="9" t="s">
        <v>108</v>
      </c>
      <c r="H64" s="9" t="s">
        <v>108</v>
      </c>
      <c r="I64" s="9" t="s">
        <v>202</v>
      </c>
      <c r="J64" s="9" t="s">
        <v>202</v>
      </c>
      <c r="K64" s="13" t="s">
        <v>108</v>
      </c>
    </row>
    <row r="65" spans="1:11" x14ac:dyDescent="0.2">
      <c r="A65" s="12"/>
      <c r="C65" s="4">
        <v>91786</v>
      </c>
      <c r="D65" s="4">
        <v>2</v>
      </c>
      <c r="E65" s="4">
        <v>10043601</v>
      </c>
      <c r="F65" s="4" t="s">
        <v>914</v>
      </c>
      <c r="G65" s="4" t="s">
        <v>113</v>
      </c>
      <c r="H65" s="4" t="s">
        <v>113</v>
      </c>
      <c r="I65" s="4" t="s">
        <v>113</v>
      </c>
      <c r="J65" s="4" t="s">
        <v>113</v>
      </c>
      <c r="K65" s="14" t="s">
        <v>113</v>
      </c>
    </row>
    <row r="66" spans="1:11" x14ac:dyDescent="0.2">
      <c r="A66" s="12"/>
      <c r="C66" s="4">
        <v>91711</v>
      </c>
      <c r="D66" s="4">
        <v>2</v>
      </c>
      <c r="E66" s="4">
        <v>100184</v>
      </c>
      <c r="F66" s="4" t="s">
        <v>914</v>
      </c>
      <c r="G66" s="4" t="s">
        <v>195</v>
      </c>
      <c r="H66" s="4" t="s">
        <v>113</v>
      </c>
      <c r="I66" s="4" t="s">
        <v>113</v>
      </c>
      <c r="J66" s="4" t="s">
        <v>113</v>
      </c>
      <c r="K66" s="14" t="s">
        <v>113</v>
      </c>
    </row>
    <row r="67" spans="1:11" x14ac:dyDescent="0.2">
      <c r="A67" s="12"/>
      <c r="C67" s="4">
        <v>91786</v>
      </c>
      <c r="D67" s="4">
        <v>2</v>
      </c>
      <c r="E67" s="4">
        <v>10372340</v>
      </c>
      <c r="F67" s="4" t="s">
        <v>914</v>
      </c>
      <c r="G67" s="4" t="s">
        <v>113</v>
      </c>
      <c r="H67" s="4" t="s">
        <v>113</v>
      </c>
      <c r="I67" s="4" t="s">
        <v>113</v>
      </c>
      <c r="J67" s="4" t="s">
        <v>113</v>
      </c>
      <c r="K67" s="14" t="s">
        <v>113</v>
      </c>
    </row>
    <row r="68" spans="1:11" x14ac:dyDescent="0.2">
      <c r="A68" s="12"/>
      <c r="C68" s="4">
        <v>91767</v>
      </c>
      <c r="D68" s="4">
        <v>2</v>
      </c>
      <c r="E68" s="4">
        <v>102053094</v>
      </c>
      <c r="F68" s="4" t="s">
        <v>914</v>
      </c>
      <c r="G68" s="4" t="s">
        <v>113</v>
      </c>
      <c r="H68" s="4" t="s">
        <v>113</v>
      </c>
      <c r="I68" s="4" t="s">
        <v>113</v>
      </c>
      <c r="J68" s="4" t="s">
        <v>113</v>
      </c>
      <c r="K68" s="14" t="s">
        <v>113</v>
      </c>
    </row>
    <row r="69" spans="1:11" x14ac:dyDescent="0.2">
      <c r="A69" s="11"/>
      <c r="B69" s="9"/>
      <c r="C69" s="9">
        <v>91711</v>
      </c>
      <c r="D69" s="9">
        <v>2</v>
      </c>
      <c r="E69" s="9">
        <v>103580664</v>
      </c>
      <c r="F69" s="9" t="s">
        <v>914</v>
      </c>
      <c r="G69" s="9" t="s">
        <v>113</v>
      </c>
      <c r="H69" s="9" t="s">
        <v>113</v>
      </c>
      <c r="I69" s="9" t="s">
        <v>113</v>
      </c>
      <c r="J69" s="9" t="s">
        <v>113</v>
      </c>
      <c r="K69" s="13" t="s">
        <v>183</v>
      </c>
    </row>
    <row r="70" spans="1:11" x14ac:dyDescent="0.2">
      <c r="A70" s="12"/>
      <c r="C70" s="4">
        <v>91767</v>
      </c>
      <c r="D70" s="4">
        <v>2.1</v>
      </c>
      <c r="E70" s="4">
        <v>10370542</v>
      </c>
      <c r="F70" s="4" t="s">
        <v>914</v>
      </c>
      <c r="G70" s="4" t="s">
        <v>195</v>
      </c>
      <c r="H70" s="4" t="s">
        <v>933</v>
      </c>
      <c r="I70" s="4" t="s">
        <v>933</v>
      </c>
      <c r="J70" s="4" t="s">
        <v>191</v>
      </c>
      <c r="K70" s="14" t="s">
        <v>933</v>
      </c>
    </row>
    <row r="71" spans="1:11" x14ac:dyDescent="0.2">
      <c r="A71" s="11"/>
      <c r="B71" s="9"/>
      <c r="C71" s="9">
        <v>91786</v>
      </c>
      <c r="D71" s="9">
        <v>2.2000000000000002</v>
      </c>
      <c r="E71" s="9">
        <v>103731316</v>
      </c>
      <c r="F71" s="9" t="s">
        <v>914</v>
      </c>
      <c r="G71" s="9" t="s">
        <v>103</v>
      </c>
      <c r="H71" s="9" t="s">
        <v>113</v>
      </c>
      <c r="I71" s="9" t="s">
        <v>113</v>
      </c>
      <c r="J71" s="9" t="s">
        <v>113</v>
      </c>
      <c r="K71" s="13" t="s">
        <v>103</v>
      </c>
    </row>
    <row r="72" spans="1:11" x14ac:dyDescent="0.2">
      <c r="A72" s="12"/>
      <c r="C72" s="4">
        <v>91711</v>
      </c>
      <c r="D72" s="4">
        <v>2.5</v>
      </c>
      <c r="E72" s="4">
        <v>10020070</v>
      </c>
      <c r="F72" s="4" t="s">
        <v>914</v>
      </c>
      <c r="G72" s="4" t="s">
        <v>191</v>
      </c>
      <c r="H72" s="4" t="s">
        <v>191</v>
      </c>
      <c r="I72" s="4" t="s">
        <v>191</v>
      </c>
      <c r="J72" s="4" t="s">
        <v>191</v>
      </c>
      <c r="K72" s="14" t="s">
        <v>191</v>
      </c>
    </row>
    <row r="73" spans="1:11" x14ac:dyDescent="0.2">
      <c r="A73" s="11"/>
      <c r="B73" s="9"/>
      <c r="C73" s="9">
        <v>91763</v>
      </c>
      <c r="D73" s="9">
        <v>2.5</v>
      </c>
      <c r="E73" s="9">
        <v>100913353</v>
      </c>
      <c r="F73" s="9" t="s">
        <v>914</v>
      </c>
      <c r="G73" s="9" t="s">
        <v>933</v>
      </c>
      <c r="H73" s="9" t="s">
        <v>933</v>
      </c>
      <c r="I73" s="9" t="s">
        <v>933</v>
      </c>
      <c r="J73" s="9" t="s">
        <v>933</v>
      </c>
      <c r="K73" s="13" t="s">
        <v>202</v>
      </c>
    </row>
    <row r="74" spans="1:11" x14ac:dyDescent="0.2">
      <c r="A74" s="11"/>
      <c r="B74" s="9"/>
      <c r="C74" s="9">
        <v>91711</v>
      </c>
      <c r="D74" s="9">
        <v>2.5</v>
      </c>
      <c r="E74" s="9">
        <v>10362859</v>
      </c>
      <c r="F74" s="9" t="s">
        <v>914</v>
      </c>
      <c r="G74" s="9" t="s">
        <v>113</v>
      </c>
      <c r="H74" s="9" t="s">
        <v>113</v>
      </c>
      <c r="I74" s="9" t="s">
        <v>113</v>
      </c>
      <c r="J74" s="9" t="s">
        <v>113</v>
      </c>
      <c r="K74" s="13" t="s">
        <v>113</v>
      </c>
    </row>
    <row r="75" spans="1:11" x14ac:dyDescent="0.2">
      <c r="A75" s="12"/>
      <c r="C75" s="4">
        <v>91711</v>
      </c>
      <c r="D75" s="4">
        <v>2.5</v>
      </c>
      <c r="E75" s="4">
        <v>10363007</v>
      </c>
      <c r="F75" s="4" t="s">
        <v>914</v>
      </c>
      <c r="G75" s="4" t="s">
        <v>113</v>
      </c>
      <c r="H75" s="4" t="s">
        <v>113</v>
      </c>
      <c r="I75" s="4" t="s">
        <v>113</v>
      </c>
      <c r="J75" s="4" t="s">
        <v>113</v>
      </c>
      <c r="K75" s="14" t="s">
        <v>113</v>
      </c>
    </row>
    <row r="76" spans="1:11" x14ac:dyDescent="0.2">
      <c r="A76" s="11"/>
      <c r="B76" s="9"/>
      <c r="C76" s="9">
        <v>91767</v>
      </c>
      <c r="D76" s="9">
        <v>2.5</v>
      </c>
      <c r="E76" s="9">
        <v>1037048011</v>
      </c>
      <c r="F76" s="9" t="s">
        <v>914</v>
      </c>
      <c r="G76" s="9" t="s">
        <v>113</v>
      </c>
      <c r="H76" s="9" t="s">
        <v>74</v>
      </c>
      <c r="I76" s="9" t="s">
        <v>74</v>
      </c>
      <c r="J76" s="9" t="s">
        <v>74</v>
      </c>
      <c r="K76" s="13" t="s">
        <v>74</v>
      </c>
    </row>
    <row r="77" spans="1:11" x14ac:dyDescent="0.2">
      <c r="A77" s="12"/>
      <c r="C77" s="4">
        <v>91711</v>
      </c>
      <c r="D77" s="4">
        <v>2.6</v>
      </c>
      <c r="E77" s="4">
        <v>10373100</v>
      </c>
      <c r="F77" s="4" t="s">
        <v>914</v>
      </c>
      <c r="G77" s="4" t="s">
        <v>103</v>
      </c>
      <c r="H77" s="4" t="s">
        <v>113</v>
      </c>
      <c r="I77" s="4" t="s">
        <v>113</v>
      </c>
      <c r="J77" s="4" t="s">
        <v>103</v>
      </c>
      <c r="K77" s="14" t="s">
        <v>113</v>
      </c>
    </row>
    <row r="78" spans="1:11" x14ac:dyDescent="0.2">
      <c r="A78" s="12"/>
      <c r="C78" s="4">
        <v>91767</v>
      </c>
      <c r="D78" s="4">
        <v>2.6</v>
      </c>
      <c r="E78" s="4">
        <v>10373208</v>
      </c>
      <c r="F78" s="4" t="s">
        <v>914</v>
      </c>
      <c r="G78" s="4" t="s">
        <v>113</v>
      </c>
      <c r="H78" s="4" t="s">
        <v>113</v>
      </c>
      <c r="I78" s="4" t="s">
        <v>113</v>
      </c>
      <c r="J78" s="4" t="s">
        <v>113</v>
      </c>
      <c r="K78" s="14" t="s">
        <v>113</v>
      </c>
    </row>
    <row r="79" spans="1:11" x14ac:dyDescent="0.2">
      <c r="A79" s="11"/>
      <c r="B79" s="9"/>
      <c r="C79" s="9">
        <v>91769</v>
      </c>
      <c r="D79" s="9">
        <v>2.8</v>
      </c>
      <c r="E79" s="9" t="s">
        <v>977</v>
      </c>
      <c r="F79" s="9" t="s">
        <v>914</v>
      </c>
      <c r="G79" s="9" t="s">
        <v>202</v>
      </c>
      <c r="H79" s="9" t="s">
        <v>113</v>
      </c>
      <c r="I79" s="9" t="s">
        <v>113</v>
      </c>
      <c r="J79" s="9" t="s">
        <v>113</v>
      </c>
      <c r="K79" s="13" t="s">
        <v>113</v>
      </c>
    </row>
    <row r="80" spans="1:11" x14ac:dyDescent="0.2">
      <c r="A80" s="11"/>
      <c r="B80" s="9"/>
      <c r="C80" s="9">
        <v>91767</v>
      </c>
      <c r="D80" s="9">
        <v>2.9</v>
      </c>
      <c r="E80" s="9">
        <v>10370859</v>
      </c>
      <c r="F80" s="9" t="s">
        <v>914</v>
      </c>
      <c r="G80" s="9" t="s">
        <v>191</v>
      </c>
      <c r="H80" s="9" t="s">
        <v>191</v>
      </c>
      <c r="I80" s="9" t="s">
        <v>191</v>
      </c>
      <c r="J80" s="9" t="s">
        <v>191</v>
      </c>
      <c r="K80" s="13" t="s">
        <v>113</v>
      </c>
    </row>
    <row r="81" spans="1:11" x14ac:dyDescent="0.2">
      <c r="A81" s="11"/>
      <c r="B81" s="9"/>
      <c r="C81" s="9">
        <v>91711</v>
      </c>
      <c r="D81" s="9">
        <v>3</v>
      </c>
      <c r="E81" s="9">
        <v>10358994</v>
      </c>
      <c r="F81" s="9" t="s">
        <v>914</v>
      </c>
      <c r="G81" s="9" t="s">
        <v>113</v>
      </c>
      <c r="H81" s="9" t="s">
        <v>113</v>
      </c>
      <c r="I81" s="9" t="s">
        <v>113</v>
      </c>
      <c r="J81" s="9" t="s">
        <v>113</v>
      </c>
      <c r="K81" s="13" t="s">
        <v>113</v>
      </c>
    </row>
    <row r="82" spans="1:11" x14ac:dyDescent="0.2">
      <c r="A82" s="11"/>
      <c r="B82" s="9"/>
      <c r="C82" s="9">
        <v>91768</v>
      </c>
      <c r="D82" s="9">
        <v>3</v>
      </c>
      <c r="E82" s="9">
        <v>10370217</v>
      </c>
      <c r="F82" s="9" t="s">
        <v>914</v>
      </c>
      <c r="G82" s="9" t="s">
        <v>113</v>
      </c>
      <c r="H82" s="9" t="s">
        <v>113</v>
      </c>
      <c r="I82" s="9" t="s">
        <v>113</v>
      </c>
      <c r="J82" s="9" t="s">
        <v>113</v>
      </c>
      <c r="K82" s="13" t="s">
        <v>103</v>
      </c>
    </row>
    <row r="83" spans="1:11" x14ac:dyDescent="0.2">
      <c r="A83" s="12"/>
      <c r="C83" s="4">
        <v>91763</v>
      </c>
      <c r="D83" s="4">
        <v>3</v>
      </c>
      <c r="E83" s="4" t="s">
        <v>985</v>
      </c>
      <c r="F83" s="4" t="s">
        <v>914</v>
      </c>
      <c r="G83" s="4" t="s">
        <v>113</v>
      </c>
      <c r="H83" s="4" t="s">
        <v>113</v>
      </c>
      <c r="I83" s="4" t="s">
        <v>113</v>
      </c>
      <c r="J83" s="4" t="s">
        <v>113</v>
      </c>
      <c r="K83" s="14" t="s">
        <v>113</v>
      </c>
    </row>
    <row r="84" spans="1:11" x14ac:dyDescent="0.2">
      <c r="A84" s="12"/>
      <c r="C84" s="4">
        <v>91786</v>
      </c>
      <c r="D84" s="4">
        <v>3</v>
      </c>
      <c r="E84" s="4">
        <v>10368847</v>
      </c>
      <c r="F84" s="4" t="s">
        <v>914</v>
      </c>
      <c r="G84" s="4" t="s">
        <v>113</v>
      </c>
      <c r="H84" s="4" t="s">
        <v>113</v>
      </c>
      <c r="I84" s="4" t="s">
        <v>113</v>
      </c>
      <c r="J84" s="4" t="s">
        <v>113</v>
      </c>
      <c r="K84" s="14" t="s">
        <v>113</v>
      </c>
    </row>
    <row r="85" spans="1:11" x14ac:dyDescent="0.2">
      <c r="A85" s="12"/>
      <c r="C85" s="4">
        <v>91786</v>
      </c>
      <c r="D85" s="4">
        <v>3</v>
      </c>
      <c r="E85" s="4">
        <v>10120810</v>
      </c>
      <c r="F85" s="4" t="s">
        <v>914</v>
      </c>
      <c r="G85" s="4" t="s">
        <v>113</v>
      </c>
      <c r="H85" s="4" t="s">
        <v>113</v>
      </c>
      <c r="I85" s="4" t="s">
        <v>113</v>
      </c>
      <c r="J85" s="4" t="s">
        <v>195</v>
      </c>
      <c r="K85" s="14" t="s">
        <v>195</v>
      </c>
    </row>
    <row r="86" spans="1:11" x14ac:dyDescent="0.2">
      <c r="A86" s="12"/>
      <c r="C86" s="4">
        <v>91763</v>
      </c>
      <c r="D86" s="4">
        <v>3</v>
      </c>
      <c r="E86" s="4">
        <v>10043299</v>
      </c>
      <c r="F86" s="4" t="s">
        <v>914</v>
      </c>
      <c r="G86" s="4" t="s">
        <v>113</v>
      </c>
      <c r="H86" s="4" t="s">
        <v>113</v>
      </c>
      <c r="I86" s="4" t="s">
        <v>113</v>
      </c>
      <c r="J86" s="4" t="s">
        <v>113</v>
      </c>
      <c r="K86" s="14" t="s">
        <v>113</v>
      </c>
    </row>
    <row r="87" spans="1:11" x14ac:dyDescent="0.2">
      <c r="A87" s="11"/>
      <c r="B87" s="9"/>
      <c r="C87" s="9">
        <v>91786</v>
      </c>
      <c r="D87" s="9">
        <v>3</v>
      </c>
      <c r="E87" s="9">
        <v>103687571</v>
      </c>
      <c r="F87" s="9" t="s">
        <v>914</v>
      </c>
      <c r="G87" s="9" t="s">
        <v>113</v>
      </c>
      <c r="H87" s="9" t="s">
        <v>113</v>
      </c>
      <c r="I87" s="9" t="s">
        <v>103</v>
      </c>
      <c r="J87" s="9" t="s">
        <v>103</v>
      </c>
      <c r="K87" s="13" t="s">
        <v>195</v>
      </c>
    </row>
    <row r="88" spans="1:11" x14ac:dyDescent="0.2">
      <c r="A88" s="12"/>
      <c r="C88" s="4">
        <v>91711</v>
      </c>
      <c r="D88" s="4">
        <v>3</v>
      </c>
      <c r="E88" s="4">
        <v>10025853</v>
      </c>
      <c r="F88" s="4" t="s">
        <v>914</v>
      </c>
      <c r="G88" s="4" t="s">
        <v>113</v>
      </c>
      <c r="H88" s="4" t="s">
        <v>113</v>
      </c>
      <c r="I88" s="4" t="s">
        <v>103</v>
      </c>
      <c r="J88" s="4" t="s">
        <v>103</v>
      </c>
      <c r="K88" s="14" t="s">
        <v>195</v>
      </c>
    </row>
    <row r="89" spans="1:11" x14ac:dyDescent="0.2">
      <c r="A89" s="11"/>
      <c r="B89" s="9"/>
      <c r="C89" s="9">
        <v>91711</v>
      </c>
      <c r="D89" s="9">
        <v>3</v>
      </c>
      <c r="E89" s="9">
        <v>10120597</v>
      </c>
      <c r="F89" s="9" t="s">
        <v>914</v>
      </c>
      <c r="G89" s="9" t="s">
        <v>113</v>
      </c>
      <c r="H89" s="9" t="s">
        <v>113</v>
      </c>
      <c r="I89" s="9" t="s">
        <v>113</v>
      </c>
      <c r="J89" s="9" t="s">
        <v>113</v>
      </c>
      <c r="K89" s="13" t="s">
        <v>113</v>
      </c>
    </row>
    <row r="90" spans="1:11" x14ac:dyDescent="0.2">
      <c r="A90" s="11"/>
      <c r="B90" s="9"/>
      <c r="C90" s="9">
        <v>91711</v>
      </c>
      <c r="D90" s="9">
        <v>3</v>
      </c>
      <c r="E90" s="9">
        <v>10358371</v>
      </c>
      <c r="F90" s="9" t="s">
        <v>914</v>
      </c>
      <c r="G90" s="9" t="s">
        <v>98</v>
      </c>
      <c r="H90" s="9" t="s">
        <v>98</v>
      </c>
      <c r="I90" s="9" t="s">
        <v>113</v>
      </c>
      <c r="J90" s="9" t="s">
        <v>98</v>
      </c>
      <c r="K90" s="13" t="s">
        <v>74</v>
      </c>
    </row>
    <row r="91" spans="1:11" x14ac:dyDescent="0.2">
      <c r="A91" s="11"/>
      <c r="B91" s="9"/>
      <c r="C91" s="9">
        <v>91763</v>
      </c>
      <c r="D91" s="9">
        <v>3</v>
      </c>
      <c r="E91" s="9">
        <v>103685701</v>
      </c>
      <c r="F91" s="9" t="s">
        <v>914</v>
      </c>
      <c r="G91" s="9" t="s">
        <v>191</v>
      </c>
      <c r="H91" s="9" t="s">
        <v>191</v>
      </c>
      <c r="I91" s="9" t="s">
        <v>191</v>
      </c>
      <c r="J91" s="9" t="s">
        <v>191</v>
      </c>
      <c r="K91" s="13" t="s">
        <v>191</v>
      </c>
    </row>
    <row r="92" spans="1:11" x14ac:dyDescent="0.2">
      <c r="A92" s="11"/>
      <c r="B92" s="9"/>
      <c r="C92" s="9">
        <v>91763</v>
      </c>
      <c r="D92" s="9">
        <v>3</v>
      </c>
      <c r="E92" s="9">
        <v>10366711</v>
      </c>
      <c r="F92" s="9" t="s">
        <v>914</v>
      </c>
      <c r="G92" s="9" t="s">
        <v>113</v>
      </c>
      <c r="H92" s="9" t="s">
        <v>113</v>
      </c>
      <c r="I92" s="9" t="s">
        <v>113</v>
      </c>
      <c r="J92" s="9" t="s">
        <v>113</v>
      </c>
      <c r="K92" s="13" t="s">
        <v>113</v>
      </c>
    </row>
    <row r="93" spans="1:11" x14ac:dyDescent="0.2">
      <c r="A93" s="11"/>
      <c r="B93" s="9"/>
      <c r="C93" s="9">
        <v>91767</v>
      </c>
      <c r="D93" s="9">
        <v>3</v>
      </c>
      <c r="E93" s="9">
        <v>10115200</v>
      </c>
      <c r="F93" s="9" t="s">
        <v>914</v>
      </c>
      <c r="G93" s="9" t="s">
        <v>81</v>
      </c>
      <c r="H93" s="9" t="s">
        <v>81</v>
      </c>
      <c r="I93" s="9" t="s">
        <v>81</v>
      </c>
      <c r="J93" s="9" t="s">
        <v>81</v>
      </c>
      <c r="K93" s="13" t="s">
        <v>81</v>
      </c>
    </row>
    <row r="94" spans="1:11" x14ac:dyDescent="0.2">
      <c r="A94" s="12"/>
      <c r="C94" s="4">
        <v>91711</v>
      </c>
      <c r="D94" s="4">
        <v>3</v>
      </c>
      <c r="E94" s="4">
        <v>103725701</v>
      </c>
      <c r="F94" s="4" t="s">
        <v>919</v>
      </c>
      <c r="G94" s="4" t="s">
        <v>113</v>
      </c>
      <c r="H94" s="4" t="s">
        <v>113</v>
      </c>
      <c r="I94" s="4" t="s">
        <v>113</v>
      </c>
      <c r="J94" s="4" t="s">
        <v>113</v>
      </c>
      <c r="K94" s="14" t="s">
        <v>113</v>
      </c>
    </row>
    <row r="95" spans="1:11" x14ac:dyDescent="0.2">
      <c r="A95" s="12"/>
      <c r="C95" s="4">
        <v>91767</v>
      </c>
      <c r="D95" s="4">
        <v>3</v>
      </c>
      <c r="E95" s="4">
        <v>103703221</v>
      </c>
      <c r="F95" s="4" t="s">
        <v>914</v>
      </c>
      <c r="G95" s="4" t="s">
        <v>113</v>
      </c>
      <c r="H95" s="4" t="s">
        <v>113</v>
      </c>
      <c r="I95" s="4" t="s">
        <v>113</v>
      </c>
      <c r="J95" s="4" t="s">
        <v>113</v>
      </c>
      <c r="K95" s="14" t="s">
        <v>113</v>
      </c>
    </row>
    <row r="96" spans="1:11" x14ac:dyDescent="0.2">
      <c r="A96" s="12"/>
      <c r="C96" s="4">
        <v>91767</v>
      </c>
      <c r="D96" s="4">
        <v>3</v>
      </c>
      <c r="E96" s="4">
        <v>10354662</v>
      </c>
      <c r="F96" s="4" t="s">
        <v>914</v>
      </c>
      <c r="G96" s="4" t="s">
        <v>113</v>
      </c>
      <c r="H96" s="4" t="s">
        <v>113</v>
      </c>
      <c r="I96" s="4" t="s">
        <v>113</v>
      </c>
      <c r="J96" s="4" t="s">
        <v>113</v>
      </c>
      <c r="K96" s="14" t="s">
        <v>113</v>
      </c>
    </row>
    <row r="97" spans="1:23" x14ac:dyDescent="0.2">
      <c r="A97" s="11"/>
      <c r="B97" s="9"/>
      <c r="C97" s="9">
        <v>91763</v>
      </c>
      <c r="D97" s="9">
        <v>3</v>
      </c>
      <c r="E97" s="9">
        <v>10043664</v>
      </c>
      <c r="F97" s="9" t="s">
        <v>914</v>
      </c>
      <c r="G97" s="9" t="s">
        <v>113</v>
      </c>
      <c r="H97" s="9" t="s">
        <v>113</v>
      </c>
      <c r="I97" s="9" t="s">
        <v>113</v>
      </c>
      <c r="J97" s="9" t="s">
        <v>113</v>
      </c>
      <c r="K97" s="13" t="s">
        <v>113</v>
      </c>
    </row>
    <row r="98" spans="1:23" x14ac:dyDescent="0.2">
      <c r="A98" s="25"/>
      <c r="B98" s="26"/>
      <c r="C98" s="26">
        <v>91763</v>
      </c>
      <c r="D98" s="26">
        <v>3</v>
      </c>
      <c r="E98" s="26">
        <v>10366670</v>
      </c>
      <c r="F98" s="26" t="s">
        <v>914</v>
      </c>
      <c r="G98" s="26" t="s">
        <v>933</v>
      </c>
      <c r="H98" s="26" t="s">
        <v>933</v>
      </c>
      <c r="I98" s="26" t="s">
        <v>933</v>
      </c>
      <c r="J98" s="26" t="s">
        <v>933</v>
      </c>
      <c r="K98" s="27" t="s">
        <v>933</v>
      </c>
    </row>
    <row r="99" spans="1:23" s="28" customFormat="1" x14ac:dyDescent="0.2">
      <c r="A99" s="25"/>
      <c r="B99" s="26"/>
      <c r="C99" s="26">
        <v>91763</v>
      </c>
      <c r="D99" s="26">
        <v>3</v>
      </c>
      <c r="E99" s="26">
        <v>10373435</v>
      </c>
      <c r="F99" s="26" t="s">
        <v>914</v>
      </c>
      <c r="G99" s="26" t="s">
        <v>933</v>
      </c>
      <c r="H99" s="26" t="s">
        <v>933</v>
      </c>
      <c r="I99" s="26" t="s">
        <v>933</v>
      </c>
      <c r="J99" s="26" t="s">
        <v>933</v>
      </c>
      <c r="K99" s="27" t="s">
        <v>933</v>
      </c>
      <c r="M99"/>
      <c r="N99"/>
      <c r="O99"/>
      <c r="P99"/>
      <c r="Q99"/>
      <c r="R99"/>
      <c r="S99"/>
      <c r="T99"/>
      <c r="U99"/>
      <c r="V99"/>
      <c r="W99"/>
    </row>
    <row r="100" spans="1:23" s="28" customFormat="1" x14ac:dyDescent="0.2">
      <c r="A100" s="11"/>
      <c r="B100" s="9"/>
      <c r="C100" s="9">
        <v>91763</v>
      </c>
      <c r="D100" s="9">
        <v>3</v>
      </c>
      <c r="E100" s="9">
        <v>10043611</v>
      </c>
      <c r="F100" s="9" t="s">
        <v>914</v>
      </c>
      <c r="G100" s="9" t="s">
        <v>113</v>
      </c>
      <c r="H100" s="9" t="s">
        <v>113</v>
      </c>
      <c r="I100" s="9" t="s">
        <v>113</v>
      </c>
      <c r="J100" s="9" t="s">
        <v>113</v>
      </c>
      <c r="K100" s="13" t="s">
        <v>113</v>
      </c>
    </row>
    <row r="101" spans="1:23" x14ac:dyDescent="0.2">
      <c r="A101" s="12"/>
      <c r="C101" s="4">
        <v>91786</v>
      </c>
      <c r="D101" s="4">
        <v>3</v>
      </c>
      <c r="E101" s="4">
        <v>103611295</v>
      </c>
      <c r="F101" s="4" t="s">
        <v>914</v>
      </c>
      <c r="G101" s="4" t="s">
        <v>113</v>
      </c>
      <c r="H101" s="4" t="s">
        <v>113</v>
      </c>
      <c r="I101" s="4" t="s">
        <v>113</v>
      </c>
      <c r="J101" s="4" t="s">
        <v>113</v>
      </c>
      <c r="K101" s="14" t="s">
        <v>113</v>
      </c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 spans="1:23" x14ac:dyDescent="0.2">
      <c r="A102" s="11"/>
      <c r="B102" s="9"/>
      <c r="C102" s="9">
        <v>91711</v>
      </c>
      <c r="D102" s="9">
        <v>3</v>
      </c>
      <c r="E102" s="9">
        <v>10372216</v>
      </c>
      <c r="F102" s="9" t="s">
        <v>919</v>
      </c>
      <c r="G102" s="9" t="s">
        <v>202</v>
      </c>
      <c r="H102" s="9" t="s">
        <v>202</v>
      </c>
      <c r="I102" s="9" t="s">
        <v>113</v>
      </c>
      <c r="J102" s="9" t="s">
        <v>113</v>
      </c>
      <c r="K102" s="13" t="s">
        <v>113</v>
      </c>
    </row>
    <row r="103" spans="1:23" x14ac:dyDescent="0.2">
      <c r="A103" s="12"/>
      <c r="C103" s="4">
        <v>91763</v>
      </c>
      <c r="D103" s="4">
        <v>3</v>
      </c>
      <c r="E103" s="4">
        <v>10366752</v>
      </c>
      <c r="F103" s="4" t="s">
        <v>914</v>
      </c>
      <c r="G103" s="4" t="s">
        <v>113</v>
      </c>
      <c r="H103" s="4" t="s">
        <v>98</v>
      </c>
      <c r="I103" s="4" t="s">
        <v>113</v>
      </c>
      <c r="J103" s="4" t="s">
        <v>113</v>
      </c>
      <c r="K103" s="14" t="s">
        <v>113</v>
      </c>
    </row>
    <row r="104" spans="1:23" x14ac:dyDescent="0.2">
      <c r="A104" s="12"/>
      <c r="C104" s="4">
        <v>91786</v>
      </c>
      <c r="D104" s="4">
        <v>3.2</v>
      </c>
      <c r="E104" s="4" t="s">
        <v>1005</v>
      </c>
      <c r="F104" s="4" t="s">
        <v>914</v>
      </c>
      <c r="G104" s="4" t="s">
        <v>933</v>
      </c>
      <c r="H104" s="4" t="s">
        <v>113</v>
      </c>
      <c r="I104" s="4" t="s">
        <v>195</v>
      </c>
      <c r="J104" s="4" t="s">
        <v>113</v>
      </c>
      <c r="K104" s="14" t="s">
        <v>933</v>
      </c>
    </row>
    <row r="105" spans="1:23" x14ac:dyDescent="0.2">
      <c r="A105" s="11"/>
      <c r="B105" s="9"/>
      <c r="C105" s="9">
        <v>91767</v>
      </c>
      <c r="D105" s="9">
        <v>3.2</v>
      </c>
      <c r="E105" s="9">
        <v>103752591</v>
      </c>
      <c r="F105" s="9" t="s">
        <v>914</v>
      </c>
      <c r="G105" s="9" t="s">
        <v>103</v>
      </c>
      <c r="H105" s="9" t="s">
        <v>103</v>
      </c>
      <c r="I105" s="9" t="s">
        <v>103</v>
      </c>
      <c r="J105" s="9" t="s">
        <v>103</v>
      </c>
      <c r="K105" s="13" t="s">
        <v>103</v>
      </c>
    </row>
    <row r="106" spans="1:23" x14ac:dyDescent="0.2">
      <c r="A106" s="11"/>
      <c r="B106" s="9"/>
      <c r="C106" s="9">
        <v>91784</v>
      </c>
      <c r="D106" s="9">
        <v>3.3</v>
      </c>
      <c r="E106" s="9">
        <v>10042924</v>
      </c>
      <c r="F106" s="9" t="s">
        <v>914</v>
      </c>
      <c r="G106" s="9" t="s">
        <v>113</v>
      </c>
      <c r="H106" s="9" t="s">
        <v>113</v>
      </c>
      <c r="I106" s="9" t="s">
        <v>113</v>
      </c>
      <c r="J106" s="9" t="s">
        <v>113</v>
      </c>
      <c r="K106" s="13" t="s">
        <v>113</v>
      </c>
    </row>
    <row r="107" spans="1:23" x14ac:dyDescent="0.2">
      <c r="A107" s="12"/>
      <c r="C107" s="4">
        <v>91762</v>
      </c>
      <c r="D107" s="4">
        <v>3.3</v>
      </c>
      <c r="E107" s="4">
        <v>10373864</v>
      </c>
      <c r="F107" s="4" t="s">
        <v>914</v>
      </c>
      <c r="G107" s="4" t="s">
        <v>103</v>
      </c>
      <c r="H107" s="4" t="s">
        <v>103</v>
      </c>
      <c r="I107" s="4" t="s">
        <v>103</v>
      </c>
      <c r="J107" s="4" t="s">
        <v>103</v>
      </c>
      <c r="K107" s="14" t="s">
        <v>103</v>
      </c>
    </row>
    <row r="108" spans="1:23" x14ac:dyDescent="0.2">
      <c r="A108" s="12"/>
      <c r="C108" s="4">
        <v>91750</v>
      </c>
      <c r="D108" s="4">
        <v>3.5</v>
      </c>
      <c r="E108" s="4">
        <v>10370551</v>
      </c>
      <c r="F108" s="4" t="s">
        <v>919</v>
      </c>
      <c r="G108" s="4" t="s">
        <v>202</v>
      </c>
      <c r="H108" s="4" t="s">
        <v>113</v>
      </c>
      <c r="I108" s="4" t="s">
        <v>113</v>
      </c>
      <c r="J108" s="4" t="s">
        <v>113</v>
      </c>
      <c r="K108" s="14" t="s">
        <v>113</v>
      </c>
    </row>
    <row r="109" spans="1:23" x14ac:dyDescent="0.2">
      <c r="A109" s="12"/>
      <c r="C109" s="4">
        <v>91711</v>
      </c>
      <c r="D109" s="4">
        <v>3.5</v>
      </c>
      <c r="E109" s="4">
        <v>10370204</v>
      </c>
      <c r="F109" s="4" t="s">
        <v>914</v>
      </c>
      <c r="G109" s="4" t="s">
        <v>74</v>
      </c>
      <c r="H109" s="4" t="s">
        <v>74</v>
      </c>
      <c r="I109" s="4" t="s">
        <v>74</v>
      </c>
      <c r="J109" s="4" t="s">
        <v>74</v>
      </c>
      <c r="K109" s="14" t="s">
        <v>74</v>
      </c>
    </row>
    <row r="110" spans="1:23" x14ac:dyDescent="0.2">
      <c r="A110" s="11"/>
      <c r="B110" s="9"/>
      <c r="C110" s="9">
        <v>91767</v>
      </c>
      <c r="D110" s="9">
        <v>3.5</v>
      </c>
      <c r="E110" s="9">
        <v>10346409</v>
      </c>
      <c r="F110" s="9" t="s">
        <v>914</v>
      </c>
      <c r="G110" s="9" t="s">
        <v>74</v>
      </c>
      <c r="H110" s="9" t="s">
        <v>74</v>
      </c>
      <c r="I110" s="9" t="s">
        <v>74</v>
      </c>
      <c r="J110" s="9" t="s">
        <v>74</v>
      </c>
      <c r="K110" s="13" t="s">
        <v>74</v>
      </c>
    </row>
    <row r="111" spans="1:23" x14ac:dyDescent="0.2">
      <c r="A111" s="12"/>
      <c r="C111" s="4">
        <v>91786</v>
      </c>
      <c r="D111" s="4">
        <v>3.5</v>
      </c>
      <c r="E111" s="4" t="s">
        <v>1013</v>
      </c>
      <c r="F111" s="4" t="s">
        <v>914</v>
      </c>
      <c r="G111" s="4" t="s">
        <v>113</v>
      </c>
      <c r="H111" s="4" t="s">
        <v>113</v>
      </c>
      <c r="I111" s="4" t="s">
        <v>113</v>
      </c>
      <c r="J111" s="4" t="s">
        <v>113</v>
      </c>
      <c r="K111" s="14" t="s">
        <v>113</v>
      </c>
    </row>
    <row r="112" spans="1:23" x14ac:dyDescent="0.2">
      <c r="A112" s="12"/>
      <c r="C112" s="4">
        <v>91767</v>
      </c>
      <c r="D112" s="4">
        <v>3.5</v>
      </c>
      <c r="E112" s="4" t="s">
        <v>1015</v>
      </c>
      <c r="F112" s="4" t="s">
        <v>919</v>
      </c>
      <c r="G112" s="4" t="s">
        <v>113</v>
      </c>
      <c r="H112" s="4" t="s">
        <v>113</v>
      </c>
      <c r="I112" s="4" t="s">
        <v>113</v>
      </c>
      <c r="J112" s="4" t="s">
        <v>113</v>
      </c>
      <c r="K112" s="14" t="s">
        <v>113</v>
      </c>
    </row>
    <row r="113" spans="1:11" x14ac:dyDescent="0.2">
      <c r="A113" s="12"/>
      <c r="C113" s="4">
        <v>91767</v>
      </c>
      <c r="D113" s="4">
        <v>3.5</v>
      </c>
      <c r="E113" s="4">
        <v>1373855</v>
      </c>
      <c r="F113" s="4" t="s">
        <v>914</v>
      </c>
      <c r="G113" s="4" t="s">
        <v>1016</v>
      </c>
      <c r="H113" s="4" t="s">
        <v>1016</v>
      </c>
      <c r="I113" s="4" t="s">
        <v>1016</v>
      </c>
      <c r="J113" s="4" t="s">
        <v>1016</v>
      </c>
      <c r="K113" s="14" t="s">
        <v>1016</v>
      </c>
    </row>
    <row r="114" spans="1:11" x14ac:dyDescent="0.2">
      <c r="A114" s="11"/>
      <c r="B114" s="9"/>
      <c r="C114" s="9">
        <v>91762</v>
      </c>
      <c r="D114" s="9">
        <v>3.5</v>
      </c>
      <c r="E114" s="9">
        <v>103132011</v>
      </c>
      <c r="F114" s="9" t="s">
        <v>914</v>
      </c>
      <c r="G114" s="9" t="s">
        <v>113</v>
      </c>
      <c r="H114" s="9" t="s">
        <v>113</v>
      </c>
      <c r="I114" s="9" t="s">
        <v>113</v>
      </c>
      <c r="J114" s="9" t="s">
        <v>113</v>
      </c>
      <c r="K114" s="13" t="s">
        <v>103</v>
      </c>
    </row>
    <row r="115" spans="1:11" x14ac:dyDescent="0.2">
      <c r="A115" s="12"/>
      <c r="C115" s="4">
        <v>91767</v>
      </c>
      <c r="D115" s="4">
        <v>4</v>
      </c>
      <c r="E115" s="4">
        <v>103697231</v>
      </c>
      <c r="F115" s="4" t="s">
        <v>914</v>
      </c>
      <c r="G115" s="4" t="s">
        <v>113</v>
      </c>
      <c r="H115" s="4" t="s">
        <v>113</v>
      </c>
      <c r="I115" s="4" t="s">
        <v>113</v>
      </c>
      <c r="J115" s="4" t="s">
        <v>113</v>
      </c>
      <c r="K115" s="14" t="s">
        <v>113</v>
      </c>
    </row>
    <row r="116" spans="1:11" x14ac:dyDescent="0.2">
      <c r="A116" s="12"/>
      <c r="C116" s="4">
        <v>91711</v>
      </c>
      <c r="D116" s="4">
        <v>4</v>
      </c>
      <c r="E116" s="4">
        <v>102897691</v>
      </c>
      <c r="F116" s="4" t="s">
        <v>914</v>
      </c>
      <c r="G116" s="4" t="s">
        <v>933</v>
      </c>
      <c r="H116" s="4" t="s">
        <v>103</v>
      </c>
      <c r="I116" s="4" t="s">
        <v>74</v>
      </c>
      <c r="J116" s="4" t="s">
        <v>74</v>
      </c>
      <c r="K116" s="14" t="s">
        <v>933</v>
      </c>
    </row>
    <row r="117" spans="1:11" x14ac:dyDescent="0.2">
      <c r="A117" s="12"/>
      <c r="C117" s="4">
        <v>91750</v>
      </c>
      <c r="D117" s="4">
        <v>4</v>
      </c>
      <c r="E117" s="4">
        <v>10193210</v>
      </c>
      <c r="F117" s="4" t="s">
        <v>914</v>
      </c>
      <c r="G117" s="4" t="s">
        <v>113</v>
      </c>
      <c r="H117" s="4" t="s">
        <v>113</v>
      </c>
      <c r="I117" s="4" t="s">
        <v>113</v>
      </c>
      <c r="J117" s="4" t="s">
        <v>113</v>
      </c>
      <c r="K117" s="14" t="s">
        <v>113</v>
      </c>
    </row>
    <row r="118" spans="1:11" x14ac:dyDescent="0.2">
      <c r="A118" s="11"/>
      <c r="B118" s="9"/>
      <c r="C118" s="9">
        <v>91786</v>
      </c>
      <c r="D118" s="9">
        <v>4</v>
      </c>
      <c r="E118" s="9">
        <v>10109481</v>
      </c>
      <c r="F118" s="9" t="s">
        <v>914</v>
      </c>
      <c r="G118" s="9" t="s">
        <v>113</v>
      </c>
      <c r="H118" s="9" t="s">
        <v>113</v>
      </c>
      <c r="I118" s="9" t="s">
        <v>113</v>
      </c>
      <c r="J118" s="9" t="s">
        <v>113</v>
      </c>
      <c r="K118" s="13" t="s">
        <v>113</v>
      </c>
    </row>
    <row r="119" spans="1:11" x14ac:dyDescent="0.2">
      <c r="A119" s="12"/>
      <c r="C119" s="4">
        <v>91762</v>
      </c>
      <c r="D119" s="4">
        <v>4</v>
      </c>
      <c r="E119" s="4">
        <v>10347862</v>
      </c>
      <c r="F119" s="4" t="s">
        <v>914</v>
      </c>
      <c r="G119" s="4" t="s">
        <v>113</v>
      </c>
      <c r="H119" s="4" t="s">
        <v>113</v>
      </c>
      <c r="I119" s="4" t="s">
        <v>113</v>
      </c>
      <c r="J119" s="4" t="s">
        <v>113</v>
      </c>
      <c r="K119" s="14" t="s">
        <v>113</v>
      </c>
    </row>
    <row r="120" spans="1:11" x14ac:dyDescent="0.2">
      <c r="A120" s="11"/>
      <c r="B120" s="9"/>
      <c r="C120" s="9">
        <v>91767</v>
      </c>
      <c r="D120" s="9">
        <v>4</v>
      </c>
      <c r="E120" s="9" t="s">
        <v>1024</v>
      </c>
      <c r="F120" s="9" t="s">
        <v>914</v>
      </c>
      <c r="G120" s="9" t="s">
        <v>933</v>
      </c>
      <c r="H120" s="9" t="s">
        <v>933</v>
      </c>
      <c r="I120" s="9" t="s">
        <v>933</v>
      </c>
      <c r="J120" s="9" t="s">
        <v>933</v>
      </c>
      <c r="K120" s="13" t="s">
        <v>933</v>
      </c>
    </row>
    <row r="121" spans="1:11" x14ac:dyDescent="0.2">
      <c r="A121" s="11"/>
      <c r="B121" s="9"/>
      <c r="C121" s="9">
        <v>91786</v>
      </c>
      <c r="D121" s="9">
        <v>4</v>
      </c>
      <c r="E121" s="9">
        <v>10114181</v>
      </c>
      <c r="F121" s="9" t="s">
        <v>914</v>
      </c>
      <c r="G121" s="9" t="s">
        <v>113</v>
      </c>
      <c r="H121" s="9" t="s">
        <v>113</v>
      </c>
      <c r="I121" s="9" t="s">
        <v>113</v>
      </c>
      <c r="J121" s="9" t="s">
        <v>113</v>
      </c>
      <c r="K121" s="13" t="s">
        <v>113</v>
      </c>
    </row>
    <row r="122" spans="1:11" x14ac:dyDescent="0.2">
      <c r="A122" s="12"/>
      <c r="C122" s="4">
        <v>91768</v>
      </c>
      <c r="D122" s="4">
        <v>4</v>
      </c>
      <c r="E122" s="4">
        <v>10366750</v>
      </c>
      <c r="F122" s="4" t="s">
        <v>914</v>
      </c>
      <c r="G122" s="4" t="s">
        <v>113</v>
      </c>
      <c r="H122" s="4" t="s">
        <v>113</v>
      </c>
      <c r="I122" s="4" t="s">
        <v>113</v>
      </c>
      <c r="J122" s="4" t="s">
        <v>113</v>
      </c>
      <c r="K122" s="14" t="s">
        <v>113</v>
      </c>
    </row>
    <row r="123" spans="1:11" x14ac:dyDescent="0.2">
      <c r="A123" s="11"/>
      <c r="B123" s="9"/>
      <c r="C123" s="9">
        <v>91786</v>
      </c>
      <c r="D123" s="9">
        <v>4</v>
      </c>
      <c r="E123" s="9">
        <v>10043581</v>
      </c>
      <c r="F123" s="9" t="s">
        <v>914</v>
      </c>
      <c r="G123" s="9" t="s">
        <v>113</v>
      </c>
      <c r="H123" s="9" t="s">
        <v>113</v>
      </c>
      <c r="I123" s="9" t="s">
        <v>113</v>
      </c>
      <c r="J123" s="9" t="s">
        <v>113</v>
      </c>
      <c r="K123" s="13" t="s">
        <v>113</v>
      </c>
    </row>
    <row r="124" spans="1:11" x14ac:dyDescent="0.2">
      <c r="A124" s="11"/>
      <c r="B124" s="9"/>
      <c r="C124" s="9">
        <v>91784</v>
      </c>
      <c r="D124" s="9">
        <v>4</v>
      </c>
      <c r="E124" s="9">
        <v>100430831</v>
      </c>
      <c r="F124" s="9" t="s">
        <v>914</v>
      </c>
      <c r="G124" s="9" t="s">
        <v>103</v>
      </c>
      <c r="H124" s="9" t="s">
        <v>113</v>
      </c>
      <c r="I124" s="9" t="s">
        <v>113</v>
      </c>
      <c r="J124" s="9" t="s">
        <v>113</v>
      </c>
      <c r="K124" s="13" t="s">
        <v>103</v>
      </c>
    </row>
    <row r="125" spans="1:11" x14ac:dyDescent="0.2">
      <c r="A125" s="11"/>
      <c r="B125" s="9"/>
      <c r="C125" s="9">
        <v>91786</v>
      </c>
      <c r="D125" s="9">
        <v>4</v>
      </c>
      <c r="E125" s="9">
        <v>101912674</v>
      </c>
      <c r="F125" s="9" t="s">
        <v>914</v>
      </c>
      <c r="G125" s="9" t="s">
        <v>113</v>
      </c>
      <c r="H125" s="9" t="s">
        <v>113</v>
      </c>
      <c r="I125" s="9" t="s">
        <v>113</v>
      </c>
      <c r="J125" s="9" t="s">
        <v>113</v>
      </c>
      <c r="K125" s="13" t="s">
        <v>183</v>
      </c>
    </row>
    <row r="126" spans="1:11" x14ac:dyDescent="0.2">
      <c r="A126" s="12"/>
      <c r="C126" s="4">
        <v>91730</v>
      </c>
      <c r="D126" s="4">
        <v>4</v>
      </c>
      <c r="E126" s="4">
        <v>103713837</v>
      </c>
      <c r="F126" s="4" t="s">
        <v>914</v>
      </c>
      <c r="G126" s="4" t="s">
        <v>113</v>
      </c>
      <c r="H126" s="4" t="s">
        <v>113</v>
      </c>
      <c r="I126" s="4" t="s">
        <v>113</v>
      </c>
      <c r="J126" s="4" t="s">
        <v>113</v>
      </c>
      <c r="K126" s="14" t="s">
        <v>113</v>
      </c>
    </row>
    <row r="127" spans="1:11" x14ac:dyDescent="0.2">
      <c r="A127" s="11"/>
      <c r="B127" s="9"/>
      <c r="C127" s="9">
        <v>91768</v>
      </c>
      <c r="D127" s="9">
        <v>4.2</v>
      </c>
      <c r="E127" s="9">
        <v>117889</v>
      </c>
      <c r="F127" s="9" t="s">
        <v>914</v>
      </c>
      <c r="G127" s="9" t="s">
        <v>113</v>
      </c>
      <c r="H127" s="9" t="s">
        <v>113</v>
      </c>
      <c r="I127" s="9" t="s">
        <v>113</v>
      </c>
      <c r="J127" s="9" t="s">
        <v>113</v>
      </c>
      <c r="K127" s="13" t="s">
        <v>113</v>
      </c>
    </row>
    <row r="128" spans="1:11" x14ac:dyDescent="0.2">
      <c r="A128" s="12"/>
      <c r="C128" s="4">
        <v>91784</v>
      </c>
      <c r="D128" s="4">
        <v>4.5</v>
      </c>
      <c r="E128" s="4">
        <v>102488281</v>
      </c>
      <c r="F128" s="4" t="s">
        <v>914</v>
      </c>
      <c r="G128" s="4" t="s">
        <v>113</v>
      </c>
      <c r="H128" s="4" t="s">
        <v>113</v>
      </c>
      <c r="I128" s="4" t="s">
        <v>113</v>
      </c>
      <c r="J128" s="4" t="s">
        <v>113</v>
      </c>
      <c r="K128" s="14" t="s">
        <v>113</v>
      </c>
    </row>
    <row r="129" spans="1:11" x14ac:dyDescent="0.2">
      <c r="A129" s="11"/>
      <c r="B129" s="9"/>
      <c r="C129" s="9">
        <v>91784</v>
      </c>
      <c r="D129" s="9">
        <v>4.5</v>
      </c>
      <c r="E129" s="9">
        <v>10345447</v>
      </c>
      <c r="F129" s="9" t="s">
        <v>914</v>
      </c>
      <c r="G129" s="9" t="s">
        <v>103</v>
      </c>
      <c r="H129" s="9" t="s">
        <v>74</v>
      </c>
      <c r="I129" s="9" t="s">
        <v>74</v>
      </c>
      <c r="J129" s="9" t="s">
        <v>74</v>
      </c>
      <c r="K129" s="13" t="s">
        <v>74</v>
      </c>
    </row>
    <row r="130" spans="1:11" x14ac:dyDescent="0.2">
      <c r="A130" s="12"/>
      <c r="C130" s="4">
        <v>91786</v>
      </c>
      <c r="D130" s="4">
        <v>4.5999999999999996</v>
      </c>
      <c r="E130" s="4">
        <v>10361235</v>
      </c>
      <c r="F130" s="4" t="s">
        <v>914</v>
      </c>
      <c r="G130" s="4" t="s">
        <v>98</v>
      </c>
      <c r="H130" s="4" t="s">
        <v>98</v>
      </c>
      <c r="I130" s="4" t="s">
        <v>98</v>
      </c>
      <c r="J130" s="4" t="s">
        <v>98</v>
      </c>
      <c r="K130" s="14" t="s">
        <v>98</v>
      </c>
    </row>
    <row r="131" spans="1:11" x14ac:dyDescent="0.2">
      <c r="A131" s="11"/>
      <c r="B131" s="9"/>
      <c r="C131" s="9">
        <v>91766</v>
      </c>
      <c r="D131" s="9">
        <v>4.5999999999999996</v>
      </c>
      <c r="E131" s="9">
        <v>103735811</v>
      </c>
      <c r="F131" s="9" t="s">
        <v>914</v>
      </c>
      <c r="G131" s="9" t="s">
        <v>113</v>
      </c>
      <c r="H131" s="9" t="s">
        <v>113</v>
      </c>
      <c r="I131" s="9" t="s">
        <v>113</v>
      </c>
      <c r="J131" s="9" t="s">
        <v>103</v>
      </c>
      <c r="K131" s="13" t="s">
        <v>103</v>
      </c>
    </row>
    <row r="132" spans="1:11" x14ac:dyDescent="0.2">
      <c r="A132" s="11"/>
      <c r="B132" s="9"/>
      <c r="C132" s="9">
        <v>91750</v>
      </c>
      <c r="D132" s="9">
        <v>4.7</v>
      </c>
      <c r="E132" s="9">
        <v>10366701</v>
      </c>
      <c r="F132" s="9" t="s">
        <v>914</v>
      </c>
      <c r="G132" s="9" t="s">
        <v>113</v>
      </c>
      <c r="H132" s="9" t="s">
        <v>113</v>
      </c>
      <c r="I132" s="9" t="s">
        <v>113</v>
      </c>
      <c r="J132" s="9" t="s">
        <v>191</v>
      </c>
      <c r="K132" s="13" t="s">
        <v>191</v>
      </c>
    </row>
    <row r="133" spans="1:11" x14ac:dyDescent="0.2">
      <c r="A133" s="11"/>
      <c r="B133" s="9"/>
      <c r="C133" s="9">
        <v>91762</v>
      </c>
      <c r="D133" s="9">
        <v>5</v>
      </c>
      <c r="E133" s="9">
        <v>10358767</v>
      </c>
      <c r="F133" s="9" t="s">
        <v>914</v>
      </c>
      <c r="G133" s="9" t="s">
        <v>113</v>
      </c>
      <c r="H133" s="9" t="s">
        <v>113</v>
      </c>
      <c r="I133" s="9" t="s">
        <v>103</v>
      </c>
      <c r="J133" s="9" t="s">
        <v>113</v>
      </c>
      <c r="K133" s="13" t="s">
        <v>113</v>
      </c>
    </row>
    <row r="134" spans="1:11" x14ac:dyDescent="0.2">
      <c r="A134" s="12"/>
      <c r="C134" s="4">
        <v>91762</v>
      </c>
      <c r="D134" s="4">
        <v>5</v>
      </c>
      <c r="E134" s="4">
        <v>103454181</v>
      </c>
      <c r="F134" s="4" t="s">
        <v>914</v>
      </c>
      <c r="G134" s="4" t="s">
        <v>113</v>
      </c>
      <c r="H134" s="4" t="s">
        <v>113</v>
      </c>
      <c r="I134" s="4" t="s">
        <v>113</v>
      </c>
      <c r="J134" s="4" t="s">
        <v>113</v>
      </c>
      <c r="K134" s="14" t="s">
        <v>113</v>
      </c>
    </row>
    <row r="135" spans="1:11" x14ac:dyDescent="0.2">
      <c r="A135" s="12"/>
      <c r="C135" s="4">
        <v>91763</v>
      </c>
      <c r="D135" s="4">
        <v>5</v>
      </c>
      <c r="E135" s="4">
        <v>10370556</v>
      </c>
      <c r="F135" s="4" t="s">
        <v>914</v>
      </c>
      <c r="G135" s="4" t="s">
        <v>108</v>
      </c>
      <c r="H135" s="4" t="s">
        <v>113</v>
      </c>
      <c r="I135" s="4" t="s">
        <v>108</v>
      </c>
      <c r="J135" s="4" t="s">
        <v>113</v>
      </c>
      <c r="K135" s="14" t="s">
        <v>113</v>
      </c>
    </row>
    <row r="136" spans="1:11" x14ac:dyDescent="0.2">
      <c r="A136" s="12"/>
      <c r="C136" s="4">
        <v>91784</v>
      </c>
      <c r="D136" s="4">
        <v>5</v>
      </c>
      <c r="E136" s="4">
        <v>10361237</v>
      </c>
      <c r="F136" s="4" t="s">
        <v>914</v>
      </c>
      <c r="G136" s="4" t="s">
        <v>113</v>
      </c>
      <c r="H136" s="4" t="s">
        <v>113</v>
      </c>
      <c r="I136" s="4" t="s">
        <v>113</v>
      </c>
      <c r="J136" s="4" t="s">
        <v>113</v>
      </c>
      <c r="K136" s="14" t="s">
        <v>103</v>
      </c>
    </row>
    <row r="137" spans="1:11" x14ac:dyDescent="0.2">
      <c r="A137" s="11"/>
      <c r="B137" s="9"/>
      <c r="C137" s="9">
        <v>91750</v>
      </c>
      <c r="D137" s="9">
        <v>5</v>
      </c>
      <c r="E137" s="9">
        <v>10283454</v>
      </c>
      <c r="F137" s="9" t="s">
        <v>914</v>
      </c>
      <c r="G137" s="9" t="s">
        <v>113</v>
      </c>
      <c r="H137" s="9" t="s">
        <v>113</v>
      </c>
      <c r="I137" s="9" t="s">
        <v>113</v>
      </c>
      <c r="J137" s="9" t="s">
        <v>113</v>
      </c>
      <c r="K137" s="13" t="s">
        <v>113</v>
      </c>
    </row>
    <row r="138" spans="1:11" x14ac:dyDescent="0.2">
      <c r="A138" s="12"/>
      <c r="C138" s="4">
        <v>91711</v>
      </c>
      <c r="D138" s="4">
        <v>5</v>
      </c>
      <c r="E138" s="4">
        <v>103393774</v>
      </c>
      <c r="F138" s="4" t="s">
        <v>914</v>
      </c>
      <c r="G138" s="4" t="s">
        <v>113</v>
      </c>
      <c r="H138" s="4" t="s">
        <v>113</v>
      </c>
      <c r="I138" s="4" t="s">
        <v>113</v>
      </c>
      <c r="J138" s="4" t="s">
        <v>113</v>
      </c>
      <c r="K138" s="14" t="s">
        <v>113</v>
      </c>
    </row>
    <row r="139" spans="1:11" x14ac:dyDescent="0.2">
      <c r="A139" s="12"/>
      <c r="C139" s="4">
        <v>91750</v>
      </c>
      <c r="D139" s="4">
        <v>5</v>
      </c>
      <c r="E139" s="4">
        <v>1035574</v>
      </c>
      <c r="F139" s="4" t="s">
        <v>914</v>
      </c>
      <c r="G139" s="4" t="s">
        <v>113</v>
      </c>
      <c r="H139" s="4" t="s">
        <v>113</v>
      </c>
      <c r="I139" s="4" t="s">
        <v>113</v>
      </c>
      <c r="J139" s="4" t="s">
        <v>113</v>
      </c>
      <c r="K139" s="14" t="s">
        <v>113</v>
      </c>
    </row>
    <row r="140" spans="1:11" x14ac:dyDescent="0.2">
      <c r="A140" s="12"/>
      <c r="C140" s="4">
        <v>91711</v>
      </c>
      <c r="D140" s="4">
        <v>5</v>
      </c>
      <c r="E140" s="4">
        <v>10366861</v>
      </c>
      <c r="F140" s="4" t="s">
        <v>914</v>
      </c>
      <c r="G140" s="4" t="s">
        <v>113</v>
      </c>
      <c r="H140" s="4" t="s">
        <v>113</v>
      </c>
      <c r="I140" s="4" t="s">
        <v>113</v>
      </c>
      <c r="J140" s="4" t="s">
        <v>113</v>
      </c>
      <c r="K140" s="14" t="s">
        <v>113</v>
      </c>
    </row>
    <row r="141" spans="1:11" x14ac:dyDescent="0.2">
      <c r="A141" s="11"/>
      <c r="B141" s="9"/>
      <c r="C141" s="9">
        <v>91767</v>
      </c>
      <c r="D141" s="9">
        <v>5</v>
      </c>
      <c r="E141" s="9">
        <v>10138149</v>
      </c>
      <c r="F141" s="9" t="s">
        <v>914</v>
      </c>
      <c r="G141" s="9" t="s">
        <v>103</v>
      </c>
      <c r="H141" s="9" t="s">
        <v>103</v>
      </c>
      <c r="I141" s="9" t="s">
        <v>103</v>
      </c>
      <c r="J141" s="9" t="s">
        <v>103</v>
      </c>
      <c r="K141" s="13" t="s">
        <v>103</v>
      </c>
    </row>
    <row r="142" spans="1:11" x14ac:dyDescent="0.2">
      <c r="A142" s="11"/>
      <c r="B142" s="9"/>
      <c r="C142" s="9">
        <v>91750</v>
      </c>
      <c r="D142" s="9">
        <v>5</v>
      </c>
      <c r="E142" s="9">
        <v>10371627</v>
      </c>
      <c r="F142" s="9" t="s">
        <v>919</v>
      </c>
      <c r="G142" s="9" t="s">
        <v>113</v>
      </c>
      <c r="H142" s="9" t="s">
        <v>113</v>
      </c>
      <c r="I142" s="9" t="s">
        <v>113</v>
      </c>
      <c r="J142" s="9" t="s">
        <v>113</v>
      </c>
      <c r="K142" s="13" t="s">
        <v>113</v>
      </c>
    </row>
    <row r="143" spans="1:11" x14ac:dyDescent="0.2">
      <c r="A143" s="12"/>
      <c r="C143" s="4">
        <v>91786</v>
      </c>
      <c r="D143" s="4">
        <v>5</v>
      </c>
      <c r="E143" s="4" t="s">
        <v>1046</v>
      </c>
      <c r="F143" s="4" t="s">
        <v>914</v>
      </c>
      <c r="G143" s="4" t="s">
        <v>113</v>
      </c>
      <c r="H143" s="4" t="s">
        <v>113</v>
      </c>
      <c r="I143" s="4" t="s">
        <v>113</v>
      </c>
      <c r="J143" s="4" t="s">
        <v>113</v>
      </c>
      <c r="K143" s="14" t="s">
        <v>113</v>
      </c>
    </row>
    <row r="144" spans="1:11" x14ac:dyDescent="0.2">
      <c r="A144" s="12"/>
      <c r="C144" s="4">
        <v>91763</v>
      </c>
      <c r="D144" s="4">
        <v>5</v>
      </c>
      <c r="E144" s="4">
        <v>10144352</v>
      </c>
      <c r="F144" s="4" t="s">
        <v>914</v>
      </c>
      <c r="G144" s="4" t="s">
        <v>113</v>
      </c>
      <c r="H144" s="4" t="s">
        <v>113</v>
      </c>
      <c r="I144" s="4" t="s">
        <v>113</v>
      </c>
      <c r="J144" s="4" t="s">
        <v>113</v>
      </c>
      <c r="K144" s="14" t="s">
        <v>113</v>
      </c>
    </row>
    <row r="145" spans="1:11" x14ac:dyDescent="0.2">
      <c r="A145" s="11"/>
      <c r="B145" s="9"/>
      <c r="C145" s="9">
        <v>91786</v>
      </c>
      <c r="D145" s="9">
        <v>5</v>
      </c>
      <c r="E145" s="9">
        <v>10243165</v>
      </c>
      <c r="F145" s="9" t="s">
        <v>914</v>
      </c>
      <c r="G145" s="9" t="s">
        <v>98</v>
      </c>
      <c r="H145" s="9" t="s">
        <v>98</v>
      </c>
      <c r="I145" s="9" t="s">
        <v>98</v>
      </c>
      <c r="J145" s="9" t="s">
        <v>98</v>
      </c>
      <c r="K145" s="13" t="s">
        <v>98</v>
      </c>
    </row>
    <row r="146" spans="1:11" x14ac:dyDescent="0.2">
      <c r="A146" s="12"/>
      <c r="C146" s="4">
        <v>91766</v>
      </c>
      <c r="D146" s="4">
        <v>5</v>
      </c>
      <c r="E146" s="4">
        <v>10158502</v>
      </c>
      <c r="F146" s="4" t="s">
        <v>914</v>
      </c>
      <c r="G146" s="4" t="s">
        <v>113</v>
      </c>
      <c r="H146" s="4" t="s">
        <v>113</v>
      </c>
      <c r="I146" s="4" t="s">
        <v>113</v>
      </c>
      <c r="J146" s="4" t="s">
        <v>113</v>
      </c>
      <c r="K146" s="14" t="s">
        <v>113</v>
      </c>
    </row>
    <row r="147" spans="1:11" x14ac:dyDescent="0.2">
      <c r="A147" s="12"/>
      <c r="C147" s="4">
        <v>91750</v>
      </c>
      <c r="D147" s="4">
        <v>5</v>
      </c>
      <c r="E147" s="4">
        <v>10018465</v>
      </c>
      <c r="F147" s="4" t="s">
        <v>914</v>
      </c>
      <c r="G147" s="4" t="s">
        <v>113</v>
      </c>
      <c r="H147" s="4" t="s">
        <v>113</v>
      </c>
      <c r="I147" s="4" t="s">
        <v>103</v>
      </c>
      <c r="J147" s="4" t="s">
        <v>113</v>
      </c>
      <c r="K147" s="14" t="s">
        <v>113</v>
      </c>
    </row>
    <row r="148" spans="1:11" x14ac:dyDescent="0.2">
      <c r="A148" s="11"/>
      <c r="B148" s="9"/>
      <c r="C148" s="9">
        <v>91768</v>
      </c>
      <c r="D148" s="9">
        <v>5</v>
      </c>
      <c r="E148" s="9">
        <v>10243224</v>
      </c>
      <c r="F148" s="9" t="s">
        <v>914</v>
      </c>
      <c r="G148" s="9" t="s">
        <v>113</v>
      </c>
      <c r="H148" s="9" t="s">
        <v>113</v>
      </c>
      <c r="I148" s="9" t="s">
        <v>113</v>
      </c>
      <c r="J148" s="9" t="s">
        <v>113</v>
      </c>
      <c r="K148" s="13" t="s">
        <v>113</v>
      </c>
    </row>
    <row r="149" spans="1:11" x14ac:dyDescent="0.2">
      <c r="A149" s="12"/>
      <c r="C149" s="4">
        <v>91763</v>
      </c>
      <c r="D149" s="4">
        <v>5</v>
      </c>
      <c r="E149" s="4" t="s">
        <v>1052</v>
      </c>
      <c r="F149" s="4" t="s">
        <v>914</v>
      </c>
      <c r="G149" s="4" t="s">
        <v>103</v>
      </c>
      <c r="H149" s="4" t="s">
        <v>103</v>
      </c>
      <c r="I149" s="4" t="s">
        <v>103</v>
      </c>
      <c r="J149" s="4" t="s">
        <v>103</v>
      </c>
      <c r="K149" s="14" t="s">
        <v>103</v>
      </c>
    </row>
    <row r="150" spans="1:11" x14ac:dyDescent="0.2">
      <c r="A150" s="12"/>
      <c r="C150" s="4">
        <v>91786</v>
      </c>
      <c r="D150" s="4">
        <v>5</v>
      </c>
      <c r="E150" s="4">
        <v>10366717</v>
      </c>
      <c r="F150" s="4" t="s">
        <v>914</v>
      </c>
      <c r="G150" s="4" t="s">
        <v>113</v>
      </c>
      <c r="H150" s="4" t="s">
        <v>113</v>
      </c>
      <c r="I150" s="4" t="s">
        <v>113</v>
      </c>
      <c r="J150" s="4" t="s">
        <v>113</v>
      </c>
      <c r="K150" s="14" t="s">
        <v>113</v>
      </c>
    </row>
    <row r="151" spans="1:11" x14ac:dyDescent="0.2">
      <c r="A151" s="11"/>
      <c r="B151" s="9"/>
      <c r="C151" s="9">
        <v>91702</v>
      </c>
      <c r="D151" s="9">
        <v>5</v>
      </c>
      <c r="E151" s="9">
        <v>10334912</v>
      </c>
      <c r="F151" s="9" t="s">
        <v>919</v>
      </c>
      <c r="G151" s="9" t="s">
        <v>113</v>
      </c>
      <c r="H151" s="9" t="s">
        <v>113</v>
      </c>
      <c r="I151" s="9" t="s">
        <v>113</v>
      </c>
      <c r="J151" s="9" t="s">
        <v>113</v>
      </c>
      <c r="K151" s="13" t="s">
        <v>113</v>
      </c>
    </row>
    <row r="152" spans="1:11" x14ac:dyDescent="0.2">
      <c r="A152" s="12"/>
      <c r="C152" s="4">
        <v>91762</v>
      </c>
      <c r="D152" s="4">
        <v>5</v>
      </c>
      <c r="E152" s="4">
        <v>10361257</v>
      </c>
      <c r="F152" s="4" t="s">
        <v>914</v>
      </c>
      <c r="G152" s="4" t="s">
        <v>113</v>
      </c>
      <c r="H152" s="4" t="s">
        <v>113</v>
      </c>
      <c r="I152" s="4" t="s">
        <v>92</v>
      </c>
      <c r="J152" s="4" t="s">
        <v>113</v>
      </c>
      <c r="K152" s="14" t="s">
        <v>92</v>
      </c>
    </row>
    <row r="153" spans="1:11" x14ac:dyDescent="0.2">
      <c r="A153" s="11"/>
      <c r="B153" s="9"/>
      <c r="C153" s="9">
        <v>91673</v>
      </c>
      <c r="D153" s="9">
        <v>5</v>
      </c>
      <c r="E153" s="9" t="s">
        <v>1057</v>
      </c>
      <c r="F153" s="9" t="s">
        <v>914</v>
      </c>
      <c r="G153" s="9" t="s">
        <v>113</v>
      </c>
      <c r="H153" s="9" t="s">
        <v>113</v>
      </c>
      <c r="I153" s="9" t="s">
        <v>113</v>
      </c>
      <c r="J153" s="9" t="s">
        <v>113</v>
      </c>
      <c r="K153" s="13" t="s">
        <v>113</v>
      </c>
    </row>
    <row r="154" spans="1:11" x14ac:dyDescent="0.2">
      <c r="A154" s="11"/>
      <c r="B154" s="9"/>
      <c r="C154" s="9">
        <v>91710</v>
      </c>
      <c r="D154" s="9">
        <v>5.2</v>
      </c>
      <c r="E154" s="9">
        <v>10364131</v>
      </c>
      <c r="F154" s="9" t="s">
        <v>914</v>
      </c>
      <c r="G154" s="9" t="s">
        <v>113</v>
      </c>
      <c r="H154" s="9" t="s">
        <v>103</v>
      </c>
      <c r="I154" s="9" t="s">
        <v>103</v>
      </c>
      <c r="J154" s="9" t="s">
        <v>103</v>
      </c>
      <c r="K154" s="13" t="s">
        <v>103</v>
      </c>
    </row>
    <row r="155" spans="1:11" x14ac:dyDescent="0.2">
      <c r="A155" s="11"/>
      <c r="B155" s="9"/>
      <c r="C155" s="9">
        <v>91784</v>
      </c>
      <c r="D155" s="9">
        <v>5.6</v>
      </c>
      <c r="E155" s="9">
        <v>10358547</v>
      </c>
      <c r="F155" s="9" t="s">
        <v>914</v>
      </c>
      <c r="G155" s="9" t="s">
        <v>191</v>
      </c>
      <c r="H155" s="9" t="s">
        <v>191</v>
      </c>
      <c r="I155" s="9" t="s">
        <v>191</v>
      </c>
      <c r="J155" s="9" t="s">
        <v>191</v>
      </c>
      <c r="K155" s="13" t="s">
        <v>191</v>
      </c>
    </row>
    <row r="156" spans="1:11" x14ac:dyDescent="0.2">
      <c r="A156" s="12"/>
      <c r="C156" s="4">
        <v>91762</v>
      </c>
      <c r="D156" s="4">
        <v>6</v>
      </c>
      <c r="E156" s="4">
        <v>10043333</v>
      </c>
      <c r="F156" s="4" t="s">
        <v>914</v>
      </c>
      <c r="G156" s="4" t="s">
        <v>113</v>
      </c>
      <c r="H156" s="4" t="s">
        <v>113</v>
      </c>
      <c r="I156" s="4" t="s">
        <v>113</v>
      </c>
      <c r="J156" s="4" t="s">
        <v>113</v>
      </c>
      <c r="K156" s="14" t="s">
        <v>113</v>
      </c>
    </row>
    <row r="157" spans="1:11" x14ac:dyDescent="0.2">
      <c r="A157" s="12"/>
      <c r="C157" s="4">
        <v>91764</v>
      </c>
      <c r="D157" s="4">
        <v>6</v>
      </c>
      <c r="E157" s="4" t="s">
        <v>1059</v>
      </c>
      <c r="F157" s="4" t="s">
        <v>914</v>
      </c>
      <c r="G157" s="4" t="s">
        <v>113</v>
      </c>
      <c r="H157" s="4" t="s">
        <v>113</v>
      </c>
      <c r="I157" s="4" t="s">
        <v>113</v>
      </c>
      <c r="J157" s="4" t="s">
        <v>113</v>
      </c>
      <c r="K157" s="14" t="s">
        <v>113</v>
      </c>
    </row>
    <row r="158" spans="1:11" x14ac:dyDescent="0.2">
      <c r="A158" s="12"/>
      <c r="C158" s="4">
        <v>91706</v>
      </c>
      <c r="D158" s="4">
        <v>6</v>
      </c>
      <c r="E158" s="4">
        <v>10366662</v>
      </c>
      <c r="F158" s="4" t="s">
        <v>914</v>
      </c>
      <c r="G158" s="4" t="s">
        <v>103</v>
      </c>
      <c r="H158" s="4" t="s">
        <v>103</v>
      </c>
      <c r="I158" s="4" t="s">
        <v>103</v>
      </c>
      <c r="J158" s="4" t="s">
        <v>103</v>
      </c>
      <c r="K158" s="14" t="s">
        <v>103</v>
      </c>
    </row>
    <row r="159" spans="1:11" x14ac:dyDescent="0.2">
      <c r="A159" s="12"/>
      <c r="C159" s="4">
        <v>91762</v>
      </c>
      <c r="D159" s="4">
        <v>6</v>
      </c>
      <c r="E159" s="4">
        <v>10042946</v>
      </c>
      <c r="F159" s="4" t="s">
        <v>914</v>
      </c>
      <c r="G159" s="4" t="s">
        <v>113</v>
      </c>
      <c r="H159" s="4" t="s">
        <v>113</v>
      </c>
      <c r="I159" s="4" t="s">
        <v>113</v>
      </c>
      <c r="J159" s="4" t="s">
        <v>113</v>
      </c>
      <c r="K159" s="14" t="s">
        <v>113</v>
      </c>
    </row>
    <row r="160" spans="1:11" x14ac:dyDescent="0.2">
      <c r="A160" s="12"/>
      <c r="C160" s="4">
        <v>91766</v>
      </c>
      <c r="D160" s="4">
        <v>6</v>
      </c>
      <c r="E160" s="4">
        <v>122122</v>
      </c>
      <c r="F160" s="4" t="s">
        <v>914</v>
      </c>
      <c r="G160" s="4" t="s">
        <v>113</v>
      </c>
      <c r="H160" s="4" t="s">
        <v>113</v>
      </c>
      <c r="I160" s="4" t="s">
        <v>113</v>
      </c>
      <c r="J160" s="4" t="s">
        <v>113</v>
      </c>
      <c r="K160" s="14" t="s">
        <v>113</v>
      </c>
    </row>
    <row r="161" spans="1:11" x14ac:dyDescent="0.2">
      <c r="A161" s="11"/>
      <c r="B161" s="9"/>
      <c r="C161" s="9">
        <v>91762</v>
      </c>
      <c r="D161" s="9">
        <v>6</v>
      </c>
      <c r="E161" s="9">
        <v>103730521</v>
      </c>
      <c r="F161" s="9" t="s">
        <v>914</v>
      </c>
      <c r="G161" s="9" t="s">
        <v>933</v>
      </c>
      <c r="H161" s="9" t="s">
        <v>933</v>
      </c>
      <c r="I161" s="9" t="s">
        <v>933</v>
      </c>
      <c r="J161" s="9" t="s">
        <v>195</v>
      </c>
      <c r="K161" s="13" t="s">
        <v>933</v>
      </c>
    </row>
    <row r="162" spans="1:11" x14ac:dyDescent="0.2">
      <c r="A162" s="11"/>
      <c r="B162" s="9"/>
      <c r="C162" s="9">
        <v>91750</v>
      </c>
      <c r="D162" s="9">
        <v>6</v>
      </c>
      <c r="E162" s="9">
        <v>10271604</v>
      </c>
      <c r="F162" s="9" t="s">
        <v>914</v>
      </c>
      <c r="G162" s="9" t="s">
        <v>113</v>
      </c>
      <c r="H162" s="9" t="s">
        <v>113</v>
      </c>
      <c r="I162" s="9" t="s">
        <v>113</v>
      </c>
      <c r="J162" s="9" t="s">
        <v>113</v>
      </c>
      <c r="K162" s="13" t="s">
        <v>113</v>
      </c>
    </row>
    <row r="163" spans="1:11" x14ac:dyDescent="0.2">
      <c r="A163" s="11"/>
      <c r="B163" s="9"/>
      <c r="C163" s="9">
        <v>91730</v>
      </c>
      <c r="D163" s="9">
        <v>6</v>
      </c>
      <c r="E163" s="9">
        <v>10352784</v>
      </c>
      <c r="F163" s="9" t="s">
        <v>914</v>
      </c>
      <c r="G163" s="9" t="s">
        <v>113</v>
      </c>
      <c r="H163" s="9" t="s">
        <v>113</v>
      </c>
      <c r="I163" s="9" t="s">
        <v>113</v>
      </c>
      <c r="J163" s="9" t="s">
        <v>113</v>
      </c>
      <c r="K163" s="13" t="s">
        <v>113</v>
      </c>
    </row>
    <row r="164" spans="1:11" x14ac:dyDescent="0.2">
      <c r="A164" s="11"/>
      <c r="B164" s="9"/>
      <c r="C164" s="9">
        <v>91784</v>
      </c>
      <c r="D164" s="9">
        <v>6</v>
      </c>
      <c r="E164" s="9">
        <v>103730312</v>
      </c>
      <c r="F164" s="9" t="s">
        <v>919</v>
      </c>
      <c r="G164" s="9" t="s">
        <v>113</v>
      </c>
      <c r="H164" s="9" t="s">
        <v>113</v>
      </c>
      <c r="I164" s="9" t="s">
        <v>113</v>
      </c>
      <c r="J164" s="9" t="s">
        <v>113</v>
      </c>
      <c r="K164" s="13" t="s">
        <v>113</v>
      </c>
    </row>
    <row r="165" spans="1:11" x14ac:dyDescent="0.2">
      <c r="A165" s="12"/>
      <c r="C165" s="4">
        <v>91730</v>
      </c>
      <c r="D165" s="4">
        <v>6</v>
      </c>
      <c r="E165" s="4">
        <v>10352674</v>
      </c>
      <c r="F165" s="4" t="s">
        <v>914</v>
      </c>
      <c r="G165" s="4" t="s">
        <v>113</v>
      </c>
      <c r="H165" s="4" t="s">
        <v>113</v>
      </c>
      <c r="I165" s="4" t="s">
        <v>113</v>
      </c>
      <c r="J165" s="4" t="s">
        <v>113</v>
      </c>
      <c r="K165" s="14" t="s">
        <v>113</v>
      </c>
    </row>
    <row r="166" spans="1:11" x14ac:dyDescent="0.2">
      <c r="A166" s="12"/>
      <c r="C166" s="4">
        <v>91784</v>
      </c>
      <c r="D166" s="4">
        <v>6</v>
      </c>
      <c r="E166" s="4">
        <v>100870641</v>
      </c>
      <c r="F166" s="4" t="s">
        <v>914</v>
      </c>
      <c r="G166" s="4" t="s">
        <v>113</v>
      </c>
      <c r="H166" s="4" t="s">
        <v>113</v>
      </c>
      <c r="I166" s="4" t="s">
        <v>113</v>
      </c>
      <c r="J166" s="4" t="s">
        <v>113</v>
      </c>
      <c r="K166" s="14" t="s">
        <v>113</v>
      </c>
    </row>
    <row r="167" spans="1:11" x14ac:dyDescent="0.2">
      <c r="A167" s="12"/>
      <c r="C167" s="4">
        <v>91784</v>
      </c>
      <c r="D167" s="4">
        <v>6.1</v>
      </c>
      <c r="E167" s="4">
        <v>103559453</v>
      </c>
      <c r="F167" s="4" t="s">
        <v>914</v>
      </c>
      <c r="G167" s="4" t="s">
        <v>202</v>
      </c>
      <c r="H167" s="4" t="s">
        <v>202</v>
      </c>
      <c r="I167" s="4" t="s">
        <v>113</v>
      </c>
      <c r="J167" s="4" t="s">
        <v>113</v>
      </c>
      <c r="K167" s="14" t="s">
        <v>113</v>
      </c>
    </row>
    <row r="168" spans="1:11" x14ac:dyDescent="0.2">
      <c r="A168" s="11"/>
      <c r="B168" s="9"/>
      <c r="C168" s="9">
        <v>91730</v>
      </c>
      <c r="D168" s="9">
        <v>7</v>
      </c>
      <c r="E168" s="9">
        <v>10089053</v>
      </c>
      <c r="F168" s="9" t="s">
        <v>914</v>
      </c>
      <c r="G168" s="9" t="s">
        <v>113</v>
      </c>
      <c r="H168" s="9" t="s">
        <v>113</v>
      </c>
      <c r="I168" s="9" t="s">
        <v>113</v>
      </c>
      <c r="J168" s="9" t="s">
        <v>113</v>
      </c>
      <c r="K168" s="13" t="s">
        <v>113</v>
      </c>
    </row>
    <row r="169" spans="1:11" x14ac:dyDescent="0.2">
      <c r="A169" s="11"/>
      <c r="B169" s="9"/>
      <c r="C169" s="9">
        <v>91784</v>
      </c>
      <c r="D169" s="9">
        <v>7</v>
      </c>
      <c r="E169" s="9">
        <v>10180504</v>
      </c>
      <c r="F169" s="9" t="s">
        <v>914</v>
      </c>
      <c r="G169" s="9" t="s">
        <v>113</v>
      </c>
      <c r="H169" s="9" t="s">
        <v>113</v>
      </c>
      <c r="I169" s="9" t="s">
        <v>113</v>
      </c>
      <c r="J169" s="9" t="s">
        <v>113</v>
      </c>
      <c r="K169" s="13" t="s">
        <v>113</v>
      </c>
    </row>
    <row r="170" spans="1:11" x14ac:dyDescent="0.2">
      <c r="A170" s="11"/>
      <c r="B170" s="9"/>
      <c r="C170" s="9">
        <v>91764</v>
      </c>
      <c r="D170" s="9">
        <v>7</v>
      </c>
      <c r="E170" s="9">
        <v>10373053</v>
      </c>
      <c r="F170" s="9" t="s">
        <v>914</v>
      </c>
      <c r="G170" s="9" t="s">
        <v>113</v>
      </c>
      <c r="H170" s="9" t="s">
        <v>113</v>
      </c>
      <c r="I170" s="9" t="s">
        <v>113</v>
      </c>
      <c r="J170" s="9" t="s">
        <v>113</v>
      </c>
      <c r="K170" s="13" t="s">
        <v>113</v>
      </c>
    </row>
    <row r="171" spans="1:11" x14ac:dyDescent="0.2">
      <c r="A171" s="12"/>
      <c r="C171" s="4">
        <v>91753</v>
      </c>
      <c r="D171" s="4">
        <v>7</v>
      </c>
      <c r="E171" s="4">
        <v>10368510</v>
      </c>
      <c r="F171" s="4" t="s">
        <v>914</v>
      </c>
      <c r="G171" s="4" t="s">
        <v>113</v>
      </c>
      <c r="H171" s="4" t="s">
        <v>113</v>
      </c>
      <c r="I171" s="4" t="s">
        <v>113</v>
      </c>
      <c r="J171" s="4" t="s">
        <v>113</v>
      </c>
      <c r="K171" s="14" t="s">
        <v>113</v>
      </c>
    </row>
    <row r="172" spans="1:11" x14ac:dyDescent="0.2">
      <c r="A172" s="11"/>
      <c r="B172" s="9"/>
      <c r="C172" s="9">
        <v>91786</v>
      </c>
      <c r="D172" s="9">
        <v>7</v>
      </c>
      <c r="E172" s="9">
        <v>103704832</v>
      </c>
      <c r="F172" s="9" t="s">
        <v>914</v>
      </c>
      <c r="G172" s="9" t="s">
        <v>113</v>
      </c>
      <c r="H172" s="9" t="s">
        <v>113</v>
      </c>
      <c r="I172" s="9" t="s">
        <v>113</v>
      </c>
      <c r="J172" s="9" t="s">
        <v>113</v>
      </c>
      <c r="K172" s="13" t="s">
        <v>113</v>
      </c>
    </row>
    <row r="173" spans="1:11" x14ac:dyDescent="0.2">
      <c r="A173" s="11"/>
      <c r="B173" s="9"/>
      <c r="C173" s="9">
        <v>91768</v>
      </c>
      <c r="D173" s="9">
        <v>7</v>
      </c>
      <c r="E173" s="9">
        <v>10168793</v>
      </c>
      <c r="F173" s="9" t="s">
        <v>914</v>
      </c>
      <c r="G173" s="9" t="s">
        <v>113</v>
      </c>
      <c r="H173" s="9" t="s">
        <v>113</v>
      </c>
      <c r="I173" s="9" t="s">
        <v>113</v>
      </c>
      <c r="J173" s="9" t="s">
        <v>113</v>
      </c>
      <c r="K173" s="13" t="s">
        <v>113</v>
      </c>
    </row>
    <row r="174" spans="1:11" x14ac:dyDescent="0.2">
      <c r="A174" s="11"/>
      <c r="B174" s="9"/>
      <c r="C174" s="9">
        <v>91750</v>
      </c>
      <c r="D174" s="9">
        <v>7</v>
      </c>
      <c r="E174" s="9">
        <v>10362550</v>
      </c>
      <c r="F174" s="9" t="s">
        <v>914</v>
      </c>
      <c r="G174" s="9" t="s">
        <v>103</v>
      </c>
      <c r="H174" s="9" t="s">
        <v>113</v>
      </c>
      <c r="I174" s="9" t="s">
        <v>113</v>
      </c>
      <c r="J174" s="9" t="s">
        <v>113</v>
      </c>
      <c r="K174" s="13" t="s">
        <v>113</v>
      </c>
    </row>
    <row r="175" spans="1:11" x14ac:dyDescent="0.2">
      <c r="A175" s="11"/>
      <c r="B175" s="9"/>
      <c r="C175" s="9">
        <v>91750</v>
      </c>
      <c r="D175" s="9">
        <v>7</v>
      </c>
      <c r="E175" s="9">
        <v>10279896</v>
      </c>
      <c r="F175" s="9" t="s">
        <v>914</v>
      </c>
      <c r="G175" s="9" t="s">
        <v>1016</v>
      </c>
      <c r="H175" s="9" t="s">
        <v>1016</v>
      </c>
      <c r="I175" s="9" t="s">
        <v>1016</v>
      </c>
      <c r="J175" s="9" t="s">
        <v>1016</v>
      </c>
      <c r="K175" s="13" t="s">
        <v>1016</v>
      </c>
    </row>
    <row r="176" spans="1:11" x14ac:dyDescent="0.2">
      <c r="A176" s="11"/>
      <c r="B176" s="9"/>
      <c r="C176" s="9">
        <v>91740</v>
      </c>
      <c r="D176" s="9">
        <v>7</v>
      </c>
      <c r="E176" s="9">
        <v>103726683</v>
      </c>
      <c r="F176" s="9" t="s">
        <v>914</v>
      </c>
      <c r="G176" s="9" t="s">
        <v>113</v>
      </c>
      <c r="H176" s="9" t="s">
        <v>103</v>
      </c>
      <c r="I176" s="9" t="s">
        <v>113</v>
      </c>
      <c r="J176" s="9" t="s">
        <v>113</v>
      </c>
      <c r="K176" s="13" t="s">
        <v>103</v>
      </c>
    </row>
    <row r="177" spans="1:11" x14ac:dyDescent="0.2">
      <c r="A177" s="11"/>
      <c r="B177" s="9"/>
      <c r="C177" s="9">
        <v>91784</v>
      </c>
      <c r="D177" s="9">
        <v>7</v>
      </c>
      <c r="E177" s="9">
        <v>10366651</v>
      </c>
      <c r="F177" s="9" t="s">
        <v>914</v>
      </c>
      <c r="G177" s="9" t="s">
        <v>103</v>
      </c>
      <c r="H177" s="9" t="s">
        <v>113</v>
      </c>
      <c r="I177" s="9" t="s">
        <v>113</v>
      </c>
      <c r="J177" s="9" t="s">
        <v>113</v>
      </c>
      <c r="K177" s="13" t="s">
        <v>103</v>
      </c>
    </row>
    <row r="178" spans="1:11" x14ac:dyDescent="0.2">
      <c r="A178" s="12"/>
      <c r="C178" s="4">
        <v>91784</v>
      </c>
      <c r="D178" s="4">
        <v>7.3</v>
      </c>
      <c r="E178" s="4">
        <v>103734282</v>
      </c>
      <c r="F178" s="4" t="s">
        <v>914</v>
      </c>
      <c r="G178" s="4" t="s">
        <v>113</v>
      </c>
      <c r="H178" s="4" t="s">
        <v>113</v>
      </c>
      <c r="I178" s="4" t="s">
        <v>191</v>
      </c>
      <c r="J178" s="4" t="s">
        <v>191</v>
      </c>
      <c r="K178" s="14" t="s">
        <v>191</v>
      </c>
    </row>
    <row r="179" spans="1:11" x14ac:dyDescent="0.2">
      <c r="A179" s="11"/>
      <c r="B179" s="9"/>
      <c r="C179" s="9">
        <v>91761</v>
      </c>
      <c r="D179" s="9">
        <v>7.4</v>
      </c>
      <c r="E179" s="9">
        <v>10356289</v>
      </c>
      <c r="F179" s="9" t="s">
        <v>914</v>
      </c>
      <c r="G179" s="9" t="s">
        <v>113</v>
      </c>
      <c r="H179" s="9" t="s">
        <v>113</v>
      </c>
      <c r="I179" s="9" t="s">
        <v>113</v>
      </c>
      <c r="J179" s="9" t="s">
        <v>113</v>
      </c>
      <c r="K179" s="13" t="s">
        <v>113</v>
      </c>
    </row>
    <row r="180" spans="1:11" x14ac:dyDescent="0.2">
      <c r="A180" s="11"/>
      <c r="B180" s="9"/>
      <c r="C180" s="9">
        <v>91764</v>
      </c>
      <c r="D180" s="9">
        <v>7.5</v>
      </c>
      <c r="E180" s="9">
        <v>10340696</v>
      </c>
      <c r="F180" s="9" t="s">
        <v>914</v>
      </c>
      <c r="G180" s="9" t="s">
        <v>113</v>
      </c>
      <c r="H180" s="9" t="s">
        <v>113</v>
      </c>
      <c r="I180" s="9" t="s">
        <v>113</v>
      </c>
      <c r="J180" s="9" t="s">
        <v>113</v>
      </c>
      <c r="K180" s="13" t="s">
        <v>113</v>
      </c>
    </row>
    <row r="181" spans="1:11" x14ac:dyDescent="0.2">
      <c r="A181" s="11"/>
      <c r="B181" s="9"/>
      <c r="C181" s="9">
        <v>91773</v>
      </c>
      <c r="D181" s="9">
        <v>7.8</v>
      </c>
      <c r="E181" s="9">
        <v>103742191</v>
      </c>
      <c r="F181" s="9" t="s">
        <v>919</v>
      </c>
      <c r="G181" s="9" t="s">
        <v>113</v>
      </c>
      <c r="H181" s="9" t="s">
        <v>113</v>
      </c>
      <c r="I181" s="9" t="s">
        <v>933</v>
      </c>
      <c r="J181" s="9" t="s">
        <v>113</v>
      </c>
      <c r="K181" s="13" t="s">
        <v>113</v>
      </c>
    </row>
    <row r="182" spans="1:11" x14ac:dyDescent="0.2">
      <c r="A182" s="12"/>
      <c r="C182" s="4">
        <v>91763</v>
      </c>
      <c r="D182" s="4">
        <v>8</v>
      </c>
      <c r="E182" s="4">
        <v>10346026</v>
      </c>
      <c r="F182" s="4" t="s">
        <v>914</v>
      </c>
      <c r="G182" s="4" t="s">
        <v>113</v>
      </c>
      <c r="H182" s="4" t="s">
        <v>113</v>
      </c>
      <c r="I182" s="4" t="s">
        <v>113</v>
      </c>
      <c r="J182" s="4" t="s">
        <v>113</v>
      </c>
      <c r="K182" s="14" t="s">
        <v>113</v>
      </c>
    </row>
    <row r="183" spans="1:11" x14ac:dyDescent="0.2">
      <c r="A183" s="11"/>
      <c r="B183" s="9"/>
      <c r="C183" s="9">
        <v>91750</v>
      </c>
      <c r="D183" s="9">
        <v>8</v>
      </c>
      <c r="E183" s="9">
        <v>103499721</v>
      </c>
      <c r="F183" s="9" t="s">
        <v>914</v>
      </c>
      <c r="G183" s="9" t="s">
        <v>113</v>
      </c>
      <c r="H183" s="9" t="s">
        <v>113</v>
      </c>
      <c r="I183" s="9" t="s">
        <v>113</v>
      </c>
      <c r="J183" s="9" t="s">
        <v>103</v>
      </c>
      <c r="K183" s="13" t="s">
        <v>113</v>
      </c>
    </row>
    <row r="184" spans="1:11" x14ac:dyDescent="0.2">
      <c r="A184" s="12"/>
      <c r="C184" s="4">
        <v>91762</v>
      </c>
      <c r="D184" s="4">
        <v>8</v>
      </c>
      <c r="E184" s="4">
        <v>10085156</v>
      </c>
      <c r="F184" s="4" t="s">
        <v>914</v>
      </c>
      <c r="G184" s="4" t="s">
        <v>113</v>
      </c>
      <c r="H184" s="4" t="s">
        <v>113</v>
      </c>
      <c r="I184" s="4" t="s">
        <v>113</v>
      </c>
      <c r="J184" s="4" t="s">
        <v>113</v>
      </c>
      <c r="K184" s="14" t="s">
        <v>113</v>
      </c>
    </row>
    <row r="185" spans="1:11" x14ac:dyDescent="0.2">
      <c r="A185" s="11"/>
      <c r="B185" s="9"/>
      <c r="C185" s="9">
        <v>91762</v>
      </c>
      <c r="D185" s="9">
        <v>8</v>
      </c>
      <c r="E185" s="9">
        <v>10199325</v>
      </c>
      <c r="F185" s="9" t="s">
        <v>914</v>
      </c>
      <c r="G185" s="9" t="s">
        <v>113</v>
      </c>
      <c r="H185" s="9" t="s">
        <v>113</v>
      </c>
      <c r="I185" s="9" t="s">
        <v>113</v>
      </c>
      <c r="J185" s="9" t="s">
        <v>113</v>
      </c>
      <c r="K185" s="13" t="s">
        <v>113</v>
      </c>
    </row>
    <row r="186" spans="1:11" x14ac:dyDescent="0.2">
      <c r="A186" s="11"/>
      <c r="B186" s="9"/>
      <c r="C186" s="9">
        <v>91730</v>
      </c>
      <c r="D186" s="9">
        <v>8</v>
      </c>
      <c r="E186" s="9">
        <v>10042917</v>
      </c>
      <c r="F186" s="9" t="s">
        <v>914</v>
      </c>
      <c r="G186" s="9" t="s">
        <v>113</v>
      </c>
      <c r="H186" s="9" t="s">
        <v>113</v>
      </c>
      <c r="I186" s="9" t="s">
        <v>113</v>
      </c>
      <c r="J186" s="9" t="s">
        <v>113</v>
      </c>
      <c r="K186" s="13" t="s">
        <v>113</v>
      </c>
    </row>
    <row r="187" spans="1:11" x14ac:dyDescent="0.2">
      <c r="A187" s="12"/>
      <c r="C187" s="4">
        <v>91701</v>
      </c>
      <c r="D187" s="4">
        <v>8</v>
      </c>
      <c r="E187" s="4" t="s">
        <v>1095</v>
      </c>
      <c r="F187" s="4" t="s">
        <v>914</v>
      </c>
      <c r="G187" s="4" t="s">
        <v>113</v>
      </c>
      <c r="H187" s="4" t="s">
        <v>113</v>
      </c>
      <c r="I187" s="4" t="s">
        <v>113</v>
      </c>
      <c r="J187" s="4" t="s">
        <v>113</v>
      </c>
      <c r="K187" s="14" t="s">
        <v>113</v>
      </c>
    </row>
    <row r="188" spans="1:11" x14ac:dyDescent="0.2">
      <c r="A188" s="12"/>
      <c r="C188" s="4">
        <v>91769</v>
      </c>
      <c r="D188" s="4">
        <v>8</v>
      </c>
      <c r="E188" s="4">
        <v>10358766</v>
      </c>
      <c r="F188" s="4" t="s">
        <v>914</v>
      </c>
      <c r="G188" s="4" t="s">
        <v>103</v>
      </c>
      <c r="H188" s="4" t="s">
        <v>103</v>
      </c>
      <c r="I188" s="4" t="s">
        <v>103</v>
      </c>
      <c r="J188" s="4" t="s">
        <v>103</v>
      </c>
      <c r="K188" s="14" t="s">
        <v>103</v>
      </c>
    </row>
    <row r="189" spans="1:11" x14ac:dyDescent="0.2">
      <c r="A189" s="11"/>
      <c r="B189" s="9"/>
      <c r="C189" s="9">
        <v>91711</v>
      </c>
      <c r="D189" s="9">
        <v>8</v>
      </c>
      <c r="E189" s="9">
        <v>10373043</v>
      </c>
      <c r="F189" s="9" t="s">
        <v>919</v>
      </c>
      <c r="G189" s="9" t="s">
        <v>113</v>
      </c>
      <c r="H189" s="9" t="s">
        <v>113</v>
      </c>
      <c r="I189" s="9" t="s">
        <v>113</v>
      </c>
      <c r="J189" s="9" t="s">
        <v>113</v>
      </c>
      <c r="K189" s="13" t="s">
        <v>113</v>
      </c>
    </row>
    <row r="190" spans="1:11" x14ac:dyDescent="0.2">
      <c r="A190" s="12"/>
      <c r="C190" s="4">
        <v>91722</v>
      </c>
      <c r="D190" s="4">
        <v>8</v>
      </c>
      <c r="E190" s="4">
        <v>10043567</v>
      </c>
      <c r="F190" s="4" t="s">
        <v>914</v>
      </c>
      <c r="G190" s="4" t="s">
        <v>113</v>
      </c>
      <c r="H190" s="4" t="s">
        <v>113</v>
      </c>
      <c r="I190" s="4" t="s">
        <v>113</v>
      </c>
      <c r="J190" s="4" t="s">
        <v>113</v>
      </c>
      <c r="K190" s="14" t="s">
        <v>113</v>
      </c>
    </row>
    <row r="191" spans="1:11" x14ac:dyDescent="0.2">
      <c r="A191" s="12"/>
      <c r="C191" s="4">
        <v>91701</v>
      </c>
      <c r="D191" s="4">
        <v>8</v>
      </c>
      <c r="E191" s="4">
        <v>10021827</v>
      </c>
      <c r="F191" s="4" t="s">
        <v>914</v>
      </c>
      <c r="G191" s="4" t="s">
        <v>113</v>
      </c>
      <c r="H191" s="4" t="s">
        <v>113</v>
      </c>
      <c r="I191" s="4" t="s">
        <v>103</v>
      </c>
      <c r="J191" s="4" t="s">
        <v>113</v>
      </c>
      <c r="K191" s="14" t="s">
        <v>113</v>
      </c>
    </row>
    <row r="192" spans="1:11" x14ac:dyDescent="0.2">
      <c r="A192" s="11"/>
      <c r="B192" s="9"/>
      <c r="C192" s="9">
        <v>91740</v>
      </c>
      <c r="D192" s="9">
        <v>8</v>
      </c>
      <c r="E192" s="9">
        <v>10315938</v>
      </c>
      <c r="F192" s="9" t="s">
        <v>914</v>
      </c>
      <c r="G192" s="9" t="s">
        <v>113</v>
      </c>
      <c r="H192" s="9" t="s">
        <v>113</v>
      </c>
      <c r="I192" s="9" t="s">
        <v>113</v>
      </c>
      <c r="J192" s="9" t="s">
        <v>113</v>
      </c>
      <c r="K192" s="13" t="s">
        <v>113</v>
      </c>
    </row>
    <row r="193" spans="1:11" x14ac:dyDescent="0.2">
      <c r="A193" s="11"/>
      <c r="B193" s="9"/>
      <c r="C193" s="9">
        <v>91764</v>
      </c>
      <c r="D193" s="9">
        <v>8</v>
      </c>
      <c r="E193" s="9" t="s">
        <v>1104</v>
      </c>
      <c r="F193" s="9" t="s">
        <v>914</v>
      </c>
      <c r="G193" s="9" t="s">
        <v>113</v>
      </c>
      <c r="H193" s="9" t="s">
        <v>113</v>
      </c>
      <c r="I193" s="9" t="s">
        <v>113</v>
      </c>
      <c r="J193" s="9" t="s">
        <v>113</v>
      </c>
      <c r="K193" s="13" t="s">
        <v>113</v>
      </c>
    </row>
    <row r="194" spans="1:11" x14ac:dyDescent="0.2">
      <c r="A194" s="11"/>
      <c r="B194" s="9"/>
      <c r="C194" s="9">
        <v>91773</v>
      </c>
      <c r="D194" s="9">
        <v>8</v>
      </c>
      <c r="E194" s="9">
        <v>10260863</v>
      </c>
      <c r="F194" s="9" t="s">
        <v>914</v>
      </c>
      <c r="G194" s="9" t="s">
        <v>113</v>
      </c>
      <c r="H194" s="9" t="s">
        <v>113</v>
      </c>
      <c r="I194" s="9" t="s">
        <v>113</v>
      </c>
      <c r="J194" s="9" t="s">
        <v>113</v>
      </c>
      <c r="K194" s="13" t="s">
        <v>113</v>
      </c>
    </row>
    <row r="195" spans="1:11" x14ac:dyDescent="0.2">
      <c r="A195" s="12"/>
      <c r="C195" s="4">
        <v>91730</v>
      </c>
      <c r="D195" s="4">
        <v>8</v>
      </c>
      <c r="E195" s="4">
        <v>10043235</v>
      </c>
      <c r="F195" s="4" t="s">
        <v>914</v>
      </c>
      <c r="G195" s="4" t="s">
        <v>113</v>
      </c>
      <c r="H195" s="4" t="s">
        <v>113</v>
      </c>
      <c r="I195" s="4" t="s">
        <v>113</v>
      </c>
      <c r="J195" s="4" t="s">
        <v>113</v>
      </c>
      <c r="K195" s="14" t="s">
        <v>113</v>
      </c>
    </row>
    <row r="196" spans="1:11" x14ac:dyDescent="0.2">
      <c r="A196" s="12"/>
      <c r="C196" s="4">
        <v>91730</v>
      </c>
      <c r="D196" s="4">
        <v>8</v>
      </c>
      <c r="E196" s="4">
        <v>10289955</v>
      </c>
      <c r="F196" s="4" t="s">
        <v>914</v>
      </c>
      <c r="G196" s="4" t="s">
        <v>113</v>
      </c>
      <c r="H196" s="4" t="s">
        <v>113</v>
      </c>
      <c r="I196" s="4" t="s">
        <v>113</v>
      </c>
      <c r="J196" s="4" t="s">
        <v>113</v>
      </c>
      <c r="K196" s="14" t="s">
        <v>113</v>
      </c>
    </row>
    <row r="197" spans="1:11" x14ac:dyDescent="0.2">
      <c r="A197" s="11"/>
      <c r="B197" s="9"/>
      <c r="C197" s="9">
        <v>91764</v>
      </c>
      <c r="D197" s="9">
        <v>8</v>
      </c>
      <c r="E197" s="9" t="s">
        <v>1110</v>
      </c>
      <c r="F197" s="9" t="s">
        <v>914</v>
      </c>
      <c r="G197" s="9" t="s">
        <v>191</v>
      </c>
      <c r="H197" s="9" t="s">
        <v>191</v>
      </c>
      <c r="I197" s="9" t="s">
        <v>191</v>
      </c>
      <c r="J197" s="9" t="s">
        <v>191</v>
      </c>
      <c r="K197" s="13" t="s">
        <v>191</v>
      </c>
    </row>
    <row r="198" spans="1:11" x14ac:dyDescent="0.2">
      <c r="A198" s="12"/>
      <c r="C198" s="4">
        <v>91764</v>
      </c>
      <c r="D198" s="4">
        <v>8</v>
      </c>
      <c r="E198" s="4" t="s">
        <v>1113</v>
      </c>
      <c r="F198" s="4" t="s">
        <v>914</v>
      </c>
      <c r="G198" s="4" t="s">
        <v>113</v>
      </c>
      <c r="H198" s="4" t="s">
        <v>113</v>
      </c>
      <c r="I198" s="4" t="s">
        <v>113</v>
      </c>
      <c r="J198" s="4" t="s">
        <v>113</v>
      </c>
      <c r="K198" s="14" t="s">
        <v>113</v>
      </c>
    </row>
    <row r="199" spans="1:11" x14ac:dyDescent="0.2">
      <c r="A199" s="11"/>
      <c r="B199" s="9"/>
      <c r="C199" s="9">
        <v>91761</v>
      </c>
      <c r="D199" s="9">
        <v>8.4</v>
      </c>
      <c r="E199" s="9" t="s">
        <v>1114</v>
      </c>
      <c r="F199" s="9" t="s">
        <v>914</v>
      </c>
      <c r="G199" s="9" t="s">
        <v>113</v>
      </c>
      <c r="H199" s="9" t="s">
        <v>113</v>
      </c>
      <c r="I199" s="9" t="s">
        <v>113</v>
      </c>
      <c r="J199" s="9" t="s">
        <v>113</v>
      </c>
      <c r="K199" s="13" t="s">
        <v>113</v>
      </c>
    </row>
    <row r="200" spans="1:11" x14ac:dyDescent="0.2">
      <c r="A200" s="12"/>
      <c r="C200" s="4">
        <v>91773</v>
      </c>
      <c r="D200" s="4">
        <v>8.5</v>
      </c>
      <c r="E200" s="4">
        <v>103730571</v>
      </c>
      <c r="F200" s="4" t="s">
        <v>914</v>
      </c>
      <c r="G200" s="4" t="s">
        <v>113</v>
      </c>
      <c r="H200" s="4" t="s">
        <v>113</v>
      </c>
      <c r="I200" s="4" t="s">
        <v>113</v>
      </c>
      <c r="J200" s="4" t="s">
        <v>113</v>
      </c>
      <c r="K200" s="14" t="s">
        <v>113</v>
      </c>
    </row>
    <row r="201" spans="1:11" x14ac:dyDescent="0.2">
      <c r="A201" s="11"/>
      <c r="B201" s="9"/>
      <c r="C201" s="9">
        <v>91730</v>
      </c>
      <c r="D201" s="9">
        <v>9</v>
      </c>
      <c r="E201" s="9">
        <v>10373069</v>
      </c>
      <c r="F201" s="9" t="s">
        <v>914</v>
      </c>
      <c r="G201" s="9" t="s">
        <v>113</v>
      </c>
      <c r="H201" s="9" t="s">
        <v>113</v>
      </c>
      <c r="I201" s="9" t="s">
        <v>113</v>
      </c>
      <c r="J201" s="9" t="s">
        <v>113</v>
      </c>
      <c r="K201" s="13" t="s">
        <v>113</v>
      </c>
    </row>
    <row r="202" spans="1:11" x14ac:dyDescent="0.2">
      <c r="A202" s="11"/>
      <c r="B202" s="9"/>
      <c r="C202" s="9">
        <v>91730</v>
      </c>
      <c r="D202" s="9">
        <v>9</v>
      </c>
      <c r="E202" s="9">
        <v>10365863</v>
      </c>
      <c r="F202" s="9" t="s">
        <v>914</v>
      </c>
      <c r="G202" s="9" t="s">
        <v>113</v>
      </c>
      <c r="H202" s="9" t="s">
        <v>113</v>
      </c>
      <c r="I202" s="9" t="s">
        <v>113</v>
      </c>
      <c r="J202" s="9" t="s">
        <v>113</v>
      </c>
      <c r="K202" s="13" t="s">
        <v>103</v>
      </c>
    </row>
    <row r="203" spans="1:11" x14ac:dyDescent="0.2">
      <c r="A203" s="11"/>
      <c r="B203" s="9"/>
      <c r="C203" s="9">
        <v>91766</v>
      </c>
      <c r="D203" s="9">
        <v>9</v>
      </c>
      <c r="E203" s="9">
        <v>10090606</v>
      </c>
      <c r="F203" s="9" t="s">
        <v>914</v>
      </c>
      <c r="G203" s="9" t="s">
        <v>113</v>
      </c>
      <c r="H203" s="9" t="s">
        <v>113</v>
      </c>
      <c r="I203" s="9" t="s">
        <v>113</v>
      </c>
      <c r="J203" s="9" t="s">
        <v>113</v>
      </c>
      <c r="K203" s="13" t="s">
        <v>113</v>
      </c>
    </row>
    <row r="204" spans="1:11" x14ac:dyDescent="0.2">
      <c r="A204" s="12"/>
      <c r="C204" s="4">
        <v>91709</v>
      </c>
      <c r="D204" s="4">
        <v>9</v>
      </c>
      <c r="E204" s="4">
        <v>10348107</v>
      </c>
      <c r="F204" s="4" t="s">
        <v>914</v>
      </c>
      <c r="G204" s="4" t="s">
        <v>113</v>
      </c>
      <c r="H204" s="4" t="s">
        <v>113</v>
      </c>
      <c r="I204" s="4" t="s">
        <v>113</v>
      </c>
      <c r="J204" s="4" t="s">
        <v>113</v>
      </c>
      <c r="K204" s="14" t="s">
        <v>113</v>
      </c>
    </row>
    <row r="205" spans="1:11" x14ac:dyDescent="0.2">
      <c r="A205" s="12"/>
      <c r="C205" s="4">
        <v>91761</v>
      </c>
      <c r="D205" s="4">
        <v>9</v>
      </c>
      <c r="E205" s="4">
        <v>10372587</v>
      </c>
      <c r="F205" s="4" t="s">
        <v>914</v>
      </c>
      <c r="G205" s="4" t="s">
        <v>113</v>
      </c>
      <c r="H205" s="4" t="s">
        <v>113</v>
      </c>
      <c r="I205" s="4" t="s">
        <v>113</v>
      </c>
      <c r="J205" s="4" t="s">
        <v>113</v>
      </c>
      <c r="K205" s="14" t="s">
        <v>202</v>
      </c>
    </row>
    <row r="206" spans="1:11" x14ac:dyDescent="0.2">
      <c r="A206" s="12"/>
      <c r="C206" s="4">
        <v>91710</v>
      </c>
      <c r="D206" s="4">
        <v>9.1999999999999993</v>
      </c>
      <c r="E206" s="4">
        <v>10346125</v>
      </c>
      <c r="F206" s="4" t="s">
        <v>914</v>
      </c>
      <c r="G206" s="4" t="s">
        <v>103</v>
      </c>
      <c r="H206" s="4" t="s">
        <v>103</v>
      </c>
      <c r="I206" s="4" t="s">
        <v>103</v>
      </c>
      <c r="J206" s="4" t="s">
        <v>103</v>
      </c>
      <c r="K206" s="14" t="s">
        <v>103</v>
      </c>
    </row>
    <row r="207" spans="1:11" x14ac:dyDescent="0.2">
      <c r="A207" s="11"/>
      <c r="B207" s="9"/>
      <c r="C207" s="9">
        <v>91730</v>
      </c>
      <c r="D207" s="9">
        <v>9.3000000000000007</v>
      </c>
      <c r="E207" s="9">
        <v>103703001</v>
      </c>
      <c r="F207" s="9" t="s">
        <v>914</v>
      </c>
      <c r="G207" s="9" t="s">
        <v>113</v>
      </c>
      <c r="H207" s="9" t="s">
        <v>113</v>
      </c>
      <c r="I207" s="9" t="s">
        <v>113</v>
      </c>
      <c r="J207" s="9" t="s">
        <v>113</v>
      </c>
      <c r="K207" s="13" t="s">
        <v>113</v>
      </c>
    </row>
    <row r="208" spans="1:11" x14ac:dyDescent="0.2">
      <c r="A208" s="11"/>
      <c r="B208" s="9"/>
      <c r="C208" s="9">
        <v>91761</v>
      </c>
      <c r="D208" s="9">
        <v>9.4</v>
      </c>
      <c r="E208" s="9">
        <v>10370205</v>
      </c>
      <c r="F208" s="9" t="s">
        <v>914</v>
      </c>
      <c r="G208" s="9" t="s">
        <v>103</v>
      </c>
      <c r="H208" s="9" t="s">
        <v>103</v>
      </c>
      <c r="I208" s="9" t="s">
        <v>103</v>
      </c>
      <c r="J208" s="9" t="s">
        <v>103</v>
      </c>
      <c r="K208" s="13" t="s">
        <v>103</v>
      </c>
    </row>
    <row r="209" spans="1:11" x14ac:dyDescent="0.2">
      <c r="A209" s="11"/>
      <c r="B209" s="9"/>
      <c r="C209" s="9">
        <v>91737</v>
      </c>
      <c r="D209" s="9">
        <v>10</v>
      </c>
      <c r="E209" s="9" t="s">
        <v>1121</v>
      </c>
      <c r="F209" s="9" t="s">
        <v>914</v>
      </c>
      <c r="G209" s="9" t="s">
        <v>113</v>
      </c>
      <c r="H209" s="9" t="s">
        <v>108</v>
      </c>
      <c r="I209" s="9" t="s">
        <v>113</v>
      </c>
      <c r="J209" s="9" t="s">
        <v>113</v>
      </c>
      <c r="K209" s="13" t="s">
        <v>108</v>
      </c>
    </row>
    <row r="210" spans="1:11" x14ac:dyDescent="0.2">
      <c r="A210" s="11"/>
      <c r="B210" s="9"/>
      <c r="C210" s="9">
        <v>91730</v>
      </c>
      <c r="D210" s="9">
        <v>10</v>
      </c>
      <c r="E210" s="9">
        <v>10183233</v>
      </c>
      <c r="F210" s="9" t="s">
        <v>914</v>
      </c>
      <c r="G210" s="9" t="s">
        <v>113</v>
      </c>
      <c r="H210" s="9" t="s">
        <v>113</v>
      </c>
      <c r="I210" s="9" t="s">
        <v>113</v>
      </c>
      <c r="J210" s="9" t="s">
        <v>113</v>
      </c>
      <c r="K210" s="13" t="s">
        <v>113</v>
      </c>
    </row>
    <row r="211" spans="1:11" x14ac:dyDescent="0.2">
      <c r="A211" s="12"/>
      <c r="C211" s="4">
        <v>91701</v>
      </c>
      <c r="D211" s="4">
        <v>10</v>
      </c>
      <c r="E211" s="4">
        <v>10375228</v>
      </c>
      <c r="F211" s="4" t="s">
        <v>914</v>
      </c>
      <c r="G211" s="4" t="s">
        <v>98</v>
      </c>
      <c r="H211" s="4" t="s">
        <v>98</v>
      </c>
      <c r="I211" s="4" t="s">
        <v>98</v>
      </c>
      <c r="J211" s="4" t="s">
        <v>98</v>
      </c>
      <c r="K211" s="14" t="s">
        <v>98</v>
      </c>
    </row>
    <row r="212" spans="1:11" x14ac:dyDescent="0.2">
      <c r="A212" s="11"/>
      <c r="B212" s="9"/>
      <c r="C212" s="9">
        <v>91701</v>
      </c>
      <c r="D212" s="9">
        <v>10</v>
      </c>
      <c r="E212" s="9">
        <v>10366518</v>
      </c>
      <c r="F212" s="9" t="s">
        <v>914</v>
      </c>
      <c r="G212" s="9" t="s">
        <v>108</v>
      </c>
      <c r="H212" s="9" t="s">
        <v>108</v>
      </c>
      <c r="I212" s="9" t="s">
        <v>108</v>
      </c>
      <c r="J212" s="9" t="s">
        <v>103</v>
      </c>
      <c r="K212" s="13" t="s">
        <v>108</v>
      </c>
    </row>
    <row r="213" spans="1:11" x14ac:dyDescent="0.2">
      <c r="A213" s="12"/>
      <c r="C213" s="4">
        <v>91762</v>
      </c>
      <c r="D213" s="4">
        <v>10</v>
      </c>
      <c r="E213" s="4">
        <v>10043018</v>
      </c>
      <c r="F213" s="4" t="s">
        <v>914</v>
      </c>
      <c r="G213" s="4" t="s">
        <v>113</v>
      </c>
      <c r="H213" s="4" t="s">
        <v>113</v>
      </c>
      <c r="I213" s="4" t="s">
        <v>113</v>
      </c>
      <c r="J213" s="4" t="s">
        <v>113</v>
      </c>
      <c r="K213" s="14" t="s">
        <v>113</v>
      </c>
    </row>
    <row r="214" spans="1:11" x14ac:dyDescent="0.2">
      <c r="A214" s="12"/>
      <c r="C214" s="4">
        <v>91701</v>
      </c>
      <c r="D214" s="4">
        <v>10</v>
      </c>
      <c r="E214" s="4">
        <v>10042683</v>
      </c>
      <c r="F214" s="4" t="s">
        <v>914</v>
      </c>
      <c r="G214" s="4" t="s">
        <v>113</v>
      </c>
      <c r="H214" s="4" t="s">
        <v>113</v>
      </c>
      <c r="I214" s="4" t="s">
        <v>113</v>
      </c>
      <c r="J214" s="4" t="s">
        <v>113</v>
      </c>
      <c r="K214" s="14" t="s">
        <v>113</v>
      </c>
    </row>
    <row r="215" spans="1:11" x14ac:dyDescent="0.2">
      <c r="A215" s="12"/>
      <c r="C215" s="4">
        <v>91761</v>
      </c>
      <c r="D215" s="4">
        <v>10</v>
      </c>
      <c r="E215" s="4">
        <v>103685096</v>
      </c>
      <c r="F215" s="4" t="s">
        <v>914</v>
      </c>
      <c r="G215" s="4" t="s">
        <v>113</v>
      </c>
      <c r="H215" s="4" t="s">
        <v>113</v>
      </c>
      <c r="I215" s="4" t="s">
        <v>113</v>
      </c>
      <c r="J215" s="4" t="s">
        <v>113</v>
      </c>
      <c r="K215" s="14" t="s">
        <v>113</v>
      </c>
    </row>
    <row r="216" spans="1:11" x14ac:dyDescent="0.2">
      <c r="A216" s="11"/>
      <c r="B216" s="9"/>
      <c r="C216" s="9">
        <v>91764</v>
      </c>
      <c r="D216" s="9">
        <v>10</v>
      </c>
      <c r="E216" s="9">
        <v>101964924</v>
      </c>
      <c r="F216" s="9" t="s">
        <v>914</v>
      </c>
      <c r="G216" s="9" t="s">
        <v>103</v>
      </c>
      <c r="H216" s="9" t="s">
        <v>103</v>
      </c>
      <c r="I216" s="9" t="s">
        <v>103</v>
      </c>
      <c r="J216" s="9" t="s">
        <v>103</v>
      </c>
      <c r="K216" s="13" t="s">
        <v>103</v>
      </c>
    </row>
    <row r="217" spans="1:11" x14ac:dyDescent="0.2">
      <c r="A217" s="12"/>
      <c r="C217" s="4">
        <v>91730</v>
      </c>
      <c r="D217" s="4">
        <v>10</v>
      </c>
      <c r="E217" s="4">
        <v>101656182</v>
      </c>
      <c r="F217" s="4" t="s">
        <v>914</v>
      </c>
      <c r="G217" s="4" t="s">
        <v>113</v>
      </c>
      <c r="H217" s="4" t="s">
        <v>113</v>
      </c>
      <c r="I217" s="4" t="s">
        <v>113</v>
      </c>
      <c r="J217" s="4" t="s">
        <v>113</v>
      </c>
      <c r="K217" s="14" t="s">
        <v>113</v>
      </c>
    </row>
    <row r="218" spans="1:11" x14ac:dyDescent="0.2">
      <c r="A218" s="11"/>
      <c r="B218" s="9"/>
      <c r="C218" s="9">
        <v>91709</v>
      </c>
      <c r="D218" s="9">
        <v>10</v>
      </c>
      <c r="E218" s="9">
        <v>10196502</v>
      </c>
      <c r="F218" s="9" t="s">
        <v>914</v>
      </c>
      <c r="G218" s="9" t="s">
        <v>103</v>
      </c>
      <c r="H218" s="9" t="s">
        <v>113</v>
      </c>
      <c r="I218" s="9" t="s">
        <v>113</v>
      </c>
      <c r="J218" s="9" t="s">
        <v>113</v>
      </c>
      <c r="K218" s="13" t="s">
        <v>103</v>
      </c>
    </row>
    <row r="219" spans="1:11" x14ac:dyDescent="0.2">
      <c r="A219" s="12"/>
      <c r="C219" s="4">
        <v>91764</v>
      </c>
      <c r="D219" s="4">
        <v>10</v>
      </c>
      <c r="E219" s="4">
        <v>102894622</v>
      </c>
      <c r="F219" s="4" t="s">
        <v>914</v>
      </c>
      <c r="G219" s="4" t="s">
        <v>74</v>
      </c>
      <c r="H219" s="4" t="s">
        <v>103</v>
      </c>
      <c r="I219" s="4" t="s">
        <v>74</v>
      </c>
      <c r="J219" s="4" t="s">
        <v>74</v>
      </c>
      <c r="K219" s="14" t="s">
        <v>103</v>
      </c>
    </row>
    <row r="220" spans="1:11" x14ac:dyDescent="0.2">
      <c r="A220" s="11"/>
      <c r="B220" s="9"/>
      <c r="C220" s="9">
        <v>91767</v>
      </c>
      <c r="D220" s="9">
        <v>10</v>
      </c>
      <c r="E220" s="9">
        <v>10043384</v>
      </c>
      <c r="F220" s="9" t="s">
        <v>914</v>
      </c>
      <c r="G220" s="9" t="s">
        <v>191</v>
      </c>
      <c r="H220" s="9" t="s">
        <v>195</v>
      </c>
      <c r="I220" s="9" t="s">
        <v>933</v>
      </c>
      <c r="J220" s="9" t="s">
        <v>933</v>
      </c>
      <c r="K220" s="13" t="s">
        <v>933</v>
      </c>
    </row>
    <row r="221" spans="1:11" x14ac:dyDescent="0.2">
      <c r="A221" s="12"/>
      <c r="C221" s="4">
        <v>91773</v>
      </c>
      <c r="D221" s="4">
        <v>10</v>
      </c>
      <c r="E221" s="4">
        <v>103666773</v>
      </c>
      <c r="F221" s="4" t="s">
        <v>914</v>
      </c>
      <c r="G221" s="4" t="s">
        <v>113</v>
      </c>
      <c r="H221" s="4" t="s">
        <v>113</v>
      </c>
      <c r="I221" s="4" t="s">
        <v>113</v>
      </c>
      <c r="J221" s="4" t="s">
        <v>113</v>
      </c>
      <c r="K221" s="14" t="s">
        <v>113</v>
      </c>
    </row>
    <row r="222" spans="1:11" x14ac:dyDescent="0.2">
      <c r="A222" s="12"/>
      <c r="C222" s="4">
        <v>91701</v>
      </c>
      <c r="D222" s="4">
        <v>10</v>
      </c>
      <c r="E222" s="4">
        <v>10024942</v>
      </c>
      <c r="F222" s="4" t="s">
        <v>914</v>
      </c>
      <c r="G222" s="4" t="s">
        <v>195</v>
      </c>
      <c r="H222" s="4" t="s">
        <v>195</v>
      </c>
      <c r="I222" s="4" t="s">
        <v>195</v>
      </c>
      <c r="J222" s="4" t="s">
        <v>195</v>
      </c>
      <c r="K222" s="14" t="s">
        <v>195</v>
      </c>
    </row>
    <row r="223" spans="1:11" x14ac:dyDescent="0.2">
      <c r="A223" s="12"/>
      <c r="C223" s="4">
        <v>91763</v>
      </c>
      <c r="D223" s="4">
        <v>10</v>
      </c>
      <c r="E223" s="4">
        <v>10043591</v>
      </c>
      <c r="F223" s="4" t="s">
        <v>914</v>
      </c>
      <c r="G223" s="4" t="s">
        <v>113</v>
      </c>
      <c r="H223" s="4" t="s">
        <v>113</v>
      </c>
      <c r="I223" s="4" t="s">
        <v>113</v>
      </c>
      <c r="J223" s="4" t="s">
        <v>113</v>
      </c>
      <c r="K223" s="14" t="s">
        <v>113</v>
      </c>
    </row>
    <row r="224" spans="1:11" x14ac:dyDescent="0.2">
      <c r="A224" s="12"/>
      <c r="C224" s="4">
        <v>91761</v>
      </c>
      <c r="D224" s="4">
        <v>10</v>
      </c>
      <c r="E224" s="4">
        <v>10043655</v>
      </c>
      <c r="F224" s="4" t="s">
        <v>914</v>
      </c>
      <c r="G224" s="4" t="s">
        <v>113</v>
      </c>
      <c r="H224" s="4" t="s">
        <v>113</v>
      </c>
      <c r="I224" s="4" t="s">
        <v>113</v>
      </c>
      <c r="J224" s="4" t="s">
        <v>113</v>
      </c>
      <c r="K224" s="14" t="s">
        <v>113</v>
      </c>
    </row>
    <row r="225" spans="1:11" x14ac:dyDescent="0.2">
      <c r="A225" s="12"/>
      <c r="C225" s="4">
        <v>91701</v>
      </c>
      <c r="D225" s="4">
        <v>10</v>
      </c>
      <c r="E225" s="4">
        <v>10044764</v>
      </c>
      <c r="F225" s="4" t="s">
        <v>914</v>
      </c>
      <c r="G225" s="4" t="s">
        <v>74</v>
      </c>
      <c r="H225" s="4" t="s">
        <v>74</v>
      </c>
      <c r="I225" s="4" t="s">
        <v>74</v>
      </c>
      <c r="J225" s="4" t="s">
        <v>74</v>
      </c>
      <c r="K225" s="14" t="s">
        <v>74</v>
      </c>
    </row>
    <row r="226" spans="1:11" x14ac:dyDescent="0.2">
      <c r="A226" s="11"/>
      <c r="B226" s="9"/>
      <c r="C226" s="9">
        <v>91764</v>
      </c>
      <c r="D226" s="9">
        <v>10</v>
      </c>
      <c r="E226" s="9">
        <v>10370665</v>
      </c>
      <c r="F226" s="9" t="s">
        <v>914</v>
      </c>
      <c r="G226" s="9" t="s">
        <v>113</v>
      </c>
      <c r="H226" s="9" t="s">
        <v>113</v>
      </c>
      <c r="I226" s="9" t="s">
        <v>113</v>
      </c>
      <c r="J226" s="9" t="s">
        <v>113</v>
      </c>
      <c r="K226" s="13" t="s">
        <v>113</v>
      </c>
    </row>
    <row r="227" spans="1:11" x14ac:dyDescent="0.2">
      <c r="A227" s="11"/>
      <c r="B227" s="9"/>
      <c r="C227" s="9">
        <v>91784</v>
      </c>
      <c r="D227" s="9">
        <v>10</v>
      </c>
      <c r="E227" s="9">
        <v>10375312</v>
      </c>
      <c r="F227" s="9" t="s">
        <v>914</v>
      </c>
      <c r="G227" s="9" t="s">
        <v>113</v>
      </c>
      <c r="H227" s="9" t="s">
        <v>113</v>
      </c>
      <c r="I227" s="9" t="s">
        <v>113</v>
      </c>
      <c r="J227" s="9" t="s">
        <v>113</v>
      </c>
      <c r="K227" s="13" t="s">
        <v>113</v>
      </c>
    </row>
    <row r="228" spans="1:11" x14ac:dyDescent="0.2">
      <c r="A228" s="11"/>
      <c r="B228" s="9"/>
      <c r="C228" s="9">
        <v>91762</v>
      </c>
      <c r="D228" s="9">
        <v>10</v>
      </c>
      <c r="E228" s="9">
        <v>10368502</v>
      </c>
      <c r="F228" s="9" t="s">
        <v>914</v>
      </c>
      <c r="G228" s="9" t="s">
        <v>113</v>
      </c>
      <c r="H228" s="9" t="s">
        <v>199</v>
      </c>
      <c r="I228" s="9" t="s">
        <v>113</v>
      </c>
      <c r="J228" s="9" t="s">
        <v>199</v>
      </c>
      <c r="K228" s="13" t="s">
        <v>113</v>
      </c>
    </row>
    <row r="229" spans="1:11" x14ac:dyDescent="0.2">
      <c r="A229" s="12"/>
      <c r="C229" s="4">
        <v>91730</v>
      </c>
      <c r="D229" s="4">
        <v>10.7</v>
      </c>
      <c r="E229" s="4">
        <v>10354879</v>
      </c>
      <c r="F229" s="4" t="s">
        <v>914</v>
      </c>
      <c r="G229" s="4" t="s">
        <v>113</v>
      </c>
      <c r="H229" s="4" t="s">
        <v>113</v>
      </c>
      <c r="I229" s="4" t="s">
        <v>113</v>
      </c>
      <c r="J229" s="4" t="s">
        <v>113</v>
      </c>
      <c r="K229" s="14" t="s">
        <v>113</v>
      </c>
    </row>
    <row r="230" spans="1:11" x14ac:dyDescent="0.2">
      <c r="A230" s="12"/>
      <c r="C230" s="4">
        <v>91701</v>
      </c>
      <c r="D230" s="4">
        <v>11</v>
      </c>
      <c r="E230" s="4">
        <v>10358743</v>
      </c>
      <c r="F230" s="4" t="s">
        <v>914</v>
      </c>
      <c r="G230" s="4" t="s">
        <v>103</v>
      </c>
      <c r="H230" s="4" t="s">
        <v>98</v>
      </c>
      <c r="I230" s="4" t="s">
        <v>98</v>
      </c>
      <c r="J230" s="4" t="s">
        <v>195</v>
      </c>
      <c r="K230" s="14" t="s">
        <v>103</v>
      </c>
    </row>
    <row r="231" spans="1:11" x14ac:dyDescent="0.2">
      <c r="A231" s="11"/>
      <c r="B231" s="9"/>
      <c r="C231" s="9">
        <v>91730</v>
      </c>
      <c r="D231" s="9">
        <v>11</v>
      </c>
      <c r="E231" s="9">
        <v>10086446</v>
      </c>
      <c r="F231" s="9" t="s">
        <v>914</v>
      </c>
      <c r="G231" s="9" t="s">
        <v>103</v>
      </c>
      <c r="H231" s="9" t="s">
        <v>113</v>
      </c>
      <c r="I231" s="9" t="s">
        <v>113</v>
      </c>
      <c r="J231" s="9" t="s">
        <v>113</v>
      </c>
      <c r="K231" s="13" t="s">
        <v>113</v>
      </c>
    </row>
    <row r="232" spans="1:11" x14ac:dyDescent="0.2">
      <c r="A232" s="11"/>
      <c r="B232" s="9"/>
      <c r="C232" s="9">
        <v>91737</v>
      </c>
      <c r="D232" s="9">
        <v>11</v>
      </c>
      <c r="E232" s="9">
        <v>122073</v>
      </c>
      <c r="F232" s="9" t="s">
        <v>914</v>
      </c>
      <c r="G232" s="9" t="s">
        <v>113</v>
      </c>
      <c r="H232" s="9" t="s">
        <v>113</v>
      </c>
      <c r="I232" s="9" t="s">
        <v>113</v>
      </c>
      <c r="J232" s="9" t="s">
        <v>103</v>
      </c>
      <c r="K232" s="13" t="s">
        <v>103</v>
      </c>
    </row>
    <row r="233" spans="1:11" x14ac:dyDescent="0.2">
      <c r="A233" s="12"/>
      <c r="C233" s="4">
        <v>91710</v>
      </c>
      <c r="D233" s="4">
        <v>11</v>
      </c>
      <c r="E233" s="4">
        <v>120996</v>
      </c>
      <c r="F233" s="4" t="s">
        <v>914</v>
      </c>
      <c r="G233" s="4" t="s">
        <v>113</v>
      </c>
      <c r="H233" s="4" t="s">
        <v>113</v>
      </c>
      <c r="I233" s="4" t="s">
        <v>113</v>
      </c>
      <c r="J233" s="4" t="s">
        <v>113</v>
      </c>
      <c r="K233" s="14" t="s">
        <v>113</v>
      </c>
    </row>
    <row r="234" spans="1:11" x14ac:dyDescent="0.2">
      <c r="A234" s="11"/>
      <c r="B234" s="9"/>
      <c r="C234" s="9">
        <v>91737</v>
      </c>
      <c r="D234" s="9">
        <v>11.5</v>
      </c>
      <c r="E234" s="9">
        <v>10043135</v>
      </c>
      <c r="F234" s="9" t="s">
        <v>914</v>
      </c>
      <c r="G234" s="9" t="s">
        <v>113</v>
      </c>
      <c r="H234" s="9" t="s">
        <v>113</v>
      </c>
      <c r="I234" s="9" t="s">
        <v>113</v>
      </c>
      <c r="J234" s="9" t="s">
        <v>113</v>
      </c>
      <c r="K234" s="13" t="s">
        <v>103</v>
      </c>
    </row>
    <row r="235" spans="1:11" x14ac:dyDescent="0.2">
      <c r="A235" s="12"/>
      <c r="C235" s="4">
        <v>91723</v>
      </c>
      <c r="D235" s="4">
        <v>12</v>
      </c>
      <c r="E235" s="4">
        <v>103708681</v>
      </c>
      <c r="F235" s="4" t="s">
        <v>914</v>
      </c>
      <c r="G235" s="4" t="s">
        <v>113</v>
      </c>
      <c r="H235" s="4" t="s">
        <v>113</v>
      </c>
      <c r="I235" s="4" t="s">
        <v>113</v>
      </c>
      <c r="J235" s="4" t="s">
        <v>113</v>
      </c>
      <c r="K235" s="14" t="s">
        <v>113</v>
      </c>
    </row>
    <row r="236" spans="1:11" x14ac:dyDescent="0.2">
      <c r="A236" s="11"/>
      <c r="B236" s="9"/>
      <c r="C236" s="9">
        <v>91739</v>
      </c>
      <c r="D236" s="9">
        <v>12</v>
      </c>
      <c r="E236" s="9">
        <v>10334736</v>
      </c>
      <c r="F236" s="9" t="s">
        <v>914</v>
      </c>
      <c r="G236" s="9" t="s">
        <v>98</v>
      </c>
      <c r="H236" s="9" t="s">
        <v>98</v>
      </c>
      <c r="I236" s="9" t="s">
        <v>98</v>
      </c>
      <c r="J236" s="9" t="s">
        <v>103</v>
      </c>
      <c r="K236" s="13" t="s">
        <v>103</v>
      </c>
    </row>
    <row r="237" spans="1:11" x14ac:dyDescent="0.2">
      <c r="A237" s="11"/>
      <c r="B237" s="9"/>
      <c r="C237" s="9">
        <v>91701</v>
      </c>
      <c r="D237" s="9">
        <v>12</v>
      </c>
      <c r="E237" s="9">
        <v>102031651</v>
      </c>
      <c r="F237" s="9" t="s">
        <v>914</v>
      </c>
      <c r="G237" s="9" t="s">
        <v>103</v>
      </c>
      <c r="H237" s="9" t="s">
        <v>113</v>
      </c>
      <c r="I237" s="9" t="s">
        <v>113</v>
      </c>
      <c r="J237" s="9" t="s">
        <v>113</v>
      </c>
      <c r="K237" s="13" t="s">
        <v>103</v>
      </c>
    </row>
    <row r="238" spans="1:11" x14ac:dyDescent="0.2">
      <c r="A238" s="11"/>
      <c r="B238" s="9"/>
      <c r="C238" s="9">
        <v>91709</v>
      </c>
      <c r="D238" s="9">
        <v>12</v>
      </c>
      <c r="E238" s="9">
        <v>103702141</v>
      </c>
      <c r="F238" s="9" t="s">
        <v>914</v>
      </c>
      <c r="G238" s="9" t="s">
        <v>74</v>
      </c>
      <c r="H238" s="9" t="s">
        <v>74</v>
      </c>
      <c r="I238" s="9" t="s">
        <v>74</v>
      </c>
      <c r="J238" s="9" t="s">
        <v>74</v>
      </c>
      <c r="K238" s="13" t="s">
        <v>74</v>
      </c>
    </row>
    <row r="239" spans="1:11" x14ac:dyDescent="0.2">
      <c r="A239" s="12"/>
      <c r="C239" s="4">
        <v>91764</v>
      </c>
      <c r="D239" s="4">
        <v>12</v>
      </c>
      <c r="E239" s="4">
        <v>10369586</v>
      </c>
      <c r="F239" s="4" t="s">
        <v>914</v>
      </c>
      <c r="G239" s="4" t="s">
        <v>933</v>
      </c>
      <c r="H239" s="4" t="s">
        <v>933</v>
      </c>
      <c r="I239" s="4" t="s">
        <v>933</v>
      </c>
      <c r="J239" s="4" t="s">
        <v>933</v>
      </c>
      <c r="K239" s="14" t="s">
        <v>933</v>
      </c>
    </row>
    <row r="240" spans="1:11" x14ac:dyDescent="0.2">
      <c r="A240" s="11"/>
      <c r="B240" s="9"/>
      <c r="C240" s="9">
        <v>91765</v>
      </c>
      <c r="D240" s="9">
        <v>12</v>
      </c>
      <c r="E240" s="9">
        <v>10366558</v>
      </c>
      <c r="F240" s="9" t="s">
        <v>914</v>
      </c>
      <c r="G240" s="9" t="s">
        <v>113</v>
      </c>
      <c r="H240" s="9" t="s">
        <v>103</v>
      </c>
      <c r="I240" s="9" t="s">
        <v>191</v>
      </c>
      <c r="J240" s="9" t="s">
        <v>191</v>
      </c>
      <c r="K240" s="13" t="s">
        <v>191</v>
      </c>
    </row>
    <row r="241" spans="1:11" x14ac:dyDescent="0.2">
      <c r="A241" s="12"/>
      <c r="C241" s="4">
        <v>91730</v>
      </c>
      <c r="D241" s="4">
        <v>12</v>
      </c>
      <c r="E241" s="4">
        <v>10370484</v>
      </c>
      <c r="F241" s="4" t="s">
        <v>914</v>
      </c>
      <c r="G241" s="4" t="s">
        <v>191</v>
      </c>
      <c r="H241" s="4" t="s">
        <v>113</v>
      </c>
      <c r="I241" s="4" t="s">
        <v>113</v>
      </c>
      <c r="J241" s="4" t="s">
        <v>113</v>
      </c>
      <c r="K241" s="14" t="s">
        <v>113</v>
      </c>
    </row>
    <row r="242" spans="1:11" x14ac:dyDescent="0.2">
      <c r="A242" s="11"/>
      <c r="B242" s="9"/>
      <c r="C242" s="9">
        <v>91739</v>
      </c>
      <c r="D242" s="9">
        <v>12</v>
      </c>
      <c r="E242" s="9">
        <v>103734081</v>
      </c>
      <c r="F242" s="9" t="s">
        <v>914</v>
      </c>
      <c r="G242" s="9" t="s">
        <v>103</v>
      </c>
      <c r="H242" s="9" t="s">
        <v>113</v>
      </c>
      <c r="I242" s="9" t="s">
        <v>113</v>
      </c>
      <c r="J242" s="9" t="s">
        <v>113</v>
      </c>
      <c r="K242" s="13" t="s">
        <v>113</v>
      </c>
    </row>
    <row r="243" spans="1:11" x14ac:dyDescent="0.2">
      <c r="A243" s="11"/>
      <c r="B243" s="9"/>
      <c r="C243" s="9">
        <v>91710</v>
      </c>
      <c r="D243" s="9">
        <v>12</v>
      </c>
      <c r="E243" s="9" t="s">
        <v>1146</v>
      </c>
      <c r="F243" s="9" t="s">
        <v>914</v>
      </c>
      <c r="G243" s="9" t="s">
        <v>103</v>
      </c>
      <c r="H243" s="9" t="s">
        <v>113</v>
      </c>
      <c r="I243" s="9" t="s">
        <v>113</v>
      </c>
      <c r="J243" s="9" t="s">
        <v>113</v>
      </c>
      <c r="K243" s="13" t="s">
        <v>103</v>
      </c>
    </row>
    <row r="244" spans="1:11" x14ac:dyDescent="0.2">
      <c r="A244" s="12"/>
      <c r="C244" s="4">
        <v>91739</v>
      </c>
      <c r="D244" s="4">
        <v>12</v>
      </c>
      <c r="E244" s="4">
        <v>10349377</v>
      </c>
      <c r="F244" s="4" t="s">
        <v>914</v>
      </c>
      <c r="G244" s="4" t="s">
        <v>113</v>
      </c>
      <c r="H244" s="4" t="s">
        <v>113</v>
      </c>
      <c r="I244" s="4" t="s">
        <v>113</v>
      </c>
      <c r="J244" s="4" t="s">
        <v>113</v>
      </c>
      <c r="K244" s="14" t="s">
        <v>113</v>
      </c>
    </row>
    <row r="245" spans="1:11" x14ac:dyDescent="0.2">
      <c r="A245" s="11"/>
      <c r="B245" s="9"/>
      <c r="C245" s="9">
        <v>91739</v>
      </c>
      <c r="D245" s="9">
        <v>12</v>
      </c>
      <c r="E245" s="9">
        <v>10043576</v>
      </c>
      <c r="F245" s="9" t="s">
        <v>914</v>
      </c>
      <c r="G245" s="9" t="s">
        <v>113</v>
      </c>
      <c r="H245" s="9" t="s">
        <v>113</v>
      </c>
      <c r="I245" s="9" t="s">
        <v>113</v>
      </c>
      <c r="J245" s="9" t="s">
        <v>113</v>
      </c>
      <c r="K245" s="13" t="s">
        <v>113</v>
      </c>
    </row>
    <row r="246" spans="1:11" x14ac:dyDescent="0.2">
      <c r="A246" s="11"/>
      <c r="B246" s="9"/>
      <c r="C246" s="9">
        <v>91709</v>
      </c>
      <c r="D246" s="9">
        <v>12</v>
      </c>
      <c r="E246" s="9">
        <v>10318478</v>
      </c>
      <c r="F246" s="9" t="s">
        <v>914</v>
      </c>
      <c r="G246" s="9" t="s">
        <v>113</v>
      </c>
      <c r="H246" s="9" t="s">
        <v>113</v>
      </c>
      <c r="I246" s="9" t="s">
        <v>113</v>
      </c>
      <c r="J246" s="9" t="s">
        <v>113</v>
      </c>
      <c r="K246" s="13" t="s">
        <v>113</v>
      </c>
    </row>
    <row r="247" spans="1:11" x14ac:dyDescent="0.2">
      <c r="A247" s="11"/>
      <c r="B247" s="9"/>
      <c r="C247" s="9">
        <v>91765</v>
      </c>
      <c r="D247" s="9">
        <v>12</v>
      </c>
      <c r="E247" s="9">
        <v>10351165</v>
      </c>
      <c r="F247" s="9" t="s">
        <v>914</v>
      </c>
      <c r="G247" s="9" t="s">
        <v>113</v>
      </c>
      <c r="H247" s="9" t="s">
        <v>113</v>
      </c>
      <c r="I247" s="9" t="s">
        <v>113</v>
      </c>
      <c r="J247" s="9" t="s">
        <v>113</v>
      </c>
      <c r="K247" s="13" t="s">
        <v>113</v>
      </c>
    </row>
    <row r="248" spans="1:11" x14ac:dyDescent="0.2">
      <c r="A248" s="12"/>
      <c r="C248" s="4">
        <v>92337</v>
      </c>
      <c r="D248" s="4">
        <v>12</v>
      </c>
      <c r="E248" s="4">
        <v>10351475</v>
      </c>
      <c r="F248" s="4" t="s">
        <v>914</v>
      </c>
      <c r="G248" s="4" t="s">
        <v>113</v>
      </c>
      <c r="H248" s="4" t="s">
        <v>113</v>
      </c>
      <c r="I248" s="4" t="s">
        <v>113</v>
      </c>
      <c r="J248" s="4" t="s">
        <v>113</v>
      </c>
      <c r="K248" s="14" t="s">
        <v>113</v>
      </c>
    </row>
    <row r="249" spans="1:11" x14ac:dyDescent="0.2">
      <c r="A249" s="11"/>
      <c r="B249" s="9"/>
      <c r="C249" s="9">
        <v>91791</v>
      </c>
      <c r="D249" s="9">
        <v>12</v>
      </c>
      <c r="E249" s="9">
        <v>10345366</v>
      </c>
      <c r="F249" s="9" t="s">
        <v>914</v>
      </c>
      <c r="G249" s="9" t="s">
        <v>113</v>
      </c>
      <c r="H249" s="9" t="s">
        <v>113</v>
      </c>
      <c r="I249" s="9" t="s">
        <v>113</v>
      </c>
      <c r="J249" s="9" t="s">
        <v>113</v>
      </c>
      <c r="K249" s="13" t="s">
        <v>113</v>
      </c>
    </row>
    <row r="250" spans="1:11" x14ac:dyDescent="0.2">
      <c r="A250" s="11"/>
      <c r="B250" s="9"/>
      <c r="C250" s="9">
        <v>91709</v>
      </c>
      <c r="D250" s="9">
        <v>13</v>
      </c>
      <c r="E250" s="9">
        <v>10368544</v>
      </c>
      <c r="F250" s="9" t="s">
        <v>914</v>
      </c>
      <c r="G250" s="9" t="s">
        <v>113</v>
      </c>
      <c r="H250" s="9" t="s">
        <v>113</v>
      </c>
      <c r="I250" s="9" t="s">
        <v>113</v>
      </c>
      <c r="J250" s="9" t="s">
        <v>113</v>
      </c>
      <c r="K250" s="13" t="s">
        <v>113</v>
      </c>
    </row>
    <row r="251" spans="1:11" x14ac:dyDescent="0.2">
      <c r="A251" s="11"/>
      <c r="B251" s="9"/>
      <c r="C251" s="9">
        <v>91764</v>
      </c>
      <c r="D251" s="9">
        <v>13</v>
      </c>
      <c r="E251" s="9">
        <v>10042458</v>
      </c>
      <c r="F251" s="9" t="s">
        <v>914</v>
      </c>
      <c r="G251" s="9" t="s">
        <v>113</v>
      </c>
      <c r="H251" s="9" t="s">
        <v>113</v>
      </c>
      <c r="I251" s="9" t="s">
        <v>113</v>
      </c>
      <c r="J251" s="9" t="s">
        <v>113</v>
      </c>
      <c r="K251" s="13" t="s">
        <v>113</v>
      </c>
    </row>
    <row r="252" spans="1:11" x14ac:dyDescent="0.2">
      <c r="A252" s="11"/>
      <c r="B252" s="9"/>
      <c r="C252" s="9">
        <v>91739</v>
      </c>
      <c r="D252" s="9">
        <v>13</v>
      </c>
      <c r="E252" s="9" t="s">
        <v>1155</v>
      </c>
      <c r="F252" s="9" t="s">
        <v>914</v>
      </c>
      <c r="G252" s="9" t="s">
        <v>113</v>
      </c>
      <c r="H252" s="9" t="s">
        <v>113</v>
      </c>
      <c r="I252" s="9" t="s">
        <v>113</v>
      </c>
      <c r="J252" s="9" t="s">
        <v>113</v>
      </c>
      <c r="K252" s="13" t="s">
        <v>113</v>
      </c>
    </row>
    <row r="253" spans="1:11" x14ac:dyDescent="0.2">
      <c r="A253" s="11"/>
      <c r="B253" s="9"/>
      <c r="C253" s="9">
        <v>91761</v>
      </c>
      <c r="D253" s="9">
        <v>13</v>
      </c>
      <c r="E253" s="9" t="s">
        <v>1156</v>
      </c>
      <c r="F253" s="9" t="s">
        <v>914</v>
      </c>
      <c r="G253" s="9" t="s">
        <v>98</v>
      </c>
      <c r="H253" s="9" t="s">
        <v>98</v>
      </c>
      <c r="I253" s="9" t="s">
        <v>98</v>
      </c>
      <c r="J253" s="9" t="s">
        <v>98</v>
      </c>
      <c r="K253" s="13" t="s">
        <v>98</v>
      </c>
    </row>
    <row r="254" spans="1:11" x14ac:dyDescent="0.2">
      <c r="A254" s="11"/>
      <c r="B254" s="9"/>
      <c r="C254" s="9">
        <v>91739</v>
      </c>
      <c r="D254" s="9">
        <v>14</v>
      </c>
      <c r="E254" s="9">
        <v>102040351</v>
      </c>
      <c r="F254" s="9" t="s">
        <v>914</v>
      </c>
      <c r="G254" s="9" t="s">
        <v>113</v>
      </c>
      <c r="H254" s="9" t="s">
        <v>113</v>
      </c>
      <c r="I254" s="9" t="s">
        <v>113</v>
      </c>
      <c r="J254" s="9" t="s">
        <v>113</v>
      </c>
      <c r="K254" s="13" t="s">
        <v>113</v>
      </c>
    </row>
    <row r="255" spans="1:11" x14ac:dyDescent="0.2">
      <c r="A255" s="11"/>
      <c r="B255" s="9"/>
      <c r="C255" s="9">
        <v>92336</v>
      </c>
      <c r="D255" s="9">
        <v>14</v>
      </c>
      <c r="E255" s="9">
        <v>10125379</v>
      </c>
      <c r="F255" s="9" t="s">
        <v>914</v>
      </c>
      <c r="G255" s="9" t="s">
        <v>113</v>
      </c>
      <c r="H255" s="9" t="s">
        <v>113</v>
      </c>
      <c r="I255" s="9" t="s">
        <v>113</v>
      </c>
      <c r="J255" s="9" t="s">
        <v>113</v>
      </c>
      <c r="K255" s="13" t="s">
        <v>202</v>
      </c>
    </row>
    <row r="256" spans="1:11" x14ac:dyDescent="0.2">
      <c r="A256" s="12"/>
      <c r="C256" s="4">
        <v>91761</v>
      </c>
      <c r="D256" s="4">
        <v>14</v>
      </c>
      <c r="E256" s="4">
        <v>10043193</v>
      </c>
      <c r="F256" s="4" t="s">
        <v>914</v>
      </c>
      <c r="G256" s="4" t="s">
        <v>113</v>
      </c>
      <c r="H256" s="4" t="s">
        <v>113</v>
      </c>
      <c r="I256" s="4" t="s">
        <v>113</v>
      </c>
      <c r="J256" s="4" t="s">
        <v>113</v>
      </c>
      <c r="K256" s="14" t="s">
        <v>113</v>
      </c>
    </row>
    <row r="257" spans="1:11" x14ac:dyDescent="0.2">
      <c r="A257" s="11"/>
      <c r="B257" s="9"/>
      <c r="C257" s="9">
        <v>91711</v>
      </c>
      <c r="D257" s="9">
        <v>14</v>
      </c>
      <c r="E257" s="9">
        <v>10029499</v>
      </c>
      <c r="F257" s="9" t="s">
        <v>914</v>
      </c>
      <c r="G257" s="9" t="s">
        <v>113</v>
      </c>
      <c r="H257" s="9" t="s">
        <v>113</v>
      </c>
      <c r="I257" s="9" t="s">
        <v>113</v>
      </c>
      <c r="J257" s="9" t="s">
        <v>113</v>
      </c>
      <c r="K257" s="13" t="s">
        <v>113</v>
      </c>
    </row>
    <row r="258" spans="1:11" x14ac:dyDescent="0.2">
      <c r="A258" s="12"/>
      <c r="C258" s="4">
        <v>91722</v>
      </c>
      <c r="D258" s="4">
        <v>14</v>
      </c>
      <c r="E258" s="4">
        <v>10189436</v>
      </c>
      <c r="F258" s="4" t="s">
        <v>914</v>
      </c>
      <c r="G258" s="4" t="s">
        <v>113</v>
      </c>
      <c r="H258" s="4" t="s">
        <v>113</v>
      </c>
      <c r="I258" s="4" t="s">
        <v>113</v>
      </c>
      <c r="J258" s="4" t="s">
        <v>113</v>
      </c>
      <c r="K258" s="14" t="s">
        <v>113</v>
      </c>
    </row>
    <row r="259" spans="1:11" x14ac:dyDescent="0.2">
      <c r="A259" s="11"/>
      <c r="B259" s="9"/>
      <c r="C259" s="9">
        <v>91739</v>
      </c>
      <c r="D259" s="9">
        <v>14.1</v>
      </c>
      <c r="E259" s="9">
        <v>103722461</v>
      </c>
      <c r="F259" s="9" t="s">
        <v>914</v>
      </c>
      <c r="G259" s="9" t="s">
        <v>74</v>
      </c>
      <c r="H259" s="9" t="s">
        <v>103</v>
      </c>
      <c r="I259" s="9" t="s">
        <v>74</v>
      </c>
      <c r="J259" s="9" t="s">
        <v>103</v>
      </c>
      <c r="K259" s="13" t="s">
        <v>74</v>
      </c>
    </row>
    <row r="260" spans="1:11" x14ac:dyDescent="0.2">
      <c r="A260" s="11"/>
      <c r="B260" s="9"/>
      <c r="C260" s="9">
        <v>91763</v>
      </c>
      <c r="D260" s="9">
        <v>15</v>
      </c>
      <c r="E260" s="9" t="s">
        <v>1161</v>
      </c>
      <c r="F260" s="9" t="s">
        <v>914</v>
      </c>
      <c r="G260" s="9" t="s">
        <v>113</v>
      </c>
      <c r="H260" s="9" t="s">
        <v>113</v>
      </c>
      <c r="I260" s="9" t="s">
        <v>113</v>
      </c>
      <c r="J260" s="9" t="s">
        <v>113</v>
      </c>
      <c r="K260" s="13" t="s">
        <v>113</v>
      </c>
    </row>
    <row r="261" spans="1:11" x14ac:dyDescent="0.2">
      <c r="A261" s="12"/>
      <c r="C261" s="4">
        <v>91763</v>
      </c>
      <c r="D261" s="4">
        <v>15</v>
      </c>
      <c r="E261" s="4" t="s">
        <v>1164</v>
      </c>
      <c r="F261" s="4" t="s">
        <v>914</v>
      </c>
      <c r="G261" s="4" t="s">
        <v>98</v>
      </c>
      <c r="H261" s="4" t="s">
        <v>98</v>
      </c>
      <c r="I261" s="4" t="s">
        <v>98</v>
      </c>
      <c r="J261" s="4" t="s">
        <v>98</v>
      </c>
      <c r="K261" s="14" t="s">
        <v>98</v>
      </c>
    </row>
    <row r="262" spans="1:11" x14ac:dyDescent="0.2">
      <c r="A262" s="12"/>
      <c r="C262" s="4">
        <v>92336</v>
      </c>
      <c r="D262" s="4">
        <v>15</v>
      </c>
      <c r="E262" s="4">
        <v>10042857</v>
      </c>
      <c r="F262" s="4" t="s">
        <v>914</v>
      </c>
      <c r="G262" s="4" t="s">
        <v>191</v>
      </c>
      <c r="H262" s="4" t="s">
        <v>191</v>
      </c>
      <c r="I262" s="4" t="s">
        <v>191</v>
      </c>
      <c r="J262" s="4" t="s">
        <v>113</v>
      </c>
      <c r="K262" s="14" t="s">
        <v>113</v>
      </c>
    </row>
    <row r="263" spans="1:11" x14ac:dyDescent="0.2">
      <c r="A263" s="11"/>
      <c r="B263" s="9"/>
      <c r="C263" s="9">
        <v>92377</v>
      </c>
      <c r="D263" s="9">
        <v>15</v>
      </c>
      <c r="E263" s="9">
        <v>10042242</v>
      </c>
      <c r="F263" s="9" t="s">
        <v>914</v>
      </c>
      <c r="G263" s="9" t="s">
        <v>113</v>
      </c>
      <c r="H263" s="9" t="s">
        <v>113</v>
      </c>
      <c r="I263" s="9" t="s">
        <v>113</v>
      </c>
      <c r="J263" s="9" t="s">
        <v>113</v>
      </c>
      <c r="K263" s="13" t="s">
        <v>113</v>
      </c>
    </row>
    <row r="264" spans="1:11" x14ac:dyDescent="0.2">
      <c r="A264" s="12"/>
      <c r="C264" s="4">
        <v>91762</v>
      </c>
      <c r="D264" s="4">
        <v>15</v>
      </c>
      <c r="E264" s="4">
        <v>1035852</v>
      </c>
      <c r="F264" s="4" t="s">
        <v>914</v>
      </c>
      <c r="G264" s="4" t="s">
        <v>103</v>
      </c>
      <c r="H264" s="4" t="s">
        <v>103</v>
      </c>
      <c r="I264" s="4" t="s">
        <v>103</v>
      </c>
      <c r="J264" s="4" t="s">
        <v>103</v>
      </c>
      <c r="K264" s="14" t="s">
        <v>103</v>
      </c>
    </row>
    <row r="265" spans="1:11" x14ac:dyDescent="0.2">
      <c r="A265" s="12"/>
      <c r="C265" s="4">
        <v>92860</v>
      </c>
      <c r="D265" s="4">
        <v>15</v>
      </c>
      <c r="E265" s="4">
        <v>10368759</v>
      </c>
      <c r="F265" s="4" t="s">
        <v>914</v>
      </c>
      <c r="G265" s="4" t="s">
        <v>113</v>
      </c>
      <c r="H265" s="4" t="s">
        <v>113</v>
      </c>
      <c r="I265" s="4" t="s">
        <v>113</v>
      </c>
      <c r="J265" s="4" t="s">
        <v>113</v>
      </c>
      <c r="K265" s="14" t="s">
        <v>113</v>
      </c>
    </row>
    <row r="266" spans="1:11" x14ac:dyDescent="0.2">
      <c r="A266" s="12"/>
      <c r="C266" s="4">
        <v>91701</v>
      </c>
      <c r="D266" s="4">
        <v>15</v>
      </c>
      <c r="E266" s="4" t="s">
        <v>1172</v>
      </c>
      <c r="F266" s="4" t="s">
        <v>914</v>
      </c>
      <c r="G266" s="4" t="s">
        <v>113</v>
      </c>
      <c r="H266" s="4" t="s">
        <v>113</v>
      </c>
      <c r="I266" s="4" t="s">
        <v>113</v>
      </c>
      <c r="J266" s="4" t="s">
        <v>113</v>
      </c>
      <c r="K266" s="14" t="s">
        <v>113</v>
      </c>
    </row>
    <row r="267" spans="1:11" x14ac:dyDescent="0.2">
      <c r="A267" s="11"/>
      <c r="B267" s="9"/>
      <c r="C267" s="9">
        <v>91764</v>
      </c>
      <c r="D267" s="9">
        <v>15</v>
      </c>
      <c r="E267" s="9">
        <v>10366671</v>
      </c>
      <c r="F267" s="9" t="s">
        <v>914</v>
      </c>
      <c r="G267" s="9" t="s">
        <v>1175</v>
      </c>
      <c r="H267" s="9" t="s">
        <v>1176</v>
      </c>
      <c r="I267" s="9" t="s">
        <v>1016</v>
      </c>
      <c r="J267" s="9" t="s">
        <v>933</v>
      </c>
      <c r="K267" s="13" t="s">
        <v>1016</v>
      </c>
    </row>
    <row r="268" spans="1:11" x14ac:dyDescent="0.2">
      <c r="A268" s="12"/>
      <c r="C268" s="4">
        <v>92337</v>
      </c>
      <c r="D268" s="4">
        <v>15</v>
      </c>
      <c r="E268" s="4">
        <v>106021</v>
      </c>
      <c r="F268" s="4" t="s">
        <v>914</v>
      </c>
      <c r="G268" s="4" t="s">
        <v>74</v>
      </c>
      <c r="H268" s="4" t="s">
        <v>74</v>
      </c>
      <c r="I268" s="4" t="s">
        <v>74</v>
      </c>
      <c r="J268" s="4" t="s">
        <v>74</v>
      </c>
      <c r="K268" s="14" t="s">
        <v>74</v>
      </c>
    </row>
    <row r="269" spans="1:11" ht="0.75" customHeight="1" x14ac:dyDescent="0.2">
      <c r="A269" s="12"/>
      <c r="C269" s="4">
        <v>91706</v>
      </c>
      <c r="D269" s="4">
        <v>15</v>
      </c>
      <c r="E269" s="4">
        <v>10042321</v>
      </c>
      <c r="F269" s="4" t="s">
        <v>914</v>
      </c>
      <c r="G269" s="4" t="s">
        <v>103</v>
      </c>
      <c r="H269" s="4" t="s">
        <v>103</v>
      </c>
      <c r="I269" s="4" t="s">
        <v>195</v>
      </c>
      <c r="J269" s="4" t="s">
        <v>74</v>
      </c>
      <c r="K269" s="14" t="s">
        <v>74</v>
      </c>
    </row>
    <row r="270" spans="1:11" x14ac:dyDescent="0.2">
      <c r="A270" s="12"/>
      <c r="C270" s="4">
        <v>92335</v>
      </c>
      <c r="D270" s="4">
        <v>15</v>
      </c>
      <c r="E270" s="4">
        <v>10043633</v>
      </c>
      <c r="F270" s="4" t="s">
        <v>914</v>
      </c>
      <c r="G270" s="4" t="s">
        <v>113</v>
      </c>
      <c r="H270" s="4" t="s">
        <v>113</v>
      </c>
      <c r="I270" s="4" t="s">
        <v>113</v>
      </c>
      <c r="J270" s="4" t="s">
        <v>113</v>
      </c>
      <c r="K270" s="14" t="s">
        <v>113</v>
      </c>
    </row>
    <row r="271" spans="1:11" x14ac:dyDescent="0.2">
      <c r="A271" s="11"/>
      <c r="B271" s="9"/>
      <c r="C271" s="9">
        <v>91764</v>
      </c>
      <c r="D271" s="9">
        <v>15</v>
      </c>
      <c r="E271" s="9">
        <v>10356044</v>
      </c>
      <c r="F271" s="9" t="s">
        <v>914</v>
      </c>
      <c r="G271" s="9" t="s">
        <v>113</v>
      </c>
      <c r="H271" s="9" t="s">
        <v>113</v>
      </c>
      <c r="I271" s="9" t="s">
        <v>113</v>
      </c>
      <c r="J271" s="9" t="s">
        <v>113</v>
      </c>
      <c r="K271" s="13" t="s">
        <v>113</v>
      </c>
    </row>
    <row r="272" spans="1:11" x14ac:dyDescent="0.2">
      <c r="A272" s="12"/>
      <c r="C272" s="4">
        <v>91730</v>
      </c>
      <c r="D272" s="4">
        <v>15</v>
      </c>
      <c r="E272" s="4">
        <v>102945942</v>
      </c>
      <c r="F272" s="4" t="s">
        <v>914</v>
      </c>
      <c r="G272" s="4" t="s">
        <v>113</v>
      </c>
      <c r="H272" s="4" t="s">
        <v>113</v>
      </c>
      <c r="I272" s="4" t="s">
        <v>113</v>
      </c>
      <c r="J272" s="4" t="s">
        <v>113</v>
      </c>
      <c r="K272" s="14" t="s">
        <v>113</v>
      </c>
    </row>
    <row r="273" spans="1:11" x14ac:dyDescent="0.2">
      <c r="A273" s="12"/>
      <c r="C273" s="4">
        <v>91762</v>
      </c>
      <c r="D273" s="4">
        <v>15</v>
      </c>
      <c r="E273" s="4">
        <v>100563</v>
      </c>
      <c r="F273" s="4" t="s">
        <v>914</v>
      </c>
      <c r="G273" s="4" t="s">
        <v>113</v>
      </c>
      <c r="H273" s="4" t="s">
        <v>113</v>
      </c>
      <c r="I273" s="4" t="s">
        <v>113</v>
      </c>
      <c r="J273" s="4" t="s">
        <v>113</v>
      </c>
      <c r="K273" s="14" t="s">
        <v>113</v>
      </c>
    </row>
    <row r="274" spans="1:11" x14ac:dyDescent="0.2">
      <c r="A274" s="12"/>
      <c r="C274" s="4">
        <v>91784</v>
      </c>
      <c r="D274" s="4">
        <v>15</v>
      </c>
      <c r="E274" s="4">
        <v>10350170</v>
      </c>
      <c r="F274" s="4" t="s">
        <v>914</v>
      </c>
      <c r="G274" s="4" t="s">
        <v>113</v>
      </c>
      <c r="H274" s="4" t="s">
        <v>113</v>
      </c>
      <c r="I274" s="4" t="s">
        <v>113</v>
      </c>
      <c r="J274" s="4" t="s">
        <v>113</v>
      </c>
      <c r="K274" s="14" t="s">
        <v>199</v>
      </c>
    </row>
    <row r="275" spans="1:11" x14ac:dyDescent="0.2">
      <c r="A275" s="12"/>
      <c r="C275" s="4">
        <v>91791</v>
      </c>
      <c r="D275" s="4">
        <v>15</v>
      </c>
      <c r="E275" s="4">
        <v>10271689</v>
      </c>
      <c r="F275" s="4" t="s">
        <v>914</v>
      </c>
      <c r="G275" s="4" t="s">
        <v>113</v>
      </c>
      <c r="H275" s="4" t="s">
        <v>113</v>
      </c>
      <c r="I275" s="4" t="s">
        <v>113</v>
      </c>
      <c r="J275" s="4" t="s">
        <v>113</v>
      </c>
      <c r="K275" s="14" t="s">
        <v>113</v>
      </c>
    </row>
    <row r="276" spans="1:11" x14ac:dyDescent="0.2">
      <c r="A276" s="11"/>
      <c r="B276" s="9"/>
      <c r="C276" s="9">
        <v>91766</v>
      </c>
      <c r="D276" s="9">
        <v>15</v>
      </c>
      <c r="E276" s="9">
        <v>10275594</v>
      </c>
      <c r="F276" s="9" t="s">
        <v>914</v>
      </c>
      <c r="G276" s="9" t="s">
        <v>113</v>
      </c>
      <c r="H276" s="9" t="s">
        <v>113</v>
      </c>
      <c r="I276" s="9" t="s">
        <v>113</v>
      </c>
      <c r="J276" s="9" t="s">
        <v>113</v>
      </c>
      <c r="K276" s="13" t="s">
        <v>183</v>
      </c>
    </row>
    <row r="277" spans="1:11" x14ac:dyDescent="0.2">
      <c r="A277" s="11"/>
      <c r="B277" s="9"/>
      <c r="C277" s="9">
        <v>91722</v>
      </c>
      <c r="D277" s="9">
        <v>15</v>
      </c>
      <c r="E277" s="9">
        <v>10266238</v>
      </c>
      <c r="F277" s="9" t="s">
        <v>914</v>
      </c>
      <c r="G277" s="9" t="s">
        <v>113</v>
      </c>
      <c r="H277" s="9" t="s">
        <v>103</v>
      </c>
      <c r="I277" s="9" t="s">
        <v>202</v>
      </c>
      <c r="J277" s="9" t="s">
        <v>113</v>
      </c>
      <c r="K277" s="13" t="s">
        <v>202</v>
      </c>
    </row>
    <row r="278" spans="1:11" x14ac:dyDescent="0.2">
      <c r="A278" s="11"/>
      <c r="B278" s="9"/>
      <c r="C278" s="9">
        <v>91765</v>
      </c>
      <c r="D278" s="9">
        <v>15</v>
      </c>
      <c r="E278" s="9">
        <v>10373041</v>
      </c>
      <c r="F278" s="9" t="s">
        <v>914</v>
      </c>
      <c r="G278" s="9" t="s">
        <v>113</v>
      </c>
      <c r="H278" s="9" t="s">
        <v>113</v>
      </c>
      <c r="I278" s="9" t="s">
        <v>113</v>
      </c>
      <c r="J278" s="9" t="s">
        <v>113</v>
      </c>
      <c r="K278" s="13" t="s">
        <v>113</v>
      </c>
    </row>
    <row r="279" spans="1:11" x14ac:dyDescent="0.2">
      <c r="A279" s="12"/>
      <c r="C279" s="4">
        <v>92336</v>
      </c>
      <c r="D279" s="4">
        <v>15</v>
      </c>
      <c r="E279" s="4" t="s">
        <v>1192</v>
      </c>
      <c r="F279" s="4" t="s">
        <v>914</v>
      </c>
      <c r="G279" s="4" t="s">
        <v>113</v>
      </c>
      <c r="H279" s="4" t="s">
        <v>113</v>
      </c>
      <c r="I279" s="4" t="s">
        <v>113</v>
      </c>
      <c r="J279" s="4" t="s">
        <v>113</v>
      </c>
      <c r="K279" s="14" t="s">
        <v>113</v>
      </c>
    </row>
    <row r="280" spans="1:11" x14ac:dyDescent="0.2">
      <c r="A280" s="12"/>
      <c r="C280" s="4">
        <v>92336</v>
      </c>
      <c r="D280" s="4">
        <v>16</v>
      </c>
      <c r="E280" s="4">
        <v>10351444</v>
      </c>
      <c r="F280" s="4" t="s">
        <v>914</v>
      </c>
      <c r="G280" s="4" t="s">
        <v>113</v>
      </c>
      <c r="H280" s="4" t="s">
        <v>113</v>
      </c>
      <c r="I280" s="4" t="s">
        <v>113</v>
      </c>
      <c r="J280" s="4" t="s">
        <v>113</v>
      </c>
      <c r="K280" s="14" t="s">
        <v>113</v>
      </c>
    </row>
    <row r="281" spans="1:11" x14ac:dyDescent="0.2">
      <c r="A281" s="12"/>
      <c r="C281" s="4">
        <v>92336</v>
      </c>
      <c r="D281" s="4">
        <v>16</v>
      </c>
      <c r="E281" s="4">
        <v>10144676</v>
      </c>
      <c r="F281" s="4" t="s">
        <v>914</v>
      </c>
      <c r="G281" s="4" t="s">
        <v>113</v>
      </c>
      <c r="H281" s="4" t="s">
        <v>113</v>
      </c>
      <c r="I281" s="4" t="s">
        <v>113</v>
      </c>
      <c r="J281" s="4" t="s">
        <v>113</v>
      </c>
      <c r="K281" s="14" t="s">
        <v>113</v>
      </c>
    </row>
    <row r="282" spans="1:11" x14ac:dyDescent="0.2">
      <c r="A282" s="11"/>
      <c r="B282" s="9"/>
      <c r="C282" s="9">
        <v>91010</v>
      </c>
      <c r="D282" s="9">
        <v>16</v>
      </c>
      <c r="E282" s="9">
        <v>103704971</v>
      </c>
      <c r="F282" s="9" t="s">
        <v>914</v>
      </c>
      <c r="G282" s="9" t="s">
        <v>113</v>
      </c>
      <c r="H282" s="9" t="s">
        <v>113</v>
      </c>
      <c r="I282" s="9" t="s">
        <v>113</v>
      </c>
      <c r="J282" s="9" t="s">
        <v>113</v>
      </c>
      <c r="K282" s="13" t="s">
        <v>103</v>
      </c>
    </row>
    <row r="283" spans="1:11" x14ac:dyDescent="0.2">
      <c r="A283" s="12"/>
      <c r="C283" s="4">
        <v>92335</v>
      </c>
      <c r="D283" s="4">
        <v>16</v>
      </c>
      <c r="E283" s="4">
        <v>10366672</v>
      </c>
      <c r="F283" s="4" t="s">
        <v>914</v>
      </c>
      <c r="G283" s="4" t="s">
        <v>113</v>
      </c>
      <c r="H283" s="4" t="s">
        <v>113</v>
      </c>
      <c r="I283" s="4" t="s">
        <v>113</v>
      </c>
      <c r="J283" s="4" t="s">
        <v>113</v>
      </c>
      <c r="K283" s="14" t="s">
        <v>113</v>
      </c>
    </row>
    <row r="284" spans="1:11" x14ac:dyDescent="0.2">
      <c r="A284" s="11"/>
      <c r="B284" s="9"/>
      <c r="C284" s="9">
        <v>92337</v>
      </c>
      <c r="D284" s="9">
        <v>16</v>
      </c>
      <c r="E284" s="9">
        <v>10043729</v>
      </c>
      <c r="F284" s="9" t="s">
        <v>914</v>
      </c>
      <c r="G284" s="9" t="s">
        <v>85</v>
      </c>
      <c r="H284" s="9" t="s">
        <v>85</v>
      </c>
      <c r="I284" s="9" t="s">
        <v>85</v>
      </c>
      <c r="J284" s="9" t="s">
        <v>85</v>
      </c>
      <c r="K284" s="13" t="s">
        <v>195</v>
      </c>
    </row>
    <row r="285" spans="1:11" x14ac:dyDescent="0.2">
      <c r="A285" s="11"/>
      <c r="B285" s="9"/>
      <c r="C285" s="9">
        <v>92335</v>
      </c>
      <c r="D285" s="9">
        <v>16</v>
      </c>
      <c r="E285" s="9" t="s">
        <v>1199</v>
      </c>
      <c r="F285" s="9" t="s">
        <v>914</v>
      </c>
      <c r="G285" s="9" t="s">
        <v>933</v>
      </c>
      <c r="H285" s="9" t="s">
        <v>933</v>
      </c>
      <c r="I285" s="9" t="s">
        <v>933</v>
      </c>
      <c r="J285" s="9" t="s">
        <v>933</v>
      </c>
      <c r="K285" s="13" t="s">
        <v>933</v>
      </c>
    </row>
    <row r="286" spans="1:11" x14ac:dyDescent="0.2">
      <c r="A286" s="11"/>
      <c r="B286" s="9"/>
      <c r="C286" s="9">
        <v>92336</v>
      </c>
      <c r="D286" s="9">
        <v>16</v>
      </c>
      <c r="E286" s="9">
        <v>10043226</v>
      </c>
      <c r="F286" s="9" t="s">
        <v>914</v>
      </c>
      <c r="G286" s="9" t="s">
        <v>85</v>
      </c>
      <c r="H286" s="9" t="s">
        <v>85</v>
      </c>
      <c r="I286" s="9" t="s">
        <v>85</v>
      </c>
      <c r="J286" s="9" t="s">
        <v>85</v>
      </c>
      <c r="K286" s="13" t="s">
        <v>85</v>
      </c>
    </row>
    <row r="287" spans="1:11" x14ac:dyDescent="0.2">
      <c r="A287" s="11"/>
      <c r="B287" s="9"/>
      <c r="C287" s="9">
        <v>91792</v>
      </c>
      <c r="D287" s="9">
        <v>16</v>
      </c>
      <c r="E287" s="9">
        <v>103702021</v>
      </c>
      <c r="F287" s="9" t="s">
        <v>914</v>
      </c>
      <c r="G287" s="9" t="s">
        <v>74</v>
      </c>
      <c r="H287" s="9" t="s">
        <v>74</v>
      </c>
      <c r="I287" s="9" t="s">
        <v>74</v>
      </c>
      <c r="J287" s="9" t="s">
        <v>103</v>
      </c>
      <c r="K287" s="13" t="s">
        <v>74</v>
      </c>
    </row>
    <row r="288" spans="1:11" x14ac:dyDescent="0.2">
      <c r="A288" s="11"/>
      <c r="B288" s="9"/>
      <c r="C288" s="9">
        <v>92336</v>
      </c>
      <c r="D288" s="9">
        <v>16</v>
      </c>
      <c r="E288" s="9">
        <v>102891262</v>
      </c>
      <c r="F288" s="9" t="s">
        <v>914</v>
      </c>
      <c r="G288" s="9" t="s">
        <v>113</v>
      </c>
      <c r="H288" s="9" t="s">
        <v>113</v>
      </c>
      <c r="I288" s="9" t="s">
        <v>113</v>
      </c>
      <c r="J288" s="9" t="s">
        <v>113</v>
      </c>
      <c r="K288" s="13" t="s">
        <v>113</v>
      </c>
    </row>
    <row r="289" spans="1:11" x14ac:dyDescent="0.2">
      <c r="A289" s="11"/>
      <c r="B289" s="9"/>
      <c r="C289" s="9">
        <v>92337</v>
      </c>
      <c r="D289" s="9">
        <v>16</v>
      </c>
      <c r="E289" s="9">
        <v>10303075</v>
      </c>
      <c r="F289" s="9" t="s">
        <v>919</v>
      </c>
      <c r="G289" s="9" t="s">
        <v>113</v>
      </c>
      <c r="H289" s="9" t="s">
        <v>113</v>
      </c>
      <c r="I289" s="9" t="s">
        <v>113</v>
      </c>
      <c r="J289" s="9" t="s">
        <v>113</v>
      </c>
      <c r="K289" s="13" t="s">
        <v>113</v>
      </c>
    </row>
    <row r="290" spans="1:11" x14ac:dyDescent="0.2">
      <c r="A290" s="11"/>
      <c r="B290" s="9"/>
      <c r="C290" s="9">
        <v>92336</v>
      </c>
      <c r="D290" s="9">
        <v>16.8</v>
      </c>
      <c r="E290" s="9">
        <v>10042188</v>
      </c>
      <c r="F290" s="9" t="s">
        <v>914</v>
      </c>
      <c r="G290" s="9" t="s">
        <v>113</v>
      </c>
      <c r="H290" s="9" t="s">
        <v>113</v>
      </c>
      <c r="I290" s="9" t="s">
        <v>113</v>
      </c>
      <c r="J290" s="9" t="s">
        <v>113</v>
      </c>
      <c r="K290" s="13" t="s">
        <v>113</v>
      </c>
    </row>
    <row r="291" spans="1:11" x14ac:dyDescent="0.2">
      <c r="A291" s="11"/>
      <c r="B291" s="9"/>
      <c r="C291" s="9">
        <v>91761</v>
      </c>
      <c r="D291" s="9">
        <v>17</v>
      </c>
      <c r="E291" s="9">
        <v>10308283</v>
      </c>
      <c r="F291" s="9" t="s">
        <v>914</v>
      </c>
      <c r="G291" s="9" t="s">
        <v>113</v>
      </c>
      <c r="H291" s="9" t="s">
        <v>113</v>
      </c>
      <c r="I291" s="9" t="s">
        <v>113</v>
      </c>
      <c r="J291" s="9" t="s">
        <v>113</v>
      </c>
      <c r="K291" s="13" t="s">
        <v>113</v>
      </c>
    </row>
    <row r="292" spans="1:11" x14ac:dyDescent="0.2">
      <c r="A292" s="12"/>
      <c r="C292" s="4">
        <v>91105</v>
      </c>
      <c r="D292" s="4">
        <v>17</v>
      </c>
      <c r="E292" s="4" t="s">
        <v>344</v>
      </c>
      <c r="F292" s="4" t="s">
        <v>914</v>
      </c>
      <c r="G292" s="4" t="s">
        <v>113</v>
      </c>
      <c r="H292" s="4" t="s">
        <v>113</v>
      </c>
      <c r="I292" s="4" t="s">
        <v>113</v>
      </c>
      <c r="J292" s="4" t="s">
        <v>113</v>
      </c>
      <c r="K292" s="14" t="s">
        <v>113</v>
      </c>
    </row>
    <row r="293" spans="1:11" x14ac:dyDescent="0.2">
      <c r="A293" s="11"/>
      <c r="B293" s="9"/>
      <c r="C293" s="9">
        <v>92316</v>
      </c>
      <c r="D293" s="9">
        <v>17</v>
      </c>
      <c r="E293" s="9">
        <v>10197150</v>
      </c>
      <c r="F293" s="9" t="s">
        <v>914</v>
      </c>
      <c r="G293" s="9" t="s">
        <v>103</v>
      </c>
      <c r="H293" s="9" t="s">
        <v>103</v>
      </c>
      <c r="I293" s="9" t="s">
        <v>103</v>
      </c>
      <c r="J293" s="9" t="s">
        <v>103</v>
      </c>
      <c r="K293" s="13" t="s">
        <v>103</v>
      </c>
    </row>
    <row r="294" spans="1:11" x14ac:dyDescent="0.2">
      <c r="A294" s="11"/>
      <c r="B294" s="9"/>
      <c r="C294" s="9">
        <v>91762</v>
      </c>
      <c r="D294" s="9">
        <v>17</v>
      </c>
      <c r="E294" s="9">
        <v>101993243</v>
      </c>
      <c r="F294" s="9" t="s">
        <v>914</v>
      </c>
      <c r="G294" s="9" t="s">
        <v>113</v>
      </c>
      <c r="H294" s="9" t="s">
        <v>113</v>
      </c>
      <c r="I294" s="9" t="s">
        <v>113</v>
      </c>
      <c r="J294" s="9" t="s">
        <v>113</v>
      </c>
      <c r="K294" s="13" t="s">
        <v>113</v>
      </c>
    </row>
    <row r="295" spans="1:11" x14ac:dyDescent="0.2">
      <c r="A295" s="12"/>
      <c r="C295" s="4">
        <v>91702</v>
      </c>
      <c r="D295" s="4">
        <v>17</v>
      </c>
      <c r="E295" s="4">
        <v>103666132</v>
      </c>
      <c r="F295" s="4" t="s">
        <v>914</v>
      </c>
      <c r="G295" s="4" t="s">
        <v>113</v>
      </c>
      <c r="H295" s="4" t="s">
        <v>113</v>
      </c>
      <c r="I295" s="4" t="s">
        <v>113</v>
      </c>
      <c r="J295" s="4" t="s">
        <v>113</v>
      </c>
      <c r="K295" s="14" t="s">
        <v>113</v>
      </c>
    </row>
    <row r="296" spans="1:11" x14ac:dyDescent="0.2">
      <c r="A296" s="12"/>
      <c r="C296" s="4">
        <v>91708</v>
      </c>
      <c r="D296" s="4">
        <v>17</v>
      </c>
      <c r="E296" s="4">
        <v>103695161</v>
      </c>
      <c r="F296" s="4" t="s">
        <v>914</v>
      </c>
      <c r="G296" s="4" t="s">
        <v>113</v>
      </c>
      <c r="H296" s="4" t="s">
        <v>113</v>
      </c>
      <c r="I296" s="4" t="s">
        <v>113</v>
      </c>
      <c r="J296" s="4" t="s">
        <v>113</v>
      </c>
      <c r="K296" s="14" t="s">
        <v>103</v>
      </c>
    </row>
    <row r="297" spans="1:11" x14ac:dyDescent="0.2">
      <c r="A297" s="11"/>
      <c r="B297" s="9"/>
      <c r="C297" s="9">
        <v>92336</v>
      </c>
      <c r="D297" s="9">
        <v>17</v>
      </c>
      <c r="E297" s="9">
        <v>10374419</v>
      </c>
      <c r="F297" s="9" t="s">
        <v>919</v>
      </c>
      <c r="G297" s="9" t="s">
        <v>113</v>
      </c>
      <c r="H297" s="9" t="s">
        <v>113</v>
      </c>
      <c r="I297" s="9" t="s">
        <v>202</v>
      </c>
      <c r="J297" s="9" t="s">
        <v>85</v>
      </c>
      <c r="K297" s="13" t="s">
        <v>202</v>
      </c>
    </row>
    <row r="298" spans="1:11" x14ac:dyDescent="0.2">
      <c r="A298" s="11"/>
      <c r="B298" s="9"/>
      <c r="C298" s="9">
        <v>91744</v>
      </c>
      <c r="D298" s="9">
        <v>17</v>
      </c>
      <c r="E298" s="9">
        <v>10215439</v>
      </c>
      <c r="F298" s="9" t="s">
        <v>914</v>
      </c>
      <c r="G298" s="9" t="s">
        <v>113</v>
      </c>
      <c r="H298" s="9" t="s">
        <v>113</v>
      </c>
      <c r="I298" s="9" t="s">
        <v>113</v>
      </c>
      <c r="J298" s="9" t="s">
        <v>113</v>
      </c>
      <c r="K298" s="13" t="s">
        <v>113</v>
      </c>
    </row>
    <row r="299" spans="1:11" x14ac:dyDescent="0.2">
      <c r="A299" s="11"/>
      <c r="B299" s="9"/>
      <c r="C299" s="9">
        <v>92336</v>
      </c>
      <c r="D299" s="9">
        <v>17.5</v>
      </c>
      <c r="E299" s="9">
        <v>10097957</v>
      </c>
      <c r="F299" s="9" t="s">
        <v>914</v>
      </c>
      <c r="G299" s="9" t="s">
        <v>103</v>
      </c>
      <c r="H299" s="9" t="s">
        <v>103</v>
      </c>
      <c r="I299" s="9" t="s">
        <v>103</v>
      </c>
      <c r="J299" s="9" t="s">
        <v>103</v>
      </c>
      <c r="K299" s="13" t="s">
        <v>103</v>
      </c>
    </row>
    <row r="300" spans="1:11" x14ac:dyDescent="0.2">
      <c r="A300" s="12"/>
      <c r="C300" s="4">
        <v>91706</v>
      </c>
      <c r="D300" s="4">
        <v>18</v>
      </c>
      <c r="E300" s="4">
        <v>103477621</v>
      </c>
      <c r="F300" s="4" t="s">
        <v>914</v>
      </c>
      <c r="G300" s="4" t="s">
        <v>103</v>
      </c>
      <c r="H300" s="4" t="s">
        <v>113</v>
      </c>
      <c r="I300" s="4" t="s">
        <v>195</v>
      </c>
      <c r="J300" s="4" t="s">
        <v>195</v>
      </c>
      <c r="K300" s="14" t="s">
        <v>103</v>
      </c>
    </row>
    <row r="301" spans="1:11" x14ac:dyDescent="0.2">
      <c r="A301" s="12"/>
      <c r="C301" s="4">
        <v>92336</v>
      </c>
      <c r="D301" s="4">
        <v>18</v>
      </c>
      <c r="E301" s="4">
        <v>103731301</v>
      </c>
      <c r="F301" s="4" t="s">
        <v>919</v>
      </c>
      <c r="G301" s="4" t="s">
        <v>113</v>
      </c>
      <c r="H301" s="4" t="s">
        <v>113</v>
      </c>
      <c r="I301" s="4" t="s">
        <v>113</v>
      </c>
      <c r="J301" s="4" t="s">
        <v>113</v>
      </c>
      <c r="K301" s="14" t="s">
        <v>113</v>
      </c>
    </row>
    <row r="302" spans="1:11" x14ac:dyDescent="0.2">
      <c r="A302" s="11"/>
      <c r="B302" s="9"/>
      <c r="C302" s="9">
        <v>91706</v>
      </c>
      <c r="D302" s="9">
        <v>18</v>
      </c>
      <c r="E302" s="9">
        <v>10118280</v>
      </c>
      <c r="F302" s="9" t="s">
        <v>914</v>
      </c>
      <c r="G302" s="9" t="s">
        <v>103</v>
      </c>
      <c r="H302" s="9" t="s">
        <v>933</v>
      </c>
      <c r="I302" s="9" t="s">
        <v>933</v>
      </c>
      <c r="J302" s="9" t="s">
        <v>933</v>
      </c>
      <c r="K302" s="13" t="s">
        <v>933</v>
      </c>
    </row>
    <row r="303" spans="1:11" x14ac:dyDescent="0.2">
      <c r="A303" s="11"/>
      <c r="B303" s="9"/>
      <c r="C303" s="9">
        <v>92336</v>
      </c>
      <c r="D303" s="9">
        <v>18</v>
      </c>
      <c r="E303" s="9">
        <v>10243796</v>
      </c>
      <c r="F303" s="9" t="s">
        <v>914</v>
      </c>
      <c r="G303" s="9" t="s">
        <v>108</v>
      </c>
      <c r="H303" s="9" t="s">
        <v>1016</v>
      </c>
      <c r="I303" s="9" t="s">
        <v>1016</v>
      </c>
      <c r="J303" s="9" t="s">
        <v>108</v>
      </c>
      <c r="K303" s="13" t="s">
        <v>1016</v>
      </c>
    </row>
    <row r="304" spans="1:11" x14ac:dyDescent="0.2">
      <c r="A304" s="12"/>
      <c r="C304" s="4">
        <v>91752</v>
      </c>
      <c r="D304" s="4">
        <v>18</v>
      </c>
      <c r="E304" s="4">
        <v>103547202</v>
      </c>
      <c r="F304" s="4" t="s">
        <v>914</v>
      </c>
      <c r="G304" s="4" t="s">
        <v>191</v>
      </c>
      <c r="H304" s="4" t="s">
        <v>191</v>
      </c>
      <c r="I304" s="4" t="s">
        <v>113</v>
      </c>
      <c r="J304" s="4" t="s">
        <v>113</v>
      </c>
      <c r="K304" s="14" t="s">
        <v>113</v>
      </c>
    </row>
    <row r="305" spans="1:11" x14ac:dyDescent="0.2">
      <c r="A305" s="11"/>
      <c r="B305" s="9"/>
      <c r="C305" s="9">
        <v>92335</v>
      </c>
      <c r="D305" s="9">
        <v>18</v>
      </c>
      <c r="E305" s="9" t="s">
        <v>1220</v>
      </c>
      <c r="F305" s="9" t="s">
        <v>914</v>
      </c>
      <c r="G305" s="9" t="s">
        <v>113</v>
      </c>
      <c r="H305" s="9" t="s">
        <v>113</v>
      </c>
      <c r="I305" s="9" t="s">
        <v>113</v>
      </c>
      <c r="J305" s="9" t="s">
        <v>113</v>
      </c>
      <c r="K305" s="13" t="s">
        <v>113</v>
      </c>
    </row>
    <row r="306" spans="1:11" x14ac:dyDescent="0.2">
      <c r="A306" s="11"/>
      <c r="B306" s="9"/>
      <c r="C306" s="9">
        <v>92337</v>
      </c>
      <c r="D306" s="9">
        <v>19</v>
      </c>
      <c r="E306" s="9">
        <v>10092419</v>
      </c>
      <c r="F306" s="9" t="s">
        <v>914</v>
      </c>
      <c r="G306" s="9" t="s">
        <v>191</v>
      </c>
      <c r="H306" s="9" t="s">
        <v>113</v>
      </c>
      <c r="I306" s="9" t="s">
        <v>113</v>
      </c>
      <c r="J306" s="9" t="s">
        <v>113</v>
      </c>
      <c r="K306" s="13" t="s">
        <v>113</v>
      </c>
    </row>
    <row r="307" spans="1:11" x14ac:dyDescent="0.2">
      <c r="A307" s="12"/>
      <c r="C307" s="4">
        <v>91711</v>
      </c>
      <c r="D307" s="4">
        <v>20</v>
      </c>
      <c r="E307" s="4">
        <v>10370479</v>
      </c>
      <c r="F307" s="4" t="s">
        <v>914</v>
      </c>
      <c r="G307" s="4" t="s">
        <v>98</v>
      </c>
      <c r="H307" s="4" t="s">
        <v>98</v>
      </c>
      <c r="I307" s="4" t="s">
        <v>98</v>
      </c>
      <c r="J307" s="4" t="s">
        <v>98</v>
      </c>
      <c r="K307" s="14" t="s">
        <v>98</v>
      </c>
    </row>
    <row r="308" spans="1:11" x14ac:dyDescent="0.2">
      <c r="A308" s="11"/>
      <c r="B308" s="9"/>
      <c r="C308" s="9">
        <v>92821</v>
      </c>
      <c r="D308" s="9">
        <v>20</v>
      </c>
      <c r="E308" s="9" t="s">
        <v>1223</v>
      </c>
      <c r="F308" s="9" t="s">
        <v>914</v>
      </c>
      <c r="G308" s="9" t="s">
        <v>191</v>
      </c>
      <c r="H308" s="9" t="s">
        <v>113</v>
      </c>
      <c r="I308" s="9" t="s">
        <v>113</v>
      </c>
      <c r="J308" s="9" t="s">
        <v>113</v>
      </c>
      <c r="K308" s="13" t="s">
        <v>103</v>
      </c>
    </row>
    <row r="309" spans="1:11" x14ac:dyDescent="0.2">
      <c r="A309" s="11"/>
      <c r="B309" s="9"/>
      <c r="C309" s="9">
        <v>92335</v>
      </c>
      <c r="D309" s="9">
        <v>20</v>
      </c>
      <c r="E309" s="9" t="s">
        <v>1225</v>
      </c>
      <c r="F309" s="9" t="s">
        <v>914</v>
      </c>
      <c r="G309" s="9" t="s">
        <v>113</v>
      </c>
      <c r="H309" s="9" t="s">
        <v>113</v>
      </c>
      <c r="I309" s="9" t="s">
        <v>113</v>
      </c>
      <c r="J309" s="9" t="s">
        <v>113</v>
      </c>
      <c r="K309" s="13" t="s">
        <v>113</v>
      </c>
    </row>
    <row r="310" spans="1:11" x14ac:dyDescent="0.2">
      <c r="A310" s="11"/>
      <c r="B310" s="9"/>
      <c r="C310" s="9">
        <v>92335</v>
      </c>
      <c r="D310" s="9">
        <v>20</v>
      </c>
      <c r="E310" s="9">
        <v>10042928</v>
      </c>
      <c r="F310" s="9" t="s">
        <v>914</v>
      </c>
      <c r="G310" s="9" t="s">
        <v>85</v>
      </c>
      <c r="H310" s="9" t="s">
        <v>85</v>
      </c>
      <c r="I310" s="9" t="s">
        <v>85</v>
      </c>
      <c r="J310" s="9" t="s">
        <v>85</v>
      </c>
      <c r="K310" s="13" t="s">
        <v>85</v>
      </c>
    </row>
    <row r="311" spans="1:11" x14ac:dyDescent="0.2">
      <c r="A311" s="12"/>
      <c r="C311" s="4">
        <v>92377</v>
      </c>
      <c r="D311" s="4">
        <v>20</v>
      </c>
      <c r="E311" s="4">
        <v>10234495</v>
      </c>
      <c r="F311" s="4" t="s">
        <v>914</v>
      </c>
      <c r="G311" s="4" t="s">
        <v>103</v>
      </c>
      <c r="H311" s="4" t="s">
        <v>103</v>
      </c>
      <c r="I311" s="4" t="s">
        <v>103</v>
      </c>
      <c r="J311" s="4" t="s">
        <v>103</v>
      </c>
      <c r="K311" s="14" t="s">
        <v>103</v>
      </c>
    </row>
    <row r="312" spans="1:11" x14ac:dyDescent="0.2">
      <c r="A312" s="12"/>
      <c r="C312" s="4">
        <v>92336</v>
      </c>
      <c r="D312" s="4">
        <v>20</v>
      </c>
      <c r="E312" s="4">
        <v>10372591</v>
      </c>
      <c r="F312" s="4" t="s">
        <v>914</v>
      </c>
      <c r="G312" s="4" t="s">
        <v>103</v>
      </c>
      <c r="H312" s="4" t="s">
        <v>113</v>
      </c>
      <c r="I312" s="4" t="s">
        <v>113</v>
      </c>
      <c r="J312" s="4" t="s">
        <v>113</v>
      </c>
      <c r="K312" s="14" t="s">
        <v>103</v>
      </c>
    </row>
    <row r="313" spans="1:11" x14ac:dyDescent="0.2">
      <c r="A313" s="12"/>
      <c r="C313" s="4">
        <v>92337</v>
      </c>
      <c r="D313" s="4">
        <v>20</v>
      </c>
      <c r="E313" s="4">
        <v>10359053</v>
      </c>
      <c r="F313" s="4" t="s">
        <v>914</v>
      </c>
      <c r="G313" s="4" t="s">
        <v>113</v>
      </c>
      <c r="H313" s="4" t="s">
        <v>113</v>
      </c>
      <c r="I313" s="4" t="s">
        <v>113</v>
      </c>
      <c r="J313" s="4" t="s">
        <v>113</v>
      </c>
      <c r="K313" s="14" t="s">
        <v>113</v>
      </c>
    </row>
    <row r="314" spans="1:11" x14ac:dyDescent="0.2">
      <c r="A314" s="11"/>
      <c r="B314" s="9"/>
      <c r="C314" s="9">
        <v>92333</v>
      </c>
      <c r="D314" s="9">
        <v>20</v>
      </c>
      <c r="E314" s="9">
        <v>10042922</v>
      </c>
      <c r="F314" s="9" t="s">
        <v>914</v>
      </c>
      <c r="G314" s="9" t="s">
        <v>933</v>
      </c>
      <c r="H314" s="9" t="s">
        <v>933</v>
      </c>
      <c r="I314" s="9" t="s">
        <v>933</v>
      </c>
      <c r="J314" s="9" t="s">
        <v>933</v>
      </c>
      <c r="K314" s="13" t="s">
        <v>933</v>
      </c>
    </row>
    <row r="315" spans="1:11" x14ac:dyDescent="0.2">
      <c r="A315" s="12"/>
      <c r="C315" s="4">
        <v>91767</v>
      </c>
      <c r="D315" s="4">
        <v>20</v>
      </c>
      <c r="E315" s="4">
        <v>10090700</v>
      </c>
      <c r="F315" s="4" t="s">
        <v>914</v>
      </c>
      <c r="G315" s="4" t="s">
        <v>113</v>
      </c>
      <c r="H315" s="4" t="s">
        <v>113</v>
      </c>
      <c r="I315" s="4" t="s">
        <v>113</v>
      </c>
      <c r="J315" s="4" t="s">
        <v>113</v>
      </c>
      <c r="K315" s="14" t="s">
        <v>113</v>
      </c>
    </row>
    <row r="316" spans="1:11" x14ac:dyDescent="0.2">
      <c r="A316" s="12"/>
      <c r="C316" s="4">
        <v>92377</v>
      </c>
      <c r="D316" s="4">
        <v>21</v>
      </c>
      <c r="E316" s="4">
        <v>10357060</v>
      </c>
      <c r="F316" s="4" t="s">
        <v>914</v>
      </c>
      <c r="G316" s="4" t="s">
        <v>113</v>
      </c>
      <c r="H316" s="4" t="s">
        <v>113</v>
      </c>
      <c r="I316" s="4" t="s">
        <v>113</v>
      </c>
      <c r="J316" s="4" t="s">
        <v>113</v>
      </c>
      <c r="K316" s="14" t="s">
        <v>113</v>
      </c>
    </row>
    <row r="317" spans="1:11" x14ac:dyDescent="0.2">
      <c r="A317" s="12"/>
      <c r="C317" s="4">
        <v>92376</v>
      </c>
      <c r="D317" s="4">
        <v>21</v>
      </c>
      <c r="E317" s="4">
        <v>10292177</v>
      </c>
      <c r="F317" s="4" t="s">
        <v>914</v>
      </c>
      <c r="G317" s="4" t="s">
        <v>113</v>
      </c>
      <c r="H317" s="4" t="s">
        <v>113</v>
      </c>
      <c r="I317" s="4" t="s">
        <v>113</v>
      </c>
      <c r="J317" s="4" t="s">
        <v>113</v>
      </c>
      <c r="K317" s="14" t="s">
        <v>113</v>
      </c>
    </row>
    <row r="318" spans="1:11" x14ac:dyDescent="0.2">
      <c r="A318" s="11"/>
      <c r="B318" s="9"/>
      <c r="C318" s="9">
        <v>92880</v>
      </c>
      <c r="D318" s="9">
        <v>21.3</v>
      </c>
      <c r="E318" s="9">
        <v>103722532</v>
      </c>
      <c r="F318" s="9" t="s">
        <v>914</v>
      </c>
      <c r="G318" s="9" t="s">
        <v>113</v>
      </c>
      <c r="H318" s="9" t="s">
        <v>113</v>
      </c>
      <c r="I318" s="9" t="s">
        <v>113</v>
      </c>
      <c r="J318" s="9" t="s">
        <v>103</v>
      </c>
      <c r="K318" s="13" t="s">
        <v>113</v>
      </c>
    </row>
    <row r="319" spans="1:11" x14ac:dyDescent="0.2">
      <c r="A319" s="12"/>
      <c r="C319" s="4">
        <v>92377</v>
      </c>
      <c r="D319" s="4">
        <v>21.5</v>
      </c>
      <c r="E319" s="4">
        <v>103688112</v>
      </c>
      <c r="F319" s="4" t="s">
        <v>914</v>
      </c>
      <c r="G319" s="4" t="s">
        <v>113</v>
      </c>
      <c r="H319" s="4" t="s">
        <v>113</v>
      </c>
      <c r="I319" s="4" t="s">
        <v>113</v>
      </c>
      <c r="J319" s="4" t="s">
        <v>113</v>
      </c>
      <c r="K319" s="14" t="s">
        <v>113</v>
      </c>
    </row>
    <row r="320" spans="1:11" x14ac:dyDescent="0.2">
      <c r="A320" s="12"/>
      <c r="C320" s="4">
        <v>91007</v>
      </c>
      <c r="D320" s="4">
        <v>22</v>
      </c>
      <c r="E320" s="4" t="s">
        <v>1236</v>
      </c>
      <c r="F320" s="4" t="s">
        <v>914</v>
      </c>
      <c r="G320" s="4" t="s">
        <v>113</v>
      </c>
      <c r="H320" s="4" t="s">
        <v>113</v>
      </c>
      <c r="I320" s="4" t="s">
        <v>113</v>
      </c>
      <c r="J320" s="4" t="s">
        <v>113</v>
      </c>
      <c r="K320" s="14" t="s">
        <v>113</v>
      </c>
    </row>
    <row r="321" spans="1:11" x14ac:dyDescent="0.2">
      <c r="A321" s="11"/>
      <c r="B321" s="9"/>
      <c r="C321" s="9">
        <v>92335</v>
      </c>
      <c r="D321" s="9">
        <v>22</v>
      </c>
      <c r="E321" s="9">
        <v>10043613</v>
      </c>
      <c r="F321" s="9" t="s">
        <v>914</v>
      </c>
      <c r="G321" s="9" t="s">
        <v>113</v>
      </c>
      <c r="H321" s="9" t="s">
        <v>113</v>
      </c>
      <c r="I321" s="9" t="s">
        <v>113</v>
      </c>
      <c r="J321" s="9" t="s">
        <v>113</v>
      </c>
      <c r="K321" s="13" t="s">
        <v>113</v>
      </c>
    </row>
    <row r="322" spans="1:11" x14ac:dyDescent="0.2">
      <c r="A322" s="11"/>
      <c r="B322" s="9"/>
      <c r="C322" s="9">
        <v>90631</v>
      </c>
      <c r="D322" s="9">
        <v>22</v>
      </c>
      <c r="E322" s="9">
        <v>10371573</v>
      </c>
      <c r="F322" s="9" t="s">
        <v>919</v>
      </c>
      <c r="G322" s="9" t="s">
        <v>113</v>
      </c>
      <c r="H322" s="9" t="s">
        <v>113</v>
      </c>
      <c r="I322" s="9" t="s">
        <v>113</v>
      </c>
      <c r="J322" s="9" t="s">
        <v>202</v>
      </c>
      <c r="K322" s="13" t="s">
        <v>113</v>
      </c>
    </row>
    <row r="323" spans="1:11" x14ac:dyDescent="0.2">
      <c r="A323" s="11"/>
      <c r="B323" s="9"/>
      <c r="C323" s="9">
        <v>91024</v>
      </c>
      <c r="D323" s="9">
        <v>22.8</v>
      </c>
      <c r="E323" s="9">
        <v>103087423</v>
      </c>
      <c r="F323" s="9" t="s">
        <v>914</v>
      </c>
      <c r="G323" s="9" t="s">
        <v>113</v>
      </c>
      <c r="H323" s="9" t="s">
        <v>113</v>
      </c>
      <c r="I323" s="9" t="s">
        <v>113</v>
      </c>
      <c r="J323" s="9" t="s">
        <v>113</v>
      </c>
      <c r="K323" s="13" t="s">
        <v>113</v>
      </c>
    </row>
    <row r="324" spans="1:11" x14ac:dyDescent="0.2">
      <c r="A324" s="11"/>
      <c r="B324" s="9"/>
      <c r="C324" s="9">
        <v>92880</v>
      </c>
      <c r="D324" s="9">
        <v>23</v>
      </c>
      <c r="E324" s="9">
        <v>100750</v>
      </c>
      <c r="F324" s="9" t="s">
        <v>914</v>
      </c>
      <c r="G324" s="9" t="s">
        <v>103</v>
      </c>
      <c r="H324" s="9" t="s">
        <v>103</v>
      </c>
      <c r="I324" s="9" t="s">
        <v>103</v>
      </c>
      <c r="J324" s="9" t="s">
        <v>103</v>
      </c>
      <c r="K324" s="13" t="s">
        <v>103</v>
      </c>
    </row>
    <row r="325" spans="1:11" x14ac:dyDescent="0.2">
      <c r="A325" s="12"/>
      <c r="C325" s="4">
        <v>92376</v>
      </c>
      <c r="D325" s="4">
        <v>23</v>
      </c>
      <c r="E325" s="4">
        <v>10368812</v>
      </c>
      <c r="F325" s="4" t="s">
        <v>914</v>
      </c>
      <c r="G325" s="4" t="s">
        <v>933</v>
      </c>
      <c r="H325" s="4" t="s">
        <v>933</v>
      </c>
      <c r="I325" s="4" t="s">
        <v>933</v>
      </c>
      <c r="J325" s="4" t="s">
        <v>933</v>
      </c>
      <c r="K325" s="14" t="s">
        <v>933</v>
      </c>
    </row>
    <row r="326" spans="1:11" x14ac:dyDescent="0.2">
      <c r="A326" s="11"/>
      <c r="B326" s="9"/>
      <c r="C326" s="9">
        <v>92504</v>
      </c>
      <c r="D326" s="9">
        <v>23</v>
      </c>
      <c r="E326" s="9">
        <v>103587452</v>
      </c>
      <c r="F326" s="9" t="s">
        <v>914</v>
      </c>
      <c r="G326" s="9" t="s">
        <v>113</v>
      </c>
      <c r="H326" s="9" t="s">
        <v>113</v>
      </c>
      <c r="I326" s="9" t="s">
        <v>113</v>
      </c>
      <c r="J326" s="9" t="s">
        <v>113</v>
      </c>
      <c r="K326" s="13" t="s">
        <v>202</v>
      </c>
    </row>
    <row r="327" spans="1:11" x14ac:dyDescent="0.2">
      <c r="A327" s="11"/>
      <c r="B327" s="9"/>
      <c r="C327" s="9">
        <v>90603</v>
      </c>
      <c r="D327" s="9">
        <v>24</v>
      </c>
      <c r="E327" s="9">
        <v>103492297</v>
      </c>
      <c r="F327" s="9" t="s">
        <v>914</v>
      </c>
      <c r="G327" s="9" t="s">
        <v>103</v>
      </c>
      <c r="H327" s="9" t="s">
        <v>113</v>
      </c>
      <c r="I327" s="9" t="s">
        <v>103</v>
      </c>
      <c r="J327" s="9" t="s">
        <v>113</v>
      </c>
      <c r="K327" s="13" t="s">
        <v>113</v>
      </c>
    </row>
    <row r="328" spans="1:11" x14ac:dyDescent="0.2">
      <c r="A328" s="12"/>
      <c r="C328" s="4">
        <v>92376</v>
      </c>
      <c r="D328" s="4">
        <v>24</v>
      </c>
      <c r="E328" s="4">
        <v>101772261</v>
      </c>
      <c r="F328" s="4" t="s">
        <v>914</v>
      </c>
      <c r="G328" s="4" t="s">
        <v>195</v>
      </c>
      <c r="H328" s="4" t="s">
        <v>1016</v>
      </c>
      <c r="I328" s="4" t="s">
        <v>1016</v>
      </c>
      <c r="J328" s="4" t="s">
        <v>191</v>
      </c>
      <c r="K328" s="14" t="s">
        <v>191</v>
      </c>
    </row>
    <row r="329" spans="1:11" x14ac:dyDescent="0.2">
      <c r="A329" s="12"/>
      <c r="C329" s="4">
        <v>92376</v>
      </c>
      <c r="D329" s="4">
        <v>24</v>
      </c>
      <c r="E329" s="4">
        <v>10344423</v>
      </c>
      <c r="F329" s="4" t="s">
        <v>914</v>
      </c>
      <c r="G329" s="4" t="s">
        <v>933</v>
      </c>
      <c r="H329" s="4" t="s">
        <v>933</v>
      </c>
      <c r="I329" s="4" t="s">
        <v>933</v>
      </c>
      <c r="J329" s="4" t="s">
        <v>933</v>
      </c>
      <c r="K329" s="14" t="s">
        <v>933</v>
      </c>
    </row>
    <row r="330" spans="1:11" x14ac:dyDescent="0.2">
      <c r="A330" s="11"/>
      <c r="B330" s="9"/>
      <c r="C330" s="9">
        <v>92886</v>
      </c>
      <c r="D330" s="9">
        <v>24</v>
      </c>
      <c r="E330" s="9">
        <v>101008</v>
      </c>
      <c r="F330" s="9" t="s">
        <v>914</v>
      </c>
      <c r="G330" s="9" t="s">
        <v>113</v>
      </c>
      <c r="H330" s="9" t="s">
        <v>113</v>
      </c>
      <c r="I330" s="9" t="s">
        <v>113</v>
      </c>
      <c r="J330" s="9" t="s">
        <v>103</v>
      </c>
      <c r="K330" s="13" t="s">
        <v>103</v>
      </c>
    </row>
    <row r="331" spans="1:11" x14ac:dyDescent="0.2">
      <c r="A331" s="11"/>
      <c r="B331" s="9"/>
      <c r="C331" s="9">
        <v>92337</v>
      </c>
      <c r="D331" s="9">
        <v>24</v>
      </c>
      <c r="E331" s="9">
        <v>10349685</v>
      </c>
      <c r="F331" s="9" t="s">
        <v>914</v>
      </c>
      <c r="G331" s="9" t="s">
        <v>74</v>
      </c>
      <c r="H331" s="9" t="s">
        <v>103</v>
      </c>
      <c r="I331" s="9" t="s">
        <v>74</v>
      </c>
      <c r="J331" s="9" t="s">
        <v>103</v>
      </c>
      <c r="K331" s="13" t="s">
        <v>74</v>
      </c>
    </row>
    <row r="332" spans="1:11" x14ac:dyDescent="0.2">
      <c r="A332" s="11"/>
      <c r="B332" s="9"/>
      <c r="C332" s="9">
        <v>92376</v>
      </c>
      <c r="D332" s="9">
        <v>24.3</v>
      </c>
      <c r="E332" s="9">
        <v>101330641</v>
      </c>
      <c r="F332" s="9" t="s">
        <v>914</v>
      </c>
      <c r="G332" s="9" t="s">
        <v>85</v>
      </c>
      <c r="H332" s="9" t="s">
        <v>85</v>
      </c>
      <c r="I332" s="9" t="s">
        <v>85</v>
      </c>
      <c r="J332" s="9" t="s">
        <v>85</v>
      </c>
      <c r="K332" s="13" t="s">
        <v>85</v>
      </c>
    </row>
    <row r="333" spans="1:11" x14ac:dyDescent="0.2">
      <c r="A333" s="11"/>
      <c r="B333" s="9"/>
      <c r="C333" s="9">
        <v>91780</v>
      </c>
      <c r="D333" s="9">
        <v>25</v>
      </c>
      <c r="E333" s="9" t="s">
        <v>1247</v>
      </c>
      <c r="F333" s="9" t="s">
        <v>914</v>
      </c>
      <c r="G333" s="9" t="s">
        <v>113</v>
      </c>
      <c r="H333" s="9" t="s">
        <v>113</v>
      </c>
      <c r="I333" s="9" t="s">
        <v>113</v>
      </c>
      <c r="J333" s="9" t="s">
        <v>199</v>
      </c>
      <c r="K333" s="13" t="s">
        <v>199</v>
      </c>
    </row>
    <row r="334" spans="1:11" x14ac:dyDescent="0.2">
      <c r="A334" s="11"/>
      <c r="B334" s="9"/>
      <c r="C334" s="9">
        <v>92376</v>
      </c>
      <c r="D334" s="9">
        <v>25</v>
      </c>
      <c r="E334" s="9">
        <v>10364310</v>
      </c>
      <c r="F334" s="9" t="s">
        <v>914</v>
      </c>
      <c r="G334" s="9" t="s">
        <v>113</v>
      </c>
      <c r="H334" s="9" t="s">
        <v>113</v>
      </c>
      <c r="I334" s="9" t="s">
        <v>113</v>
      </c>
      <c r="J334" s="9" t="s">
        <v>113</v>
      </c>
      <c r="K334" s="13" t="s">
        <v>113</v>
      </c>
    </row>
    <row r="335" spans="1:11" x14ac:dyDescent="0.2">
      <c r="A335" s="12"/>
      <c r="C335" s="4">
        <v>92376</v>
      </c>
      <c r="D335" s="4">
        <v>25</v>
      </c>
      <c r="E335" s="4" t="s">
        <v>1250</v>
      </c>
      <c r="F335" s="4" t="s">
        <v>914</v>
      </c>
      <c r="G335" s="4" t="s">
        <v>103</v>
      </c>
      <c r="H335" s="4" t="s">
        <v>103</v>
      </c>
      <c r="I335" s="4" t="s">
        <v>103</v>
      </c>
      <c r="J335" s="4" t="s">
        <v>103</v>
      </c>
      <c r="K335" s="14" t="s">
        <v>103</v>
      </c>
    </row>
    <row r="336" spans="1:11" x14ac:dyDescent="0.2">
      <c r="A336" s="12"/>
      <c r="C336" s="4">
        <v>92316</v>
      </c>
      <c r="D336" s="4">
        <v>25</v>
      </c>
      <c r="E336" s="4">
        <v>10151953</v>
      </c>
      <c r="F336" s="4" t="s">
        <v>914</v>
      </c>
      <c r="G336" s="4" t="s">
        <v>113</v>
      </c>
      <c r="H336" s="4" t="s">
        <v>113</v>
      </c>
      <c r="I336" s="4" t="s">
        <v>113</v>
      </c>
      <c r="J336" s="4" t="s">
        <v>113</v>
      </c>
      <c r="K336" s="14" t="s">
        <v>113</v>
      </c>
    </row>
    <row r="337" spans="1:11" x14ac:dyDescent="0.2">
      <c r="A337" s="11"/>
      <c r="B337" s="9"/>
      <c r="C337" s="9">
        <v>90605</v>
      </c>
      <c r="D337" s="9">
        <v>25</v>
      </c>
      <c r="E337" s="9">
        <v>10372767</v>
      </c>
      <c r="F337" s="9" t="s">
        <v>914</v>
      </c>
      <c r="G337" s="9" t="s">
        <v>113</v>
      </c>
      <c r="H337" s="9" t="s">
        <v>113</v>
      </c>
      <c r="I337" s="9" t="s">
        <v>113</v>
      </c>
      <c r="J337" s="9" t="s">
        <v>113</v>
      </c>
      <c r="K337" s="13" t="s">
        <v>113</v>
      </c>
    </row>
    <row r="338" spans="1:11" x14ac:dyDescent="0.2">
      <c r="A338" s="12"/>
      <c r="C338" s="4">
        <v>92880</v>
      </c>
      <c r="D338" s="4">
        <v>25</v>
      </c>
      <c r="E338" s="4">
        <v>10368799</v>
      </c>
      <c r="F338" s="4" t="s">
        <v>914</v>
      </c>
      <c r="G338" s="4" t="s">
        <v>113</v>
      </c>
      <c r="H338" s="4" t="s">
        <v>113</v>
      </c>
      <c r="I338" s="4" t="s">
        <v>113</v>
      </c>
      <c r="J338" s="4" t="s">
        <v>113</v>
      </c>
      <c r="K338" s="14" t="s">
        <v>113</v>
      </c>
    </row>
    <row r="339" spans="1:11" x14ac:dyDescent="0.2">
      <c r="A339" s="11"/>
      <c r="B339" s="9"/>
      <c r="C339" s="9">
        <v>92509</v>
      </c>
      <c r="D339" s="9">
        <v>25</v>
      </c>
      <c r="E339" s="9" t="s">
        <v>1254</v>
      </c>
      <c r="F339" s="9" t="s">
        <v>914</v>
      </c>
      <c r="G339" s="9" t="s">
        <v>113</v>
      </c>
      <c r="H339" s="9" t="s">
        <v>113</v>
      </c>
      <c r="I339" s="9" t="s">
        <v>113</v>
      </c>
      <c r="J339" s="9" t="s">
        <v>113</v>
      </c>
      <c r="K339" s="13" t="s">
        <v>113</v>
      </c>
    </row>
    <row r="340" spans="1:11" x14ac:dyDescent="0.2">
      <c r="A340" s="11"/>
      <c r="B340" s="9"/>
      <c r="C340" s="9">
        <v>91104</v>
      </c>
      <c r="D340" s="9">
        <v>25</v>
      </c>
      <c r="E340" s="9">
        <v>103707841</v>
      </c>
      <c r="F340" s="9" t="s">
        <v>914</v>
      </c>
      <c r="G340" s="9" t="s">
        <v>103</v>
      </c>
      <c r="H340" s="9" t="s">
        <v>113</v>
      </c>
      <c r="I340" s="9" t="s">
        <v>113</v>
      </c>
      <c r="J340" s="9" t="s">
        <v>113</v>
      </c>
      <c r="K340" s="13" t="s">
        <v>103</v>
      </c>
    </row>
    <row r="341" spans="1:11" x14ac:dyDescent="0.2">
      <c r="A341" s="12"/>
      <c r="C341" s="4">
        <v>92509</v>
      </c>
      <c r="D341" s="4">
        <v>25</v>
      </c>
      <c r="E341" s="4">
        <v>10370654</v>
      </c>
      <c r="F341" s="4" t="s">
        <v>914</v>
      </c>
      <c r="G341" s="4" t="s">
        <v>113</v>
      </c>
      <c r="H341" s="4" t="s">
        <v>113</v>
      </c>
      <c r="I341" s="4" t="s">
        <v>113</v>
      </c>
      <c r="J341" s="4" t="s">
        <v>113</v>
      </c>
      <c r="K341" s="14" t="s">
        <v>113</v>
      </c>
    </row>
    <row r="342" spans="1:11" x14ac:dyDescent="0.2">
      <c r="A342" s="11"/>
      <c r="B342" s="9"/>
      <c r="C342" s="9">
        <v>92316</v>
      </c>
      <c r="D342" s="9">
        <v>25</v>
      </c>
      <c r="E342" s="9">
        <v>10247799</v>
      </c>
      <c r="F342" s="9" t="s">
        <v>914</v>
      </c>
      <c r="G342" s="9" t="s">
        <v>933</v>
      </c>
      <c r="H342" s="9" t="s">
        <v>933</v>
      </c>
      <c r="I342" s="9" t="s">
        <v>933</v>
      </c>
      <c r="J342" s="9" t="s">
        <v>933</v>
      </c>
      <c r="K342" s="13" t="s">
        <v>933</v>
      </c>
    </row>
    <row r="343" spans="1:11" x14ac:dyDescent="0.2">
      <c r="A343" s="11"/>
      <c r="B343" s="9"/>
      <c r="C343" s="9">
        <v>92831</v>
      </c>
      <c r="D343" s="9">
        <v>25</v>
      </c>
      <c r="E343" s="9">
        <v>113637</v>
      </c>
      <c r="F343" s="9" t="s">
        <v>919</v>
      </c>
      <c r="G343" s="9" t="s">
        <v>103</v>
      </c>
      <c r="H343" s="9" t="s">
        <v>103</v>
      </c>
      <c r="I343" s="9" t="s">
        <v>103</v>
      </c>
      <c r="J343" s="9" t="s">
        <v>103</v>
      </c>
      <c r="K343" s="13" t="s">
        <v>103</v>
      </c>
    </row>
    <row r="344" spans="1:11" x14ac:dyDescent="0.2">
      <c r="A344" s="12"/>
      <c r="C344" s="4">
        <v>91104</v>
      </c>
      <c r="D344" s="4">
        <v>25</v>
      </c>
      <c r="E344" s="4">
        <v>102487991</v>
      </c>
      <c r="F344" s="4" t="s">
        <v>914</v>
      </c>
      <c r="G344" s="4" t="s">
        <v>113</v>
      </c>
      <c r="H344" s="4" t="s">
        <v>113</v>
      </c>
      <c r="I344" s="4" t="s">
        <v>113</v>
      </c>
      <c r="J344" s="4" t="s">
        <v>113</v>
      </c>
      <c r="K344" s="14" t="s">
        <v>113</v>
      </c>
    </row>
    <row r="345" spans="1:11" x14ac:dyDescent="0.2">
      <c r="A345" s="12"/>
      <c r="C345" s="4">
        <v>91711</v>
      </c>
      <c r="D345" s="4">
        <v>26</v>
      </c>
      <c r="E345" s="4">
        <v>10163419</v>
      </c>
      <c r="F345" s="4" t="s">
        <v>914</v>
      </c>
      <c r="G345" s="4" t="s">
        <v>113</v>
      </c>
      <c r="H345" s="4" t="s">
        <v>113</v>
      </c>
      <c r="I345" s="4" t="s">
        <v>113</v>
      </c>
      <c r="J345" s="4" t="s">
        <v>113</v>
      </c>
      <c r="K345" s="14" t="s">
        <v>113</v>
      </c>
    </row>
    <row r="346" spans="1:11" x14ac:dyDescent="0.2">
      <c r="A346" s="12"/>
      <c r="C346" s="4">
        <v>92501</v>
      </c>
      <c r="D346" s="4">
        <v>26</v>
      </c>
      <c r="E346" s="4">
        <v>10187804</v>
      </c>
      <c r="F346" s="4" t="s">
        <v>914</v>
      </c>
      <c r="G346" s="4" t="s">
        <v>113</v>
      </c>
      <c r="H346" s="4" t="s">
        <v>113</v>
      </c>
      <c r="I346" s="4" t="s">
        <v>85</v>
      </c>
      <c r="J346" s="4" t="s">
        <v>85</v>
      </c>
      <c r="K346" s="14" t="s">
        <v>85</v>
      </c>
    </row>
    <row r="347" spans="1:11" x14ac:dyDescent="0.2">
      <c r="A347" s="11"/>
      <c r="B347" s="9"/>
      <c r="C347" s="9">
        <v>92509</v>
      </c>
      <c r="D347" s="9">
        <v>26</v>
      </c>
      <c r="E347" s="9" t="s">
        <v>1263</v>
      </c>
      <c r="F347" s="9" t="s">
        <v>914</v>
      </c>
      <c r="G347" s="9" t="s">
        <v>113</v>
      </c>
      <c r="H347" s="9" t="s">
        <v>113</v>
      </c>
      <c r="I347" s="9" t="s">
        <v>113</v>
      </c>
      <c r="J347" s="9" t="s">
        <v>113</v>
      </c>
      <c r="K347" s="13" t="s">
        <v>113</v>
      </c>
    </row>
    <row r="348" spans="1:11" x14ac:dyDescent="0.2">
      <c r="A348" s="11"/>
      <c r="B348" s="9"/>
      <c r="C348" s="9">
        <v>91103</v>
      </c>
      <c r="D348" s="9">
        <v>26</v>
      </c>
      <c r="E348" s="9">
        <v>103713841</v>
      </c>
      <c r="F348" s="9" t="s">
        <v>914</v>
      </c>
      <c r="G348" s="9" t="s">
        <v>103</v>
      </c>
      <c r="H348" s="9" t="s">
        <v>74</v>
      </c>
      <c r="I348" s="9" t="s">
        <v>74</v>
      </c>
      <c r="J348" s="9" t="s">
        <v>74</v>
      </c>
      <c r="K348" s="13" t="s">
        <v>103</v>
      </c>
    </row>
    <row r="349" spans="1:11" x14ac:dyDescent="0.2">
      <c r="A349" s="12"/>
      <c r="C349" s="4">
        <v>92405</v>
      </c>
      <c r="D349" s="4">
        <v>26</v>
      </c>
      <c r="E349" s="4">
        <v>100043616</v>
      </c>
      <c r="F349" s="4" t="s">
        <v>914</v>
      </c>
      <c r="G349" s="4" t="s">
        <v>113</v>
      </c>
      <c r="H349" s="4" t="s">
        <v>113</v>
      </c>
      <c r="I349" s="4" t="s">
        <v>113</v>
      </c>
      <c r="J349" s="4" t="s">
        <v>113</v>
      </c>
      <c r="K349" s="14" t="s">
        <v>113</v>
      </c>
    </row>
    <row r="350" spans="1:11" x14ac:dyDescent="0.2">
      <c r="A350" s="12"/>
      <c r="C350" s="4">
        <v>91104</v>
      </c>
      <c r="D350" s="4">
        <v>26.5</v>
      </c>
      <c r="E350" s="4">
        <v>10372766</v>
      </c>
      <c r="F350" s="4" t="s">
        <v>914</v>
      </c>
      <c r="G350" s="4" t="s">
        <v>74</v>
      </c>
      <c r="H350" s="4" t="s">
        <v>108</v>
      </c>
      <c r="I350" s="4" t="s">
        <v>74</v>
      </c>
      <c r="J350" s="4" t="s">
        <v>74</v>
      </c>
      <c r="K350" s="14" t="s">
        <v>74</v>
      </c>
    </row>
    <row r="351" spans="1:11" x14ac:dyDescent="0.2">
      <c r="A351" s="11"/>
      <c r="B351" s="9"/>
      <c r="C351" s="9">
        <v>91101</v>
      </c>
      <c r="D351" s="9">
        <v>26.8</v>
      </c>
      <c r="E351" s="9">
        <v>10372837</v>
      </c>
      <c r="F351" s="9" t="s">
        <v>914</v>
      </c>
      <c r="G351" s="9" t="s">
        <v>108</v>
      </c>
      <c r="H351" s="9" t="s">
        <v>113</v>
      </c>
      <c r="I351" s="9" t="s">
        <v>113</v>
      </c>
      <c r="J351" s="9" t="s">
        <v>113</v>
      </c>
      <c r="K351" s="13" t="s">
        <v>108</v>
      </c>
    </row>
    <row r="352" spans="1:11" x14ac:dyDescent="0.2">
      <c r="A352" s="11"/>
      <c r="B352" s="9"/>
      <c r="C352" s="9">
        <v>91104</v>
      </c>
      <c r="D352" s="9">
        <v>27</v>
      </c>
      <c r="E352" s="9">
        <v>10370589</v>
      </c>
      <c r="F352" s="9" t="s">
        <v>914</v>
      </c>
      <c r="G352" s="9" t="s">
        <v>933</v>
      </c>
      <c r="H352" s="9" t="s">
        <v>74</v>
      </c>
      <c r="I352" s="9" t="s">
        <v>74</v>
      </c>
      <c r="J352" s="9" t="s">
        <v>74</v>
      </c>
      <c r="K352" s="13" t="s">
        <v>933</v>
      </c>
    </row>
    <row r="353" spans="1:11" x14ac:dyDescent="0.2">
      <c r="A353" s="11"/>
      <c r="B353" s="9"/>
      <c r="C353" s="9">
        <v>91104</v>
      </c>
      <c r="D353" s="9">
        <v>27</v>
      </c>
      <c r="E353" s="9">
        <v>10353364</v>
      </c>
      <c r="F353" s="9" t="s">
        <v>914</v>
      </c>
      <c r="G353" s="9" t="s">
        <v>113</v>
      </c>
      <c r="H353" s="9" t="s">
        <v>113</v>
      </c>
      <c r="I353" s="9" t="s">
        <v>113</v>
      </c>
      <c r="J353" s="9" t="s">
        <v>113</v>
      </c>
      <c r="K353" s="13" t="s">
        <v>113</v>
      </c>
    </row>
    <row r="354" spans="1:11" x14ac:dyDescent="0.2">
      <c r="A354" s="11"/>
      <c r="B354" s="9"/>
      <c r="C354" s="9">
        <v>92507</v>
      </c>
      <c r="D354" s="9">
        <v>28</v>
      </c>
      <c r="E354" s="9">
        <v>10366652</v>
      </c>
      <c r="F354" s="9" t="s">
        <v>914</v>
      </c>
      <c r="G354" s="9" t="s">
        <v>113</v>
      </c>
      <c r="H354" s="9" t="s">
        <v>113</v>
      </c>
      <c r="I354" s="9" t="s">
        <v>113</v>
      </c>
      <c r="J354" s="9" t="s">
        <v>113</v>
      </c>
      <c r="K354" s="13" t="s">
        <v>113</v>
      </c>
    </row>
    <row r="355" spans="1:11" x14ac:dyDescent="0.2">
      <c r="A355" s="12"/>
      <c r="C355" s="4">
        <v>92404</v>
      </c>
      <c r="D355" s="4">
        <v>28</v>
      </c>
      <c r="E355" s="4">
        <v>10353600</v>
      </c>
      <c r="F355" s="4" t="s">
        <v>914</v>
      </c>
      <c r="G355" s="4" t="s">
        <v>1176</v>
      </c>
      <c r="H355" s="4" t="s">
        <v>1176</v>
      </c>
      <c r="I355" s="4" t="s">
        <v>1176</v>
      </c>
      <c r="J355" s="4" t="s">
        <v>1176</v>
      </c>
      <c r="K355" s="14" t="s">
        <v>1176</v>
      </c>
    </row>
    <row r="356" spans="1:11" x14ac:dyDescent="0.2">
      <c r="A356" s="12"/>
      <c r="C356" s="4">
        <v>92408</v>
      </c>
      <c r="D356" s="4">
        <v>28</v>
      </c>
      <c r="E356" s="4">
        <v>100434242</v>
      </c>
      <c r="F356" s="4" t="s">
        <v>914</v>
      </c>
      <c r="G356" s="4" t="s">
        <v>103</v>
      </c>
      <c r="H356" s="4" t="s">
        <v>103</v>
      </c>
      <c r="I356" s="4" t="s">
        <v>103</v>
      </c>
      <c r="J356" s="4" t="s">
        <v>103</v>
      </c>
      <c r="K356" s="14" t="s">
        <v>103</v>
      </c>
    </row>
    <row r="357" spans="1:11" x14ac:dyDescent="0.2">
      <c r="A357" s="12"/>
      <c r="C357" s="4">
        <v>92408</v>
      </c>
      <c r="D357" s="4">
        <v>28</v>
      </c>
      <c r="E357" s="4" t="s">
        <v>1270</v>
      </c>
      <c r="F357" s="4" t="s">
        <v>914</v>
      </c>
      <c r="G357" s="4" t="s">
        <v>113</v>
      </c>
      <c r="H357" s="4" t="s">
        <v>113</v>
      </c>
      <c r="I357" s="4" t="s">
        <v>113</v>
      </c>
      <c r="J357" s="4" t="s">
        <v>113</v>
      </c>
      <c r="K357" s="14" t="s">
        <v>113</v>
      </c>
    </row>
    <row r="358" spans="1:11" x14ac:dyDescent="0.2">
      <c r="A358" s="11"/>
      <c r="B358" s="9"/>
      <c r="C358" s="9">
        <v>92411</v>
      </c>
      <c r="D358" s="9">
        <v>28</v>
      </c>
      <c r="E358" s="9">
        <v>10284631</v>
      </c>
      <c r="F358" s="9" t="s">
        <v>914</v>
      </c>
      <c r="G358" s="9" t="s">
        <v>933</v>
      </c>
      <c r="H358" s="9" t="s">
        <v>113</v>
      </c>
      <c r="I358" s="9" t="s">
        <v>933</v>
      </c>
      <c r="J358" s="9" t="s">
        <v>933</v>
      </c>
      <c r="K358" s="13" t="s">
        <v>933</v>
      </c>
    </row>
    <row r="359" spans="1:11" x14ac:dyDescent="0.2">
      <c r="A359" s="12"/>
      <c r="C359" s="4">
        <v>92405</v>
      </c>
      <c r="D359" s="4">
        <v>28</v>
      </c>
      <c r="E359" s="4">
        <v>10354791</v>
      </c>
      <c r="F359" s="4" t="s">
        <v>914</v>
      </c>
      <c r="G359" s="4" t="s">
        <v>113</v>
      </c>
      <c r="H359" s="4" t="s">
        <v>113</v>
      </c>
      <c r="I359" s="4" t="s">
        <v>113</v>
      </c>
      <c r="J359" s="4" t="s">
        <v>113</v>
      </c>
      <c r="K359" s="14" t="s">
        <v>113</v>
      </c>
    </row>
    <row r="360" spans="1:11" x14ac:dyDescent="0.2">
      <c r="A360" s="11"/>
      <c r="B360" s="9"/>
      <c r="C360" s="9">
        <v>91101</v>
      </c>
      <c r="D360" s="9">
        <v>30</v>
      </c>
      <c r="E360" s="9">
        <v>10373128</v>
      </c>
      <c r="F360" s="9" t="s">
        <v>914</v>
      </c>
      <c r="G360" s="9" t="s">
        <v>103</v>
      </c>
      <c r="H360" s="9" t="s">
        <v>74</v>
      </c>
      <c r="I360" s="9" t="s">
        <v>74</v>
      </c>
      <c r="J360" s="9" t="s">
        <v>103</v>
      </c>
      <c r="K360" s="13" t="s">
        <v>74</v>
      </c>
    </row>
    <row r="361" spans="1:11" x14ac:dyDescent="0.2">
      <c r="A361" s="11"/>
      <c r="B361" s="9"/>
      <c r="C361" s="9">
        <v>92505</v>
      </c>
      <c r="D361" s="9">
        <v>30</v>
      </c>
      <c r="E361" s="9">
        <v>103614671</v>
      </c>
      <c r="F361" s="9" t="s">
        <v>914</v>
      </c>
      <c r="G361" s="9" t="s">
        <v>103</v>
      </c>
      <c r="H361" s="9" t="s">
        <v>113</v>
      </c>
      <c r="I361" s="9" t="s">
        <v>195</v>
      </c>
      <c r="J361" s="9" t="s">
        <v>103</v>
      </c>
      <c r="K361" s="13" t="s">
        <v>103</v>
      </c>
    </row>
    <row r="362" spans="1:11" x14ac:dyDescent="0.2">
      <c r="A362" s="12"/>
      <c r="C362" s="4">
        <v>92404</v>
      </c>
      <c r="D362" s="4">
        <v>30</v>
      </c>
      <c r="E362" s="4">
        <v>10360807</v>
      </c>
      <c r="F362" s="4" t="s">
        <v>914</v>
      </c>
      <c r="G362" s="4" t="s">
        <v>113</v>
      </c>
      <c r="H362" s="4" t="s">
        <v>113</v>
      </c>
      <c r="I362" s="4" t="s">
        <v>113</v>
      </c>
      <c r="J362" s="4" t="s">
        <v>113</v>
      </c>
      <c r="K362" s="14" t="s">
        <v>113</v>
      </c>
    </row>
    <row r="363" spans="1:11" x14ac:dyDescent="0.2">
      <c r="A363" s="12"/>
      <c r="C363" s="4">
        <v>92335</v>
      </c>
      <c r="D363" s="4">
        <v>30</v>
      </c>
      <c r="E363" s="4">
        <v>10254405</v>
      </c>
      <c r="F363" s="4" t="s">
        <v>914</v>
      </c>
      <c r="G363" s="4" t="s">
        <v>103</v>
      </c>
      <c r="H363" s="4" t="s">
        <v>103</v>
      </c>
      <c r="I363" s="4" t="s">
        <v>103</v>
      </c>
      <c r="J363" s="4" t="s">
        <v>103</v>
      </c>
      <c r="K363" s="14" t="s">
        <v>103</v>
      </c>
    </row>
    <row r="364" spans="1:11" x14ac:dyDescent="0.2">
      <c r="A364" s="12"/>
      <c r="C364" s="4">
        <v>92324</v>
      </c>
      <c r="D364" s="4">
        <v>30</v>
      </c>
      <c r="E364" s="4">
        <v>10364835</v>
      </c>
      <c r="F364" s="4" t="s">
        <v>914</v>
      </c>
      <c r="G364" s="4" t="s">
        <v>113</v>
      </c>
      <c r="H364" s="4" t="s">
        <v>85</v>
      </c>
      <c r="I364" s="4" t="s">
        <v>103</v>
      </c>
      <c r="J364" s="4" t="s">
        <v>103</v>
      </c>
      <c r="K364" s="14" t="s">
        <v>85</v>
      </c>
    </row>
    <row r="365" spans="1:11" x14ac:dyDescent="0.2">
      <c r="A365" s="12"/>
      <c r="C365" s="4">
        <v>92807</v>
      </c>
      <c r="D365" s="4">
        <v>30</v>
      </c>
      <c r="E365" s="4">
        <v>10299552</v>
      </c>
      <c r="F365" s="4" t="s">
        <v>914</v>
      </c>
      <c r="G365" s="4" t="s">
        <v>113</v>
      </c>
      <c r="H365" s="4" t="s">
        <v>113</v>
      </c>
      <c r="I365" s="4" t="s">
        <v>113</v>
      </c>
      <c r="J365" s="4" t="s">
        <v>113</v>
      </c>
      <c r="K365" s="14" t="s">
        <v>113</v>
      </c>
    </row>
    <row r="366" spans="1:11" x14ac:dyDescent="0.2">
      <c r="A366" s="11"/>
      <c r="B366" s="9"/>
      <c r="C366" s="9">
        <v>90241</v>
      </c>
      <c r="D366" s="9">
        <v>30</v>
      </c>
      <c r="E366" s="9">
        <v>103667201</v>
      </c>
      <c r="F366" s="9" t="s">
        <v>919</v>
      </c>
      <c r="G366" s="9" t="s">
        <v>113</v>
      </c>
      <c r="H366" s="9" t="s">
        <v>113</v>
      </c>
      <c r="I366" s="9" t="s">
        <v>113</v>
      </c>
      <c r="J366" s="9" t="s">
        <v>113</v>
      </c>
      <c r="K366" s="13" t="s">
        <v>202</v>
      </c>
    </row>
    <row r="367" spans="1:11" x14ac:dyDescent="0.2">
      <c r="A367" s="12"/>
      <c r="C367" s="4">
        <v>92404</v>
      </c>
      <c r="D367" s="4">
        <v>30</v>
      </c>
      <c r="E367" s="4">
        <v>10368864</v>
      </c>
      <c r="F367" s="4" t="s">
        <v>914</v>
      </c>
      <c r="G367" s="4" t="s">
        <v>113</v>
      </c>
      <c r="H367" s="4" t="s">
        <v>113</v>
      </c>
      <c r="I367" s="4" t="s">
        <v>113</v>
      </c>
      <c r="J367" s="4" t="s">
        <v>113</v>
      </c>
      <c r="K367" s="14" t="s">
        <v>113</v>
      </c>
    </row>
    <row r="368" spans="1:11" x14ac:dyDescent="0.2">
      <c r="A368" s="12"/>
      <c r="C368" s="4">
        <v>92337</v>
      </c>
      <c r="D368" s="4">
        <v>30</v>
      </c>
      <c r="E368" s="4">
        <v>10256187</v>
      </c>
      <c r="F368" s="4" t="s">
        <v>914</v>
      </c>
      <c r="G368" s="4" t="s">
        <v>113</v>
      </c>
      <c r="H368" s="4" t="s">
        <v>113</v>
      </c>
      <c r="I368" s="4" t="s">
        <v>113</v>
      </c>
      <c r="J368" s="4" t="s">
        <v>113</v>
      </c>
      <c r="K368" s="14" t="s">
        <v>113</v>
      </c>
    </row>
    <row r="369" spans="1:11" x14ac:dyDescent="0.2">
      <c r="A369" s="11"/>
      <c r="B369" s="9"/>
      <c r="C369" s="9">
        <v>94210</v>
      </c>
      <c r="D369" s="9">
        <v>30</v>
      </c>
      <c r="E369" s="9">
        <v>10373647</v>
      </c>
      <c r="F369" s="9" t="s">
        <v>914</v>
      </c>
      <c r="G369" s="9" t="s">
        <v>113</v>
      </c>
      <c r="H369" s="9" t="s">
        <v>113</v>
      </c>
      <c r="I369" s="9" t="s">
        <v>113</v>
      </c>
      <c r="J369" s="9" t="s">
        <v>113</v>
      </c>
      <c r="K369" s="13" t="s">
        <v>113</v>
      </c>
    </row>
    <row r="370" spans="1:11" x14ac:dyDescent="0.2">
      <c r="A370" s="12"/>
      <c r="C370" s="4">
        <v>90247</v>
      </c>
      <c r="D370" s="4">
        <v>30</v>
      </c>
      <c r="E370" s="4">
        <v>10361238</v>
      </c>
      <c r="F370" s="4" t="s">
        <v>914</v>
      </c>
      <c r="G370" s="4" t="s">
        <v>113</v>
      </c>
      <c r="H370" s="4" t="s">
        <v>113</v>
      </c>
      <c r="I370" s="4" t="s">
        <v>113</v>
      </c>
      <c r="J370" s="4" t="s">
        <v>113</v>
      </c>
      <c r="K370" s="14" t="s">
        <v>113</v>
      </c>
    </row>
    <row r="371" spans="1:11" x14ac:dyDescent="0.2">
      <c r="A371" s="12"/>
      <c r="C371" s="4">
        <v>90606</v>
      </c>
      <c r="D371" s="4">
        <v>30</v>
      </c>
      <c r="E371" s="4">
        <v>10278358</v>
      </c>
      <c r="F371" s="4" t="s">
        <v>914</v>
      </c>
      <c r="G371" s="4" t="s">
        <v>113</v>
      </c>
      <c r="H371" s="4" t="s">
        <v>113</v>
      </c>
      <c r="I371" s="4" t="s">
        <v>113</v>
      </c>
      <c r="J371" s="4" t="s">
        <v>113</v>
      </c>
      <c r="K371" s="14" t="s">
        <v>113</v>
      </c>
    </row>
    <row r="372" spans="1:11" x14ac:dyDescent="0.2">
      <c r="A372" s="11"/>
      <c r="B372" s="9"/>
      <c r="C372" s="9">
        <v>90012</v>
      </c>
      <c r="D372" s="9">
        <v>30</v>
      </c>
      <c r="E372" s="9">
        <v>10340122</v>
      </c>
      <c r="F372" s="9" t="s">
        <v>914</v>
      </c>
      <c r="G372" s="9" t="s">
        <v>103</v>
      </c>
      <c r="H372" s="9" t="s">
        <v>113</v>
      </c>
      <c r="I372" s="9" t="s">
        <v>113</v>
      </c>
      <c r="J372" s="9" t="s">
        <v>113</v>
      </c>
      <c r="K372" s="13" t="s">
        <v>103</v>
      </c>
    </row>
    <row r="373" spans="1:11" x14ac:dyDescent="0.2">
      <c r="A373" s="11"/>
      <c r="B373" s="9"/>
      <c r="C373" s="9">
        <v>91030</v>
      </c>
      <c r="D373" s="9">
        <v>30</v>
      </c>
      <c r="E373" s="9">
        <v>103746631</v>
      </c>
      <c r="F373" s="9" t="s">
        <v>914</v>
      </c>
      <c r="G373" s="9" t="s">
        <v>74</v>
      </c>
      <c r="H373" s="9" t="s">
        <v>74</v>
      </c>
      <c r="I373" s="9" t="s">
        <v>74</v>
      </c>
      <c r="J373" s="9" t="s">
        <v>103</v>
      </c>
      <c r="K373" s="13" t="s">
        <v>103</v>
      </c>
    </row>
    <row r="374" spans="1:11" x14ac:dyDescent="0.2">
      <c r="A374" s="12"/>
      <c r="C374" s="4">
        <v>90640</v>
      </c>
      <c r="D374" s="4">
        <v>30</v>
      </c>
      <c r="E374" s="4">
        <v>103739531</v>
      </c>
      <c r="F374" s="4" t="s">
        <v>919</v>
      </c>
      <c r="G374" s="4" t="s">
        <v>103</v>
      </c>
      <c r="H374" s="4" t="s">
        <v>113</v>
      </c>
      <c r="I374" s="4" t="s">
        <v>103</v>
      </c>
      <c r="J374" s="4" t="s">
        <v>113</v>
      </c>
      <c r="K374" s="14" t="s">
        <v>103</v>
      </c>
    </row>
    <row r="375" spans="1:11" x14ac:dyDescent="0.2">
      <c r="A375" s="12"/>
      <c r="C375" s="4">
        <v>92506</v>
      </c>
      <c r="D375" s="4">
        <v>30</v>
      </c>
      <c r="E375" s="4">
        <v>10366592</v>
      </c>
      <c r="F375" s="4" t="s">
        <v>914</v>
      </c>
      <c r="G375" s="4" t="s">
        <v>113</v>
      </c>
      <c r="H375" s="4" t="s">
        <v>933</v>
      </c>
      <c r="I375" s="4" t="s">
        <v>103</v>
      </c>
      <c r="J375" s="4" t="s">
        <v>113</v>
      </c>
      <c r="K375" s="14" t="s">
        <v>103</v>
      </c>
    </row>
    <row r="376" spans="1:11" x14ac:dyDescent="0.2">
      <c r="A376" s="11"/>
      <c r="B376" s="9"/>
      <c r="C376" s="9">
        <v>92627</v>
      </c>
      <c r="D376" s="9">
        <v>30</v>
      </c>
      <c r="E376" s="9" t="s">
        <v>1287</v>
      </c>
      <c r="F376" s="9" t="s">
        <v>914</v>
      </c>
      <c r="G376" s="9" t="s">
        <v>113</v>
      </c>
      <c r="H376" s="9" t="s">
        <v>113</v>
      </c>
      <c r="I376" s="9" t="s">
        <v>113</v>
      </c>
      <c r="J376" s="9" t="s">
        <v>113</v>
      </c>
      <c r="K376" s="13" t="s">
        <v>113</v>
      </c>
    </row>
    <row r="377" spans="1:11" x14ac:dyDescent="0.2">
      <c r="A377" s="11"/>
      <c r="B377" s="9"/>
      <c r="C377" s="9">
        <v>92373</v>
      </c>
      <c r="D377" s="9">
        <v>32</v>
      </c>
      <c r="E377" s="9">
        <v>10346405</v>
      </c>
      <c r="F377" s="9" t="s">
        <v>914</v>
      </c>
      <c r="G377" s="9" t="s">
        <v>85</v>
      </c>
      <c r="H377" s="9" t="s">
        <v>85</v>
      </c>
      <c r="I377" s="9" t="s">
        <v>85</v>
      </c>
      <c r="J377" s="9" t="s">
        <v>85</v>
      </c>
      <c r="K377" s="13" t="s">
        <v>103</v>
      </c>
    </row>
    <row r="378" spans="1:11" x14ac:dyDescent="0.2">
      <c r="A378" s="12"/>
      <c r="C378" s="4">
        <v>90004</v>
      </c>
      <c r="D378" s="4">
        <v>33</v>
      </c>
      <c r="E378" s="4" t="s">
        <v>1288</v>
      </c>
      <c r="F378" s="4" t="s">
        <v>914</v>
      </c>
      <c r="G378" s="4" t="s">
        <v>103</v>
      </c>
      <c r="H378" s="4" t="s">
        <v>74</v>
      </c>
      <c r="I378" s="4" t="s">
        <v>74</v>
      </c>
      <c r="J378" s="4" t="s">
        <v>74</v>
      </c>
      <c r="K378" s="14" t="s">
        <v>74</v>
      </c>
    </row>
    <row r="379" spans="1:11" x14ac:dyDescent="0.2">
      <c r="A379" s="11"/>
      <c r="B379" s="9"/>
      <c r="C379" s="9">
        <v>92706</v>
      </c>
      <c r="D379" s="9">
        <v>33</v>
      </c>
      <c r="E379" s="9">
        <v>100311371</v>
      </c>
      <c r="F379" s="9" t="s">
        <v>914</v>
      </c>
      <c r="G379" s="9" t="s">
        <v>113</v>
      </c>
      <c r="H379" s="9" t="s">
        <v>113</v>
      </c>
      <c r="I379" s="9" t="s">
        <v>113</v>
      </c>
      <c r="J379" s="9" t="s">
        <v>113</v>
      </c>
      <c r="K379" s="13" t="s">
        <v>113</v>
      </c>
    </row>
    <row r="380" spans="1:11" x14ac:dyDescent="0.2">
      <c r="A380" s="11"/>
      <c r="B380" s="9"/>
      <c r="C380" s="9">
        <v>91205</v>
      </c>
      <c r="D380" s="9">
        <v>33</v>
      </c>
      <c r="E380" s="9" t="s">
        <v>1291</v>
      </c>
      <c r="F380" s="9" t="s">
        <v>914</v>
      </c>
      <c r="G380" s="9" t="s">
        <v>113</v>
      </c>
      <c r="H380" s="9" t="s">
        <v>113</v>
      </c>
      <c r="I380" s="9" t="s">
        <v>113</v>
      </c>
      <c r="J380" s="9" t="s">
        <v>113</v>
      </c>
      <c r="K380" s="13" t="s">
        <v>113</v>
      </c>
    </row>
    <row r="381" spans="1:11" x14ac:dyDescent="0.2">
      <c r="A381" s="12"/>
      <c r="C381" s="4">
        <v>90242</v>
      </c>
      <c r="D381" s="4">
        <v>34</v>
      </c>
      <c r="E381" s="4">
        <v>102401522</v>
      </c>
      <c r="F381" s="4" t="s">
        <v>914</v>
      </c>
      <c r="G381" s="4" t="s">
        <v>113</v>
      </c>
      <c r="H381" s="4" t="s">
        <v>113</v>
      </c>
      <c r="I381" s="4" t="s">
        <v>113</v>
      </c>
      <c r="J381" s="4" t="s">
        <v>113</v>
      </c>
      <c r="K381" s="14" t="s">
        <v>113</v>
      </c>
    </row>
    <row r="382" spans="1:11" x14ac:dyDescent="0.2">
      <c r="A382" s="12"/>
      <c r="C382" s="4">
        <v>90015</v>
      </c>
      <c r="D382" s="4">
        <v>34.799999999999997</v>
      </c>
      <c r="E382" s="4">
        <v>10372309</v>
      </c>
      <c r="F382" s="4" t="s">
        <v>914</v>
      </c>
      <c r="G382" s="4" t="s">
        <v>85</v>
      </c>
      <c r="H382" s="4" t="s">
        <v>85</v>
      </c>
      <c r="I382" s="4" t="s">
        <v>85</v>
      </c>
      <c r="J382" s="4" t="s">
        <v>85</v>
      </c>
      <c r="K382" s="14" t="s">
        <v>202</v>
      </c>
    </row>
    <row r="383" spans="1:11" x14ac:dyDescent="0.2">
      <c r="A383" s="12"/>
      <c r="C383" s="4">
        <v>90065</v>
      </c>
      <c r="D383" s="4">
        <v>35</v>
      </c>
      <c r="E383" s="4">
        <v>10240226</v>
      </c>
      <c r="F383" s="4" t="s">
        <v>914</v>
      </c>
      <c r="G383" s="4" t="s">
        <v>74</v>
      </c>
      <c r="H383" s="4" t="s">
        <v>103</v>
      </c>
      <c r="I383" s="4" t="s">
        <v>74</v>
      </c>
      <c r="J383" s="4" t="s">
        <v>74</v>
      </c>
      <c r="K383" s="14" t="s">
        <v>74</v>
      </c>
    </row>
    <row r="384" spans="1:11" x14ac:dyDescent="0.2">
      <c r="A384" s="12"/>
      <c r="C384" s="4">
        <v>91001</v>
      </c>
      <c r="D384" s="4">
        <v>35</v>
      </c>
      <c r="E384" s="4">
        <v>10366423</v>
      </c>
      <c r="F384" s="4" t="s">
        <v>914</v>
      </c>
      <c r="G384" s="4" t="s">
        <v>74</v>
      </c>
      <c r="H384" s="4" t="s">
        <v>74</v>
      </c>
      <c r="I384" s="4" t="s">
        <v>74</v>
      </c>
      <c r="J384" s="4" t="s">
        <v>103</v>
      </c>
      <c r="K384" s="14" t="s">
        <v>74</v>
      </c>
    </row>
    <row r="385" spans="1:11" x14ac:dyDescent="0.2">
      <c r="A385" s="11"/>
      <c r="B385" s="9"/>
      <c r="C385" s="9">
        <v>92509</v>
      </c>
      <c r="D385" s="9">
        <v>35</v>
      </c>
      <c r="E385" s="9" t="s">
        <v>1297</v>
      </c>
      <c r="F385" s="9" t="s">
        <v>914</v>
      </c>
      <c r="G385" s="9" t="s">
        <v>113</v>
      </c>
      <c r="H385" s="9" t="s">
        <v>113</v>
      </c>
      <c r="I385" s="9" t="s">
        <v>113</v>
      </c>
      <c r="J385" s="9" t="s">
        <v>113</v>
      </c>
      <c r="K385" s="13" t="s">
        <v>113</v>
      </c>
    </row>
    <row r="386" spans="1:11" x14ac:dyDescent="0.2">
      <c r="A386" s="11"/>
      <c r="B386" s="9"/>
      <c r="C386" s="9">
        <v>92506</v>
      </c>
      <c r="D386" s="9">
        <v>35</v>
      </c>
      <c r="E386" s="9">
        <v>10358351</v>
      </c>
      <c r="F386" s="9" t="s">
        <v>914</v>
      </c>
      <c r="G386" s="9" t="s">
        <v>103</v>
      </c>
      <c r="H386" s="9" t="s">
        <v>113</v>
      </c>
      <c r="I386" s="9" t="s">
        <v>113</v>
      </c>
      <c r="J386" s="9" t="s">
        <v>113</v>
      </c>
      <c r="K386" s="13" t="s">
        <v>103</v>
      </c>
    </row>
    <row r="387" spans="1:11" x14ac:dyDescent="0.2">
      <c r="A387" s="12"/>
      <c r="C387" s="4">
        <v>91780</v>
      </c>
      <c r="D387" s="4">
        <v>35</v>
      </c>
      <c r="E387" s="4">
        <v>10371388</v>
      </c>
      <c r="F387" s="4" t="s">
        <v>914</v>
      </c>
      <c r="G387" s="4" t="s">
        <v>113</v>
      </c>
      <c r="H387" s="4" t="s">
        <v>113</v>
      </c>
      <c r="I387" s="4" t="s">
        <v>113</v>
      </c>
      <c r="J387" s="4" t="s">
        <v>103</v>
      </c>
      <c r="K387" s="14" t="s">
        <v>103</v>
      </c>
    </row>
    <row r="388" spans="1:11" x14ac:dyDescent="0.2">
      <c r="A388" s="11"/>
      <c r="B388" s="9"/>
      <c r="C388" s="9">
        <v>90065</v>
      </c>
      <c r="D388" s="9">
        <v>35</v>
      </c>
      <c r="E388" s="9">
        <v>10366519</v>
      </c>
      <c r="F388" s="9" t="s">
        <v>914</v>
      </c>
      <c r="G388" s="9" t="s">
        <v>113</v>
      </c>
      <c r="H388" s="9" t="s">
        <v>933</v>
      </c>
      <c r="I388" s="9" t="s">
        <v>933</v>
      </c>
      <c r="J388" s="9" t="s">
        <v>113</v>
      </c>
      <c r="K388" s="13" t="s">
        <v>103</v>
      </c>
    </row>
    <row r="389" spans="1:11" x14ac:dyDescent="0.2">
      <c r="A389" s="12"/>
      <c r="C389" s="4">
        <v>90065</v>
      </c>
      <c r="D389" s="4">
        <v>35</v>
      </c>
      <c r="E389" s="4">
        <v>10371899</v>
      </c>
      <c r="F389" s="4" t="s">
        <v>914</v>
      </c>
      <c r="G389" s="4" t="s">
        <v>74</v>
      </c>
      <c r="H389" s="4" t="s">
        <v>74</v>
      </c>
      <c r="I389" s="4" t="s">
        <v>74</v>
      </c>
      <c r="J389" s="4" t="s">
        <v>74</v>
      </c>
      <c r="K389" s="14" t="s">
        <v>74</v>
      </c>
    </row>
    <row r="390" spans="1:11" x14ac:dyDescent="0.2">
      <c r="A390" s="12"/>
      <c r="C390" s="4">
        <v>92374</v>
      </c>
      <c r="D390" s="4">
        <v>37</v>
      </c>
      <c r="E390" s="4">
        <v>10292343</v>
      </c>
      <c r="F390" s="4" t="s">
        <v>914</v>
      </c>
      <c r="G390" s="4" t="s">
        <v>103</v>
      </c>
      <c r="H390" s="4" t="s">
        <v>103</v>
      </c>
      <c r="I390" s="4" t="s">
        <v>103</v>
      </c>
      <c r="J390" s="4" t="s">
        <v>103</v>
      </c>
      <c r="K390" s="14" t="s">
        <v>103</v>
      </c>
    </row>
    <row r="391" spans="1:11" x14ac:dyDescent="0.2">
      <c r="A391" s="11"/>
      <c r="B391" s="9"/>
      <c r="C391" s="9">
        <v>91101</v>
      </c>
      <c r="D391" s="9">
        <v>37</v>
      </c>
      <c r="E391" s="9">
        <v>1037037911</v>
      </c>
      <c r="F391" s="9" t="s">
        <v>914</v>
      </c>
      <c r="G391" s="9" t="s">
        <v>113</v>
      </c>
      <c r="H391" s="9" t="s">
        <v>113</v>
      </c>
      <c r="I391" s="9" t="s">
        <v>113</v>
      </c>
      <c r="J391" s="9" t="s">
        <v>113</v>
      </c>
      <c r="K391" s="13" t="s">
        <v>113</v>
      </c>
    </row>
    <row r="392" spans="1:11" x14ac:dyDescent="0.2">
      <c r="A392" s="12"/>
      <c r="C392" s="4">
        <v>90280</v>
      </c>
      <c r="D392" s="4">
        <v>38</v>
      </c>
      <c r="E392" s="4">
        <v>103734162</v>
      </c>
      <c r="F392" s="4" t="s">
        <v>914</v>
      </c>
      <c r="G392" s="4" t="s">
        <v>933</v>
      </c>
      <c r="H392" s="4" t="s">
        <v>933</v>
      </c>
      <c r="I392" s="4" t="s">
        <v>933</v>
      </c>
      <c r="J392" s="4" t="s">
        <v>933</v>
      </c>
      <c r="K392" s="14" t="s">
        <v>933</v>
      </c>
    </row>
    <row r="393" spans="1:11" x14ac:dyDescent="0.2">
      <c r="A393" s="12"/>
      <c r="C393" s="4">
        <v>90650</v>
      </c>
      <c r="D393" s="4">
        <v>39</v>
      </c>
      <c r="E393" s="4">
        <v>103560671</v>
      </c>
      <c r="F393" s="4" t="s">
        <v>914</v>
      </c>
      <c r="G393" s="4" t="s">
        <v>933</v>
      </c>
      <c r="H393" s="4" t="s">
        <v>933</v>
      </c>
      <c r="I393" s="4" t="s">
        <v>933</v>
      </c>
      <c r="J393" s="4" t="s">
        <v>933</v>
      </c>
      <c r="K393" s="14" t="s">
        <v>933</v>
      </c>
    </row>
    <row r="394" spans="1:11" x14ac:dyDescent="0.2">
      <c r="A394" s="11"/>
      <c r="B394" s="9"/>
      <c r="C394" s="9">
        <v>92570</v>
      </c>
      <c r="D394" s="9">
        <v>39.299999999999997</v>
      </c>
      <c r="E394" s="9">
        <v>10373098</v>
      </c>
      <c r="F394" s="9" t="s">
        <v>914</v>
      </c>
      <c r="G394" s="9" t="s">
        <v>74</v>
      </c>
      <c r="H394" s="9" t="s">
        <v>74</v>
      </c>
      <c r="I394" s="9" t="s">
        <v>74</v>
      </c>
      <c r="J394" s="9" t="s">
        <v>74</v>
      </c>
      <c r="K394" s="13" t="s">
        <v>74</v>
      </c>
    </row>
    <row r="395" spans="1:11" x14ac:dyDescent="0.2">
      <c r="A395" s="11"/>
      <c r="B395" s="9"/>
      <c r="C395" s="9">
        <v>92346</v>
      </c>
      <c r="D395" s="9">
        <v>40</v>
      </c>
      <c r="E395" s="9" t="s">
        <v>1305</v>
      </c>
      <c r="F395" s="9" t="s">
        <v>914</v>
      </c>
      <c r="G395" s="9" t="s">
        <v>113</v>
      </c>
      <c r="H395" s="9" t="s">
        <v>113</v>
      </c>
      <c r="I395" s="9" t="s">
        <v>113</v>
      </c>
      <c r="J395" s="9" t="s">
        <v>113</v>
      </c>
      <c r="K395" s="13" t="s">
        <v>113</v>
      </c>
    </row>
    <row r="396" spans="1:11" x14ac:dyDescent="0.2">
      <c r="A396" s="12"/>
      <c r="C396" s="4">
        <v>92397</v>
      </c>
      <c r="D396" s="4">
        <v>40</v>
      </c>
      <c r="E396" s="4">
        <v>10371896</v>
      </c>
      <c r="F396" s="4" t="s">
        <v>914</v>
      </c>
      <c r="G396" s="4" t="s">
        <v>103</v>
      </c>
      <c r="H396" s="4" t="s">
        <v>113</v>
      </c>
      <c r="I396" s="4" t="s">
        <v>103</v>
      </c>
      <c r="J396" s="4" t="s">
        <v>113</v>
      </c>
      <c r="K396" s="14" t="s">
        <v>113</v>
      </c>
    </row>
    <row r="397" spans="1:11" x14ac:dyDescent="0.2">
      <c r="A397" s="12"/>
      <c r="C397" s="4">
        <v>90027</v>
      </c>
      <c r="D397" s="4">
        <v>40</v>
      </c>
      <c r="E397" s="4">
        <v>103727751</v>
      </c>
      <c r="F397" s="4" t="s">
        <v>914</v>
      </c>
      <c r="G397" s="4" t="s">
        <v>113</v>
      </c>
      <c r="H397" s="4" t="s">
        <v>113</v>
      </c>
      <c r="I397" s="4" t="s">
        <v>202</v>
      </c>
      <c r="J397" s="4" t="s">
        <v>202</v>
      </c>
      <c r="K397" s="14" t="s">
        <v>113</v>
      </c>
    </row>
    <row r="398" spans="1:11" x14ac:dyDescent="0.2">
      <c r="A398" s="12"/>
      <c r="C398" s="4">
        <v>92879</v>
      </c>
      <c r="D398" s="4">
        <v>40</v>
      </c>
      <c r="E398" s="4" t="s">
        <v>1311</v>
      </c>
      <c r="F398" s="4" t="s">
        <v>919</v>
      </c>
      <c r="G398" s="4" t="s">
        <v>113</v>
      </c>
      <c r="H398" s="4" t="s">
        <v>113</v>
      </c>
      <c r="I398" s="4" t="s">
        <v>113</v>
      </c>
      <c r="J398" s="4" t="s">
        <v>113</v>
      </c>
      <c r="K398" s="14" t="s">
        <v>113</v>
      </c>
    </row>
    <row r="399" spans="1:11" x14ac:dyDescent="0.2">
      <c r="A399" s="12"/>
      <c r="C399" s="4">
        <v>92627</v>
      </c>
      <c r="D399" s="4">
        <v>41</v>
      </c>
      <c r="E399" s="4">
        <v>103615121</v>
      </c>
      <c r="F399" s="4" t="s">
        <v>914</v>
      </c>
      <c r="G399" s="4" t="s">
        <v>113</v>
      </c>
      <c r="H399" s="4" t="s">
        <v>113</v>
      </c>
      <c r="I399" s="4" t="s">
        <v>113</v>
      </c>
      <c r="J399" s="4" t="s">
        <v>113</v>
      </c>
      <c r="K399" s="14" t="s">
        <v>113</v>
      </c>
    </row>
    <row r="400" spans="1:11" x14ac:dyDescent="0.2">
      <c r="A400" s="11"/>
      <c r="B400" s="9"/>
      <c r="C400" s="9">
        <v>92646</v>
      </c>
      <c r="D400" s="9">
        <v>42</v>
      </c>
      <c r="E400" s="9">
        <v>103664392</v>
      </c>
      <c r="F400" s="9" t="s">
        <v>914</v>
      </c>
      <c r="G400" s="9" t="s">
        <v>74</v>
      </c>
      <c r="H400" s="9" t="s">
        <v>74</v>
      </c>
      <c r="I400" s="9" t="s">
        <v>74</v>
      </c>
      <c r="J400" s="9" t="s">
        <v>74</v>
      </c>
      <c r="K400" s="13" t="s">
        <v>74</v>
      </c>
    </row>
    <row r="401" spans="1:11" x14ac:dyDescent="0.2">
      <c r="A401" s="11"/>
      <c r="B401" s="9"/>
      <c r="C401" s="9">
        <v>90302</v>
      </c>
      <c r="D401" s="9">
        <v>42</v>
      </c>
      <c r="E401" s="9">
        <v>120997</v>
      </c>
      <c r="F401" s="9" t="s">
        <v>914</v>
      </c>
      <c r="G401" s="9" t="s">
        <v>113</v>
      </c>
      <c r="H401" s="9" t="s">
        <v>113</v>
      </c>
      <c r="I401" s="9" t="s">
        <v>113</v>
      </c>
      <c r="J401" s="9" t="s">
        <v>113</v>
      </c>
      <c r="K401" s="13" t="s">
        <v>113</v>
      </c>
    </row>
    <row r="402" spans="1:11" x14ac:dyDescent="0.2">
      <c r="A402" s="11"/>
      <c r="B402" s="9"/>
      <c r="C402" s="9">
        <v>90814</v>
      </c>
      <c r="D402" s="9">
        <v>43</v>
      </c>
      <c r="E402" s="9">
        <v>10310504</v>
      </c>
      <c r="F402" s="9" t="s">
        <v>914</v>
      </c>
      <c r="G402" s="9" t="s">
        <v>199</v>
      </c>
      <c r="H402" s="9" t="s">
        <v>199</v>
      </c>
      <c r="I402" s="9" t="s">
        <v>199</v>
      </c>
      <c r="J402" s="9" t="s">
        <v>199</v>
      </c>
      <c r="K402" s="13" t="s">
        <v>199</v>
      </c>
    </row>
    <row r="403" spans="1:11" x14ac:dyDescent="0.2">
      <c r="A403" s="12"/>
      <c r="C403" s="4">
        <v>92610</v>
      </c>
      <c r="D403" s="4">
        <v>43</v>
      </c>
      <c r="E403" s="4">
        <v>103718361</v>
      </c>
      <c r="F403" s="4" t="s">
        <v>914</v>
      </c>
      <c r="G403" s="4" t="s">
        <v>202</v>
      </c>
      <c r="H403" s="4" t="s">
        <v>113</v>
      </c>
      <c r="I403" s="4" t="s">
        <v>202</v>
      </c>
      <c r="J403" s="4" t="s">
        <v>113</v>
      </c>
      <c r="K403" s="14" t="s">
        <v>202</v>
      </c>
    </row>
    <row r="404" spans="1:11" x14ac:dyDescent="0.2">
      <c r="A404" s="12"/>
      <c r="C404" s="4">
        <v>90043</v>
      </c>
      <c r="D404" s="4">
        <v>43</v>
      </c>
      <c r="E404" s="4">
        <v>10351757</v>
      </c>
      <c r="F404" s="4" t="s">
        <v>914</v>
      </c>
      <c r="G404" s="4" t="s">
        <v>103</v>
      </c>
      <c r="H404" s="4" t="s">
        <v>103</v>
      </c>
      <c r="I404" s="4" t="s">
        <v>113</v>
      </c>
      <c r="J404" s="4" t="s">
        <v>113</v>
      </c>
      <c r="K404" s="14" t="s">
        <v>113</v>
      </c>
    </row>
    <row r="405" spans="1:11" x14ac:dyDescent="0.2">
      <c r="A405" s="11"/>
      <c r="B405" s="9"/>
      <c r="C405" s="9">
        <v>92345</v>
      </c>
      <c r="D405" s="9">
        <v>44</v>
      </c>
      <c r="E405" s="9">
        <v>10226387</v>
      </c>
      <c r="F405" s="9" t="s">
        <v>914</v>
      </c>
      <c r="G405" s="9" t="s">
        <v>103</v>
      </c>
      <c r="H405" s="9" t="s">
        <v>113</v>
      </c>
      <c r="I405" s="9" t="s">
        <v>113</v>
      </c>
      <c r="J405" s="9" t="s">
        <v>113</v>
      </c>
      <c r="K405" s="13" t="s">
        <v>103</v>
      </c>
    </row>
    <row r="406" spans="1:11" x14ac:dyDescent="0.2">
      <c r="A406" s="11"/>
      <c r="B406" s="9"/>
      <c r="C406" s="9">
        <v>92612</v>
      </c>
      <c r="D406" s="9">
        <v>45</v>
      </c>
      <c r="E406" s="9">
        <v>103730673</v>
      </c>
      <c r="F406" s="9" t="s">
        <v>914</v>
      </c>
      <c r="G406" s="9" t="s">
        <v>103</v>
      </c>
      <c r="H406" s="9" t="s">
        <v>195</v>
      </c>
      <c r="I406" s="9" t="s">
        <v>103</v>
      </c>
      <c r="J406" s="9" t="s">
        <v>195</v>
      </c>
      <c r="K406" s="13" t="s">
        <v>113</v>
      </c>
    </row>
    <row r="407" spans="1:11" x14ac:dyDescent="0.2">
      <c r="A407" s="11"/>
      <c r="B407" s="9"/>
      <c r="C407" s="9">
        <v>92392</v>
      </c>
      <c r="D407" s="9">
        <v>45</v>
      </c>
      <c r="E407" s="9">
        <v>10366590</v>
      </c>
      <c r="F407" s="9" t="s">
        <v>914</v>
      </c>
      <c r="G407" s="9" t="s">
        <v>113</v>
      </c>
      <c r="H407" s="9" t="s">
        <v>103</v>
      </c>
      <c r="I407" s="9" t="s">
        <v>113</v>
      </c>
      <c r="J407" s="9" t="s">
        <v>113</v>
      </c>
      <c r="K407" s="13" t="s">
        <v>113</v>
      </c>
    </row>
    <row r="408" spans="1:11" x14ac:dyDescent="0.2">
      <c r="A408" s="11"/>
      <c r="B408" s="9"/>
      <c r="C408" s="9">
        <v>90631</v>
      </c>
      <c r="D408" s="9">
        <v>45</v>
      </c>
      <c r="E408" s="9">
        <v>10370772</v>
      </c>
      <c r="F408" s="9" t="s">
        <v>914</v>
      </c>
      <c r="G408" s="9" t="s">
        <v>113</v>
      </c>
      <c r="H408" s="9" t="s">
        <v>113</v>
      </c>
      <c r="I408" s="9" t="s">
        <v>113</v>
      </c>
      <c r="J408" s="9" t="s">
        <v>113</v>
      </c>
      <c r="K408" s="13" t="s">
        <v>113</v>
      </c>
    </row>
    <row r="409" spans="1:11" x14ac:dyDescent="0.2">
      <c r="A409" s="12"/>
      <c r="C409" s="4">
        <v>90250</v>
      </c>
      <c r="D409" s="4">
        <v>46</v>
      </c>
      <c r="E409" s="4">
        <v>10366658</v>
      </c>
      <c r="F409" s="4" t="s">
        <v>914</v>
      </c>
      <c r="G409" s="4" t="s">
        <v>933</v>
      </c>
      <c r="H409" s="4" t="s">
        <v>933</v>
      </c>
      <c r="I409" s="4" t="s">
        <v>933</v>
      </c>
      <c r="J409" s="4" t="s">
        <v>195</v>
      </c>
      <c r="K409" s="14" t="s">
        <v>195</v>
      </c>
    </row>
    <row r="410" spans="1:11" x14ac:dyDescent="0.2">
      <c r="A410" s="11"/>
      <c r="B410" s="9"/>
      <c r="C410" s="9">
        <v>92553</v>
      </c>
      <c r="D410" s="9">
        <v>46</v>
      </c>
      <c r="E410" s="9">
        <v>10355978</v>
      </c>
      <c r="F410" s="9" t="s">
        <v>914</v>
      </c>
      <c r="G410" s="9" t="s">
        <v>113</v>
      </c>
      <c r="H410" s="9" t="s">
        <v>103</v>
      </c>
      <c r="I410" s="9" t="s">
        <v>113</v>
      </c>
      <c r="J410" s="9" t="s">
        <v>113</v>
      </c>
      <c r="K410" s="13" t="s">
        <v>113</v>
      </c>
    </row>
    <row r="411" spans="1:11" x14ac:dyDescent="0.2">
      <c r="A411" s="12"/>
      <c r="C411" s="4">
        <v>91607</v>
      </c>
      <c r="D411" s="4">
        <v>47</v>
      </c>
      <c r="E411" s="4">
        <v>100230941</v>
      </c>
      <c r="F411" s="4" t="s">
        <v>914</v>
      </c>
      <c r="G411" s="4" t="s">
        <v>103</v>
      </c>
      <c r="H411" s="4" t="s">
        <v>103</v>
      </c>
      <c r="I411" s="4" t="s">
        <v>74</v>
      </c>
      <c r="J411" s="4" t="s">
        <v>103</v>
      </c>
      <c r="K411" s="14" t="s">
        <v>202</v>
      </c>
    </row>
    <row r="412" spans="1:11" x14ac:dyDescent="0.2">
      <c r="A412" s="11"/>
      <c r="B412" s="9"/>
      <c r="C412" s="9">
        <v>92407</v>
      </c>
      <c r="D412" s="9">
        <v>47</v>
      </c>
      <c r="E412" s="9">
        <v>10338974</v>
      </c>
      <c r="F412" s="9" t="s">
        <v>914</v>
      </c>
      <c r="G412" s="9" t="s">
        <v>113</v>
      </c>
      <c r="H412" s="9" t="s">
        <v>113</v>
      </c>
      <c r="I412" s="9" t="s">
        <v>113</v>
      </c>
      <c r="J412" s="9" t="s">
        <v>113</v>
      </c>
      <c r="K412" s="13" t="s">
        <v>113</v>
      </c>
    </row>
    <row r="413" spans="1:11" x14ac:dyDescent="0.2">
      <c r="A413" s="11"/>
      <c r="B413" s="9"/>
      <c r="C413" s="9">
        <v>92570</v>
      </c>
      <c r="D413" s="9">
        <v>48</v>
      </c>
      <c r="E413" s="9">
        <v>103667961</v>
      </c>
      <c r="F413" s="9" t="s">
        <v>914</v>
      </c>
      <c r="G413" s="9" t="s">
        <v>113</v>
      </c>
      <c r="H413" s="9" t="s">
        <v>113</v>
      </c>
      <c r="I413" s="9" t="s">
        <v>113</v>
      </c>
      <c r="J413" s="9" t="s">
        <v>113</v>
      </c>
      <c r="K413" s="13" t="s">
        <v>113</v>
      </c>
    </row>
    <row r="414" spans="1:11" x14ac:dyDescent="0.2">
      <c r="A414" s="12"/>
      <c r="C414" s="4">
        <v>92392</v>
      </c>
      <c r="D414" s="4">
        <v>48</v>
      </c>
      <c r="E414" s="4">
        <v>100442712</v>
      </c>
      <c r="F414" s="4" t="s">
        <v>914</v>
      </c>
      <c r="G414" s="4" t="s">
        <v>1176</v>
      </c>
      <c r="H414" s="4" t="s">
        <v>1176</v>
      </c>
      <c r="I414" s="4" t="s">
        <v>1176</v>
      </c>
      <c r="J414" s="4" t="s">
        <v>1176</v>
      </c>
      <c r="K414" s="14" t="s">
        <v>1176</v>
      </c>
    </row>
    <row r="415" spans="1:11" x14ac:dyDescent="0.2">
      <c r="A415" s="11"/>
      <c r="B415" s="9"/>
      <c r="C415" s="9">
        <v>92405</v>
      </c>
      <c r="D415" s="9">
        <v>50</v>
      </c>
      <c r="E415" s="9">
        <v>102307258</v>
      </c>
      <c r="F415" s="9" t="s">
        <v>914</v>
      </c>
      <c r="G415" s="9" t="s">
        <v>103</v>
      </c>
      <c r="H415" s="9" t="s">
        <v>103</v>
      </c>
      <c r="I415" s="9" t="s">
        <v>103</v>
      </c>
      <c r="J415" s="9" t="s">
        <v>103</v>
      </c>
      <c r="K415" s="13" t="s">
        <v>103</v>
      </c>
    </row>
    <row r="416" spans="1:11" x14ac:dyDescent="0.2">
      <c r="A416" s="11"/>
      <c r="B416" s="9"/>
      <c r="C416" s="9">
        <v>92394</v>
      </c>
      <c r="D416" s="9">
        <v>50</v>
      </c>
      <c r="E416" s="9">
        <v>10362633</v>
      </c>
      <c r="F416" s="9" t="s">
        <v>914</v>
      </c>
      <c r="G416" s="9" t="s">
        <v>113</v>
      </c>
      <c r="H416" s="9" t="s">
        <v>113</v>
      </c>
      <c r="I416" s="9" t="s">
        <v>113</v>
      </c>
      <c r="J416" s="9" t="s">
        <v>113</v>
      </c>
      <c r="K416" s="13" t="s">
        <v>113</v>
      </c>
    </row>
    <row r="417" spans="1:11" x14ac:dyDescent="0.2">
      <c r="A417" s="11"/>
      <c r="B417" s="9"/>
      <c r="C417" s="9">
        <v>92301</v>
      </c>
      <c r="D417" s="9">
        <v>53</v>
      </c>
      <c r="E417" s="9">
        <v>101938847</v>
      </c>
      <c r="F417" s="9" t="s">
        <v>914</v>
      </c>
      <c r="G417" s="9" t="s">
        <v>103</v>
      </c>
      <c r="H417" s="9" t="s">
        <v>103</v>
      </c>
      <c r="I417" s="9" t="s">
        <v>103</v>
      </c>
      <c r="J417" s="9" t="s">
        <v>103</v>
      </c>
      <c r="K417" s="13" t="s">
        <v>103</v>
      </c>
    </row>
    <row r="418" spans="1:11" x14ac:dyDescent="0.2">
      <c r="A418" s="12"/>
      <c r="C418" s="4">
        <v>92395</v>
      </c>
      <c r="D418" s="4">
        <v>55</v>
      </c>
      <c r="E418" s="4">
        <v>10366437</v>
      </c>
      <c r="F418" s="4" t="s">
        <v>914</v>
      </c>
      <c r="G418" s="4" t="s">
        <v>113</v>
      </c>
      <c r="H418" s="4" t="s">
        <v>113</v>
      </c>
      <c r="I418" s="4" t="s">
        <v>113</v>
      </c>
      <c r="J418" s="4" t="s">
        <v>113</v>
      </c>
      <c r="K418" s="14" t="s">
        <v>113</v>
      </c>
    </row>
    <row r="419" spans="1:11" x14ac:dyDescent="0.2">
      <c r="A419" s="12"/>
      <c r="C419" s="4">
        <v>92562</v>
      </c>
      <c r="D419" s="4">
        <v>59</v>
      </c>
      <c r="E419" s="4">
        <v>1030744</v>
      </c>
      <c r="F419" s="4" t="s">
        <v>914</v>
      </c>
      <c r="G419" s="4" t="s">
        <v>103</v>
      </c>
      <c r="H419" s="4" t="s">
        <v>113</v>
      </c>
      <c r="I419" s="4" t="s">
        <v>113</v>
      </c>
      <c r="J419" s="4" t="s">
        <v>191</v>
      </c>
      <c r="K419" s="14" t="s">
        <v>191</v>
      </c>
    </row>
    <row r="420" spans="1:11" x14ac:dyDescent="0.2">
      <c r="A420" s="12"/>
      <c r="C420" s="4">
        <v>92557</v>
      </c>
      <c r="D420" s="4">
        <v>60</v>
      </c>
      <c r="E420" s="4" t="s">
        <v>1330</v>
      </c>
      <c r="F420" s="4" t="s">
        <v>914</v>
      </c>
      <c r="G420" s="4" t="s">
        <v>1176</v>
      </c>
      <c r="H420" s="4" t="s">
        <v>1176</v>
      </c>
      <c r="I420" s="4" t="s">
        <v>1176</v>
      </c>
      <c r="J420" s="4" t="s">
        <v>1176</v>
      </c>
      <c r="K420" s="14" t="s">
        <v>1176</v>
      </c>
    </row>
    <row r="421" spans="1:11" x14ac:dyDescent="0.2">
      <c r="A421" s="12"/>
      <c r="C421" s="4">
        <v>92311</v>
      </c>
      <c r="D421" s="4">
        <v>86</v>
      </c>
      <c r="E421" s="4">
        <v>10308227</v>
      </c>
      <c r="F421" s="4" t="s">
        <v>914</v>
      </c>
      <c r="G421" s="4" t="s">
        <v>113</v>
      </c>
      <c r="H421" s="4" t="s">
        <v>113</v>
      </c>
      <c r="I421" s="4" t="s">
        <v>113</v>
      </c>
      <c r="J421" s="4" t="s">
        <v>113</v>
      </c>
      <c r="K421" s="14" t="s">
        <v>113</v>
      </c>
    </row>
    <row r="422" spans="1:11" x14ac:dyDescent="0.2">
      <c r="A422" s="65"/>
      <c r="B422" s="59"/>
      <c r="C422" s="59">
        <v>93505</v>
      </c>
      <c r="D422" s="59">
        <v>120</v>
      </c>
      <c r="E422" s="59">
        <v>10043435</v>
      </c>
      <c r="F422" s="59" t="s">
        <v>914</v>
      </c>
      <c r="G422" s="59" t="s">
        <v>113</v>
      </c>
      <c r="H422" s="59" t="s">
        <v>113</v>
      </c>
      <c r="I422" s="59" t="s">
        <v>113</v>
      </c>
      <c r="J422" s="59" t="s">
        <v>113</v>
      </c>
      <c r="K422" s="66" t="s">
        <v>113</v>
      </c>
    </row>
    <row r="552" ht="14.25" customHeight="1" x14ac:dyDescent="0.2"/>
  </sheetData>
  <mergeCells count="12">
    <mergeCell ref="O18:P18"/>
    <mergeCell ref="O19:P19"/>
    <mergeCell ref="O20:P20"/>
    <mergeCell ref="O21:P21"/>
    <mergeCell ref="O16:P16"/>
    <mergeCell ref="O15:P15"/>
    <mergeCell ref="O14:P14"/>
    <mergeCell ref="O17:P17"/>
    <mergeCell ref="O12:Q12"/>
    <mergeCell ref="M1:W1"/>
    <mergeCell ref="O13:P13"/>
    <mergeCell ref="M8:X8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B02D-C191-4178-9875-2426A35B6253}">
  <dimension ref="A1:X600"/>
  <sheetViews>
    <sheetView workbookViewId="0">
      <selection activeCell="A2" sqref="A2:B496"/>
    </sheetView>
  </sheetViews>
  <sheetFormatPr baseColWidth="10" defaultColWidth="8.83203125" defaultRowHeight="15" x14ac:dyDescent="0.2"/>
  <cols>
    <col min="1" max="1" width="16.83203125" style="4" bestFit="1" customWidth="1"/>
    <col min="2" max="2" width="19.5" style="4" bestFit="1" customWidth="1"/>
    <col min="3" max="3" width="9.1640625" style="4"/>
    <col min="4" max="4" width="26.1640625" style="4" bestFit="1" customWidth="1"/>
    <col min="5" max="5" width="14.5" style="4" customWidth="1"/>
    <col min="6" max="6" width="25.83203125" style="4" bestFit="1" customWidth="1"/>
    <col min="7" max="8" width="28" style="4" customWidth="1"/>
    <col min="9" max="11" width="28" customWidth="1"/>
    <col min="12" max="12" width="18.5" customWidth="1"/>
    <col min="13" max="13" width="34.83203125" customWidth="1"/>
    <col min="14" max="14" width="14.6640625" customWidth="1"/>
    <col min="16" max="16" width="12.6640625" customWidth="1"/>
    <col min="17" max="17" width="16.33203125" customWidth="1"/>
    <col min="18" max="18" width="17.33203125" customWidth="1"/>
    <col min="19" max="19" width="13.6640625" customWidth="1"/>
    <col min="20" max="20" width="13.83203125" customWidth="1"/>
    <col min="21" max="21" width="18.5" customWidth="1"/>
    <col min="22" max="22" width="15" customWidth="1"/>
    <col min="24" max="24" width="17.1640625" customWidth="1"/>
  </cols>
  <sheetData>
    <row r="1" spans="1:24" ht="1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71" t="s">
        <v>11</v>
      </c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4" x14ac:dyDescent="0.2">
      <c r="A2"/>
      <c r="B2"/>
      <c r="C2">
        <v>93505</v>
      </c>
      <c r="D2">
        <v>113</v>
      </c>
      <c r="E2">
        <v>10043435</v>
      </c>
      <c r="F2" t="s">
        <v>914</v>
      </c>
      <c r="G2" t="s">
        <v>113</v>
      </c>
      <c r="H2" t="s">
        <v>113</v>
      </c>
      <c r="I2" t="s">
        <v>113</v>
      </c>
      <c r="J2" t="s">
        <v>113</v>
      </c>
      <c r="K2" t="s">
        <v>113</v>
      </c>
      <c r="M2" s="18"/>
      <c r="N2" s="18" t="s">
        <v>17</v>
      </c>
      <c r="O2" s="18" t="s">
        <v>18</v>
      </c>
      <c r="P2" s="18" t="s">
        <v>19</v>
      </c>
      <c r="Q2" s="18" t="s">
        <v>20</v>
      </c>
      <c r="R2" s="18" t="s">
        <v>21</v>
      </c>
      <c r="S2" s="18" t="s">
        <v>22</v>
      </c>
      <c r="T2" s="18" t="s">
        <v>23</v>
      </c>
      <c r="U2" s="18" t="s">
        <v>24</v>
      </c>
      <c r="V2" s="19" t="s">
        <v>25</v>
      </c>
      <c r="W2" s="20" t="s">
        <v>26</v>
      </c>
    </row>
    <row r="3" spans="1:24" x14ac:dyDescent="0.2">
      <c r="A3"/>
      <c r="B3"/>
      <c r="C3">
        <v>92011</v>
      </c>
      <c r="D3">
        <v>75</v>
      </c>
      <c r="E3">
        <v>10359175</v>
      </c>
      <c r="F3" t="s">
        <v>919</v>
      </c>
      <c r="G3" t="s">
        <v>202</v>
      </c>
      <c r="H3" t="s">
        <v>202</v>
      </c>
      <c r="I3" t="s">
        <v>113</v>
      </c>
      <c r="J3" t="s">
        <v>113</v>
      </c>
      <c r="K3" t="s">
        <v>202</v>
      </c>
      <c r="M3" s="10" t="s">
        <v>32</v>
      </c>
      <c r="N3" s="24" cm="1">
        <f t="array" ref="N3">SUM(COUNTIF($G:$K,{"H.*","I.*"}))/W10</f>
        <v>0.69272727272727275</v>
      </c>
      <c r="O3" s="21">
        <f>COUNTIF($G:$K,"E.*")/W10</f>
        <v>2.7272727272727271E-2</v>
      </c>
      <c r="P3" s="21" cm="1">
        <f t="array" ref="P3">SUM(COUNTIF($G:$K,{"J.*","K.*","L.*","M.*","N.*","O.*","P.*","Q.*","R.*","S.*","T.*","U.*","V.*","W.*"}))/W10</f>
        <v>7.5909090909090912E-2</v>
      </c>
      <c r="Q3" s="21">
        <f>COUNTIF($G:$K,"C.*")/W10</f>
        <v>2.409090909090909E-2</v>
      </c>
      <c r="R3" s="21">
        <f>COUNTIF($G:$K,"A.*")/W10</f>
        <v>3.272727272727273E-2</v>
      </c>
      <c r="S3" s="21">
        <v>0</v>
      </c>
      <c r="T3" s="21">
        <f>COUNTIF($G:$K,"B.*")/W10</f>
        <v>1.3636363636363637E-3</v>
      </c>
      <c r="U3" s="21">
        <f>COUNTIF($G:$K,"F.*")/W10</f>
        <v>8.545454545454545E-2</v>
      </c>
      <c r="V3" s="22">
        <f>COUNTIF($G:$K,"D.*")/W10</f>
        <v>6.0454545454545455E-2</v>
      </c>
      <c r="W3" s="21">
        <f>SUM(N3:V3)</f>
        <v>0.99999999999999989</v>
      </c>
    </row>
    <row r="4" spans="1:24" ht="16" x14ac:dyDescent="0.2">
      <c r="A4"/>
      <c r="B4"/>
      <c r="C4">
        <v>92395</v>
      </c>
      <c r="D4">
        <v>55</v>
      </c>
      <c r="E4">
        <v>10366437</v>
      </c>
      <c r="F4" t="s">
        <v>914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M4" s="29" t="s">
        <v>38</v>
      </c>
      <c r="N4" s="30" cm="1">
        <f t="array" ref="N4">SUM(_xlfn.BYCOL(G:K,_xlfn.LAMBDA(_xlpm.col,SUMIF(_xlpm.col,"H.*",D:D)+SUMIF(_xlpm.col,"I.*",D:D))))/N10</f>
        <v>14.027230971128608</v>
      </c>
      <c r="O4" s="31" cm="1">
        <f t="array" ref="O4">SUM(_xlfn.BYCOL(G:K,_xlfn.LAMBDA(_xlpm.col,SUMIF(_xlpm.col,"E.*",D:D))))/O10</f>
        <v>3.9</v>
      </c>
      <c r="P4" s="32" cm="1">
        <f t="array" ref="P4">SUM(_xlfn.BYCOL($G:$K,_xlfn.LAMBDA(_xlpm.col,SUMIF(_xlpm.col,"J.*",$D:$D)+SUMIF(_xlpm.col,"K.*",$D:$D)+SUMIF(_xlpm.col,"L.*",$D:$D)+SUMIF(_xlpm.col,"M.*",$D:$D)+SUMIF(_xlpm.col,"N.*",$D:$D)+SUMIF(_xlpm.col,"O.*",$D:$D)+SUMIF(_xlpm.col,"P.*",$D:$D)+SUMIF(_xlpm.col,"Q.*",$D:$D)+SUMIF(_xlpm.col,"R.*",$D:$D)+SUMIF(_xlpm.col,"S.*",$D:$D)+SUMIF(_xlpm.col,"T.*",$D:$D)+SUMIF(_xlpm.col,"U.*",$D:$D)+SUMIF(_xlpm.col,"V.*",$D:$D)+SUMIF(_xlpm.col,"W.*",$D:$D))))/$P10</f>
        <v>12.011976047904191</v>
      </c>
      <c r="Q4" s="32" cm="1">
        <f t="array" ref="Q4">SUM(_xlfn.BYCOL(G:K,_xlfn.LAMBDA(_xlpm.col,SUMIF(_xlpm.col,"C.*",D:D))))/Q10</f>
        <v>26.981132075471699</v>
      </c>
      <c r="R4" s="32" cm="1">
        <f t="array" ref="R4">SUM(_xlfn.BYCOL(G:K,_xlfn.LAMBDA(_xlpm.col,SUMIF(_xlpm.col,"A.*",D:D))))/R10</f>
        <v>19.465277777777779</v>
      </c>
      <c r="S4" s="32" t="s">
        <v>39</v>
      </c>
      <c r="T4" s="32" cm="1">
        <f t="array" ref="T4">SUM(_xlfn.BYCOL(G:K,_xlfn.LAMBDA(_xlpm.col,SUMIF(_xlpm.col,"B.*",D:D))))/T10</f>
        <v>3</v>
      </c>
      <c r="U4" s="32" t="s">
        <v>39</v>
      </c>
      <c r="V4" s="32" cm="1">
        <f t="array" ref="V4">SUM(_xlfn.BYCOL(G:K,_xlfn.LAMBDA(_xlpm.col,SUMIF(_xlpm.col,"D.*",D:D))))/V10</f>
        <v>0.94736842105263153</v>
      </c>
      <c r="W4" s="30">
        <f>AVERAGE(N4:V4)</f>
        <v>11.4761407561907</v>
      </c>
    </row>
    <row r="5" spans="1:24" x14ac:dyDescent="0.2">
      <c r="A5"/>
      <c r="B5"/>
      <c r="C5">
        <v>90274</v>
      </c>
      <c r="D5">
        <v>53</v>
      </c>
      <c r="E5">
        <v>10372605</v>
      </c>
      <c r="F5" t="s">
        <v>914</v>
      </c>
      <c r="G5" t="s">
        <v>74</v>
      </c>
      <c r="H5" t="s">
        <v>74</v>
      </c>
      <c r="I5" t="s">
        <v>74</v>
      </c>
      <c r="J5" t="s">
        <v>74</v>
      </c>
      <c r="K5" t="s">
        <v>74</v>
      </c>
      <c r="M5" s="33" t="s">
        <v>44</v>
      </c>
      <c r="N5" s="33"/>
      <c r="O5" s="33"/>
      <c r="P5" s="34" cm="1">
        <f t="array" ref="P5">SUM(_xlfn.BYCOL($G:$K,_xlfn.LAMBDA(_xlpm.col,SUMIF(_xlpm.col,"J.*",$D:$D)*2+SUMIF(_xlpm.col,"K.*",$D:$D)*3+SUMIF(_xlpm.col,"L.*",$D:$D)*4+SUMIF(_xlpm.col,"M.*",$D:$D)*5+SUMIF(_xlpm.col,"N.*",$D:$D)*6+SUMIF(_xlpm.col,"O.*",$D:$D)*7+SUMIF(_xlpm.col,"P.*",$D:$D)*8+SUMIF(_xlpm.col,"Q.*",$D:$D)*9+SUMIF(_xlpm.col,"R.*",$D:$D)*10+SUMIF(_xlpm.col,"S.*",$D:$D)*11+SUMIF(_xlpm.col,"T.*",$D:$D)*12+SUMIF(_xlpm.col,"U.*",$D:$D)*13+SUMIF(_xlpm.col,"V.*",$D:$D)*14+SUMIF(_xlpm.col,"W.*",$D:$D)*15)))/$P10</f>
        <v>27.988023952095809</v>
      </c>
      <c r="Q5" s="33"/>
      <c r="R5" s="33"/>
      <c r="S5" s="33"/>
      <c r="T5" s="33"/>
      <c r="U5" s="33"/>
      <c r="V5" s="33"/>
      <c r="W5" s="33"/>
    </row>
    <row r="6" spans="1:24" x14ac:dyDescent="0.2">
      <c r="A6"/>
      <c r="B6"/>
      <c r="C6">
        <v>92301</v>
      </c>
      <c r="D6">
        <v>53</v>
      </c>
      <c r="E6">
        <v>10193884</v>
      </c>
      <c r="F6" t="s">
        <v>914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M6" s="40" t="s">
        <v>47</v>
      </c>
      <c r="N6" s="40"/>
      <c r="O6" s="40"/>
      <c r="P6" s="41">
        <f>P5/P4</f>
        <v>2.3300099700897308</v>
      </c>
      <c r="Q6" s="40"/>
      <c r="R6" s="40"/>
      <c r="S6" s="40"/>
      <c r="T6" s="40"/>
      <c r="U6" s="40"/>
      <c r="V6" s="40"/>
      <c r="W6" s="40"/>
    </row>
    <row r="7" spans="1:24" x14ac:dyDescent="0.2">
      <c r="A7"/>
      <c r="B7"/>
      <c r="C7">
        <v>92574</v>
      </c>
      <c r="D7">
        <v>50</v>
      </c>
      <c r="E7">
        <v>10361201</v>
      </c>
      <c r="F7" t="s">
        <v>914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P7" s="35"/>
    </row>
    <row r="8" spans="1:24" x14ac:dyDescent="0.2">
      <c r="A8"/>
      <c r="B8"/>
      <c r="C8">
        <v>92325</v>
      </c>
      <c r="D8">
        <v>48</v>
      </c>
      <c r="E8">
        <v>10043721</v>
      </c>
      <c r="F8" t="s">
        <v>914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M8" s="72" t="s">
        <v>54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</row>
    <row r="9" spans="1:24" x14ac:dyDescent="0.2">
      <c r="A9"/>
      <c r="B9"/>
      <c r="C9">
        <v>92392</v>
      </c>
      <c r="D9">
        <v>47</v>
      </c>
      <c r="E9">
        <v>10366590</v>
      </c>
      <c r="F9" t="s">
        <v>914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M9" s="36"/>
      <c r="N9" s="36" t="s">
        <v>17</v>
      </c>
      <c r="O9" s="36" t="s">
        <v>18</v>
      </c>
      <c r="P9" s="36" t="s">
        <v>19</v>
      </c>
      <c r="Q9" s="36" t="s">
        <v>20</v>
      </c>
      <c r="R9" s="36" t="s">
        <v>21</v>
      </c>
      <c r="S9" s="36" t="s">
        <v>22</v>
      </c>
      <c r="T9" s="36" t="s">
        <v>23</v>
      </c>
      <c r="U9" s="36" t="s">
        <v>24</v>
      </c>
      <c r="V9" s="36" t="s">
        <v>25</v>
      </c>
      <c r="W9" s="37" t="s">
        <v>26</v>
      </c>
      <c r="X9" s="36" t="s">
        <v>59</v>
      </c>
    </row>
    <row r="10" spans="1:24" x14ac:dyDescent="0.2">
      <c r="A10"/>
      <c r="B10"/>
      <c r="C10">
        <v>91607</v>
      </c>
      <c r="D10">
        <v>47</v>
      </c>
      <c r="E10">
        <v>10023094</v>
      </c>
      <c r="F10" t="s">
        <v>914</v>
      </c>
      <c r="G10" t="s">
        <v>74</v>
      </c>
      <c r="H10" t="s">
        <v>74</v>
      </c>
      <c r="I10" t="s">
        <v>195</v>
      </c>
      <c r="J10" t="s">
        <v>195</v>
      </c>
      <c r="K10" t="s">
        <v>195</v>
      </c>
      <c r="M10" s="4" t="s">
        <v>63</v>
      </c>
      <c r="N10" s="4" cm="1">
        <f t="array" ref="N10">SUM(COUNTIF($G:$K,{"H.*","I.*"}))</f>
        <v>1524</v>
      </c>
      <c r="O10" s="4">
        <f>COUNTIF($G:$K,"E.*")</f>
        <v>60</v>
      </c>
      <c r="P10" s="4" cm="1">
        <f t="array" ref="P10">SUM(COUNTIF($G:$K,{"J.*","K.*","L.*","M.*","N.*","O.*","P.*","Q.*","R.*","S.*","T.*","U.*","V.*","W.*"}))</f>
        <v>167</v>
      </c>
      <c r="Q10" s="23">
        <f>COUNTIF($G:$K,"C.*")</f>
        <v>53</v>
      </c>
      <c r="R10" s="4">
        <f>COUNTIF($G:$K,"A.*")</f>
        <v>72</v>
      </c>
      <c r="S10" s="4">
        <v>0</v>
      </c>
      <c r="T10" s="4">
        <f>COUNTIF($G:$K,"B.*")</f>
        <v>3</v>
      </c>
      <c r="U10" s="4">
        <f>COUNTIF($G:$K,"F.*")</f>
        <v>188</v>
      </c>
      <c r="V10" s="4">
        <f>COUNTIF($G:$K,"D.*")</f>
        <v>133</v>
      </c>
      <c r="W10" s="14">
        <f>SUM(N10:V10)</f>
        <v>2200</v>
      </c>
      <c r="X10" s="4">
        <f>COUNTIFS($G2:$K1011,"&lt;&gt;",$G2:$K1011,"&lt;&gt;OFF.*",$G2:$K1011,"&lt;&gt;AA.*",$G2:$K1011,"&lt;&gt;BB.*",$G2:$K1011,"&lt;&gt;G.*",$G2:$K1011,"&lt;&gt;X.*",$G2:$K1011,"&lt;&gt;Y.*",$G2:$K1011,"&lt;&gt;Z.*",G2:K1011,"&lt;&gt;CC.*")</f>
        <v>2200</v>
      </c>
    </row>
    <row r="11" spans="1:24" x14ac:dyDescent="0.2">
      <c r="A11"/>
      <c r="B11"/>
      <c r="C11">
        <v>92407</v>
      </c>
      <c r="D11">
        <v>47</v>
      </c>
      <c r="E11">
        <v>10338974</v>
      </c>
      <c r="F11" t="s">
        <v>914</v>
      </c>
      <c r="G11" t="s">
        <v>113</v>
      </c>
      <c r="H11" t="s">
        <v>113</v>
      </c>
      <c r="I11" t="s">
        <v>113</v>
      </c>
      <c r="J11" t="s">
        <v>113</v>
      </c>
      <c r="K11" t="s">
        <v>202</v>
      </c>
    </row>
    <row r="12" spans="1:24" ht="16" x14ac:dyDescent="0.2">
      <c r="A12"/>
      <c r="B12"/>
      <c r="C12">
        <v>90250</v>
      </c>
      <c r="D12">
        <v>46</v>
      </c>
      <c r="E12">
        <v>10366658</v>
      </c>
      <c r="F12" t="s">
        <v>914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M12" s="38" t="s">
        <v>68</v>
      </c>
      <c r="O12" s="69" t="s">
        <v>69</v>
      </c>
      <c r="P12" s="73"/>
      <c r="Q12" s="70"/>
    </row>
    <row r="13" spans="1:24" ht="16" x14ac:dyDescent="0.2">
      <c r="A13"/>
      <c r="B13"/>
      <c r="C13">
        <v>90043</v>
      </c>
      <c r="D13">
        <v>45</v>
      </c>
      <c r="E13">
        <v>10351757</v>
      </c>
      <c r="F13" t="s">
        <v>914</v>
      </c>
      <c r="G13" t="s">
        <v>191</v>
      </c>
      <c r="H13" t="s">
        <v>191</v>
      </c>
      <c r="I13" t="s">
        <v>191</v>
      </c>
      <c r="J13" t="s">
        <v>191</v>
      </c>
      <c r="K13" t="s">
        <v>191</v>
      </c>
      <c r="M13" s="5" t="s">
        <v>74</v>
      </c>
      <c r="O13" s="74" t="s">
        <v>75</v>
      </c>
      <c r="P13" s="74"/>
      <c r="Q13" s="36" t="e">
        <f>2*W10/COUNTIFS(A:A,"&lt;&gt;",A:A,"&lt;&gt;FirstName")</f>
        <v>#DIV/0!</v>
      </c>
    </row>
    <row r="14" spans="1:24" ht="16" x14ac:dyDescent="0.2">
      <c r="A14"/>
      <c r="B14"/>
      <c r="C14">
        <v>92392</v>
      </c>
      <c r="D14">
        <v>45</v>
      </c>
      <c r="E14">
        <v>10188889</v>
      </c>
      <c r="F14" t="s">
        <v>914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M14" s="5" t="s">
        <v>81</v>
      </c>
      <c r="O14" s="72" t="s">
        <v>82</v>
      </c>
      <c r="P14" s="72"/>
      <c r="Q14" s="4">
        <v>762</v>
      </c>
    </row>
    <row r="15" spans="1:24" ht="16" x14ac:dyDescent="0.2">
      <c r="A15"/>
      <c r="B15"/>
      <c r="C15">
        <v>92405</v>
      </c>
      <c r="D15">
        <v>45</v>
      </c>
      <c r="E15">
        <v>10354791</v>
      </c>
      <c r="F15" t="s">
        <v>914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M15" s="5" t="s">
        <v>85</v>
      </c>
      <c r="O15" s="75" t="s">
        <v>86</v>
      </c>
      <c r="P15" s="75"/>
      <c r="Q15" s="59">
        <f>COUNTIFS(A:A,"&lt;&gt;",A:A,"&lt;&gt;FirstName")</f>
        <v>0</v>
      </c>
    </row>
    <row r="16" spans="1:24" ht="16" x14ac:dyDescent="0.2">
      <c r="A16"/>
      <c r="B16"/>
      <c r="C16">
        <v>92345</v>
      </c>
      <c r="D16">
        <v>43</v>
      </c>
      <c r="E16">
        <v>10226387</v>
      </c>
      <c r="F16" t="s">
        <v>914</v>
      </c>
      <c r="G16" t="s">
        <v>103</v>
      </c>
      <c r="H16" t="s">
        <v>113</v>
      </c>
      <c r="I16" t="s">
        <v>113</v>
      </c>
      <c r="J16" t="s">
        <v>113</v>
      </c>
      <c r="K16" t="s">
        <v>103</v>
      </c>
      <c r="M16" s="5" t="s">
        <v>92</v>
      </c>
      <c r="O16" s="72" t="s">
        <v>93</v>
      </c>
      <c r="P16" s="69"/>
      <c r="Q16" s="61">
        <f>Q15/Q14</f>
        <v>0</v>
      </c>
    </row>
    <row r="17" spans="1:17" ht="16" x14ac:dyDescent="0.2">
      <c r="A17"/>
      <c r="B17"/>
      <c r="C17">
        <v>90814</v>
      </c>
      <c r="D17">
        <v>43</v>
      </c>
      <c r="E17">
        <v>10310504</v>
      </c>
      <c r="F17" t="s">
        <v>914</v>
      </c>
      <c r="G17" t="s">
        <v>74</v>
      </c>
      <c r="H17" t="s">
        <v>74</v>
      </c>
      <c r="I17" t="s">
        <v>103</v>
      </c>
      <c r="J17" t="s">
        <v>103</v>
      </c>
      <c r="K17" t="s">
        <v>74</v>
      </c>
      <c r="M17" s="5" t="s">
        <v>98</v>
      </c>
      <c r="O17" s="77" t="s">
        <v>99</v>
      </c>
      <c r="P17" s="78"/>
      <c r="Q17" s="60">
        <v>49</v>
      </c>
    </row>
    <row r="18" spans="1:17" ht="16" x14ac:dyDescent="0.2">
      <c r="A18"/>
      <c r="B18"/>
      <c r="C18">
        <v>92646</v>
      </c>
      <c r="D18">
        <v>42</v>
      </c>
      <c r="E18">
        <v>10366439</v>
      </c>
      <c r="F18" t="s">
        <v>914</v>
      </c>
      <c r="G18" t="s">
        <v>74</v>
      </c>
      <c r="H18" t="s">
        <v>74</v>
      </c>
      <c r="I18" t="s">
        <v>74</v>
      </c>
      <c r="J18" t="s">
        <v>74</v>
      </c>
      <c r="K18" t="s">
        <v>74</v>
      </c>
      <c r="M18" s="5" t="s">
        <v>103</v>
      </c>
      <c r="O18" s="69" t="s">
        <v>104</v>
      </c>
      <c r="P18" s="70"/>
      <c r="Q18" s="4">
        <f>AVERAGE(D2:D1000)</f>
        <v>13.568432203389831</v>
      </c>
    </row>
    <row r="19" spans="1:17" ht="16" x14ac:dyDescent="0.2">
      <c r="A19"/>
      <c r="B19"/>
      <c r="C19">
        <v>92627</v>
      </c>
      <c r="D19">
        <v>41</v>
      </c>
      <c r="E19">
        <v>10361512</v>
      </c>
      <c r="F19" t="s">
        <v>914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M19" s="5" t="s">
        <v>108</v>
      </c>
      <c r="O19" s="69" t="s">
        <v>109</v>
      </c>
      <c r="P19" s="70"/>
      <c r="Q19" s="4">
        <f>MEDIAN(D2:D1000)</f>
        <v>9</v>
      </c>
    </row>
    <row r="20" spans="1:17" ht="16" x14ac:dyDescent="0.2">
      <c r="A20"/>
      <c r="B20"/>
      <c r="C20">
        <v>92397</v>
      </c>
      <c r="D20">
        <v>40</v>
      </c>
      <c r="E20">
        <v>10371896</v>
      </c>
      <c r="F20" t="s">
        <v>914</v>
      </c>
      <c r="G20" t="s">
        <v>103</v>
      </c>
      <c r="H20" t="s">
        <v>103</v>
      </c>
      <c r="I20" t="s">
        <v>113</v>
      </c>
      <c r="J20" t="s">
        <v>113</v>
      </c>
      <c r="K20" t="s">
        <v>113</v>
      </c>
      <c r="M20" s="5" t="s">
        <v>113</v>
      </c>
      <c r="O20" s="69" t="s">
        <v>114</v>
      </c>
      <c r="P20" s="70"/>
      <c r="Q20" s="4">
        <f>SUM(D2:D1000)</f>
        <v>6404.3</v>
      </c>
    </row>
    <row r="21" spans="1:17" ht="16" x14ac:dyDescent="0.2">
      <c r="A21"/>
      <c r="B21"/>
      <c r="C21">
        <v>91711</v>
      </c>
      <c r="D21">
        <v>40</v>
      </c>
      <c r="E21">
        <v>10366133</v>
      </c>
      <c r="F21" t="s">
        <v>914</v>
      </c>
      <c r="G21" t="s">
        <v>103</v>
      </c>
      <c r="H21" t="s">
        <v>113</v>
      </c>
      <c r="I21" t="s">
        <v>113</v>
      </c>
      <c r="J21" t="s">
        <v>113</v>
      </c>
      <c r="K21" t="s">
        <v>103</v>
      </c>
      <c r="M21" s="5" t="s">
        <v>118</v>
      </c>
      <c r="O21" s="69" t="s">
        <v>119</v>
      </c>
      <c r="P21" s="70"/>
      <c r="Q21" s="61" t="e">
        <f>COUNTIF(D:D,"&lt;=5")/Q15</f>
        <v>#DIV/0!</v>
      </c>
    </row>
    <row r="22" spans="1:17" ht="16" x14ac:dyDescent="0.2">
      <c r="A22"/>
      <c r="B22"/>
      <c r="C22">
        <v>92610</v>
      </c>
      <c r="D22">
        <v>40</v>
      </c>
      <c r="E22">
        <v>10371836</v>
      </c>
      <c r="F22" t="s">
        <v>914</v>
      </c>
      <c r="G22" t="s">
        <v>202</v>
      </c>
      <c r="H22" t="s">
        <v>113</v>
      </c>
      <c r="I22" t="s">
        <v>202</v>
      </c>
      <c r="J22" t="s">
        <v>113</v>
      </c>
      <c r="K22" t="s">
        <v>202</v>
      </c>
      <c r="M22" s="5" t="s">
        <v>933</v>
      </c>
    </row>
    <row r="23" spans="1:17" ht="16" x14ac:dyDescent="0.2">
      <c r="A23"/>
      <c r="B23"/>
      <c r="C23">
        <v>92504</v>
      </c>
      <c r="D23">
        <v>40</v>
      </c>
      <c r="E23">
        <v>10368508</v>
      </c>
      <c r="F23" t="s">
        <v>914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M23" s="5" t="s">
        <v>1016</v>
      </c>
    </row>
    <row r="24" spans="1:17" ht="16" x14ac:dyDescent="0.2">
      <c r="A24"/>
      <c r="B24"/>
      <c r="C24">
        <v>92316</v>
      </c>
      <c r="D24">
        <v>40</v>
      </c>
      <c r="E24">
        <v>10366753</v>
      </c>
      <c r="F24" t="s">
        <v>914</v>
      </c>
      <c r="G24" t="s">
        <v>113</v>
      </c>
      <c r="H24" t="s">
        <v>113</v>
      </c>
      <c r="I24" t="s">
        <v>113</v>
      </c>
      <c r="J24" t="s">
        <v>113</v>
      </c>
      <c r="K24" t="s">
        <v>202</v>
      </c>
      <c r="M24" s="5" t="s">
        <v>1176</v>
      </c>
    </row>
    <row r="25" spans="1:17" ht="16" x14ac:dyDescent="0.2">
      <c r="A25"/>
      <c r="B25"/>
      <c r="C25">
        <v>90033</v>
      </c>
      <c r="D25">
        <v>39</v>
      </c>
      <c r="E25">
        <v>10366817</v>
      </c>
      <c r="F25" t="s">
        <v>914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M25" s="5" t="s">
        <v>1332</v>
      </c>
    </row>
    <row r="26" spans="1:17" ht="16" x14ac:dyDescent="0.2">
      <c r="A26"/>
      <c r="B26"/>
      <c r="C26">
        <v>92373</v>
      </c>
      <c r="D26">
        <v>36</v>
      </c>
      <c r="E26">
        <v>10298169</v>
      </c>
      <c r="F26" t="s">
        <v>914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M26" s="5" t="s">
        <v>1333</v>
      </c>
    </row>
    <row r="27" spans="1:17" ht="16" x14ac:dyDescent="0.2">
      <c r="A27"/>
      <c r="B27"/>
      <c r="C27">
        <v>92405</v>
      </c>
      <c r="D27">
        <v>35</v>
      </c>
      <c r="E27">
        <v>10230725</v>
      </c>
      <c r="F27" t="s">
        <v>914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M27" s="5" t="s">
        <v>1334</v>
      </c>
    </row>
    <row r="28" spans="1:17" ht="16" x14ac:dyDescent="0.2">
      <c r="A28"/>
      <c r="B28"/>
      <c r="C28">
        <v>92374</v>
      </c>
      <c r="D28">
        <v>35</v>
      </c>
      <c r="E28">
        <v>10370050</v>
      </c>
      <c r="F28" t="s">
        <v>914</v>
      </c>
      <c r="G28" t="s">
        <v>113</v>
      </c>
      <c r="H28" t="s">
        <v>113</v>
      </c>
      <c r="I28" t="s">
        <v>113</v>
      </c>
      <c r="J28" t="s">
        <v>113</v>
      </c>
      <c r="K28" t="s">
        <v>103</v>
      </c>
      <c r="M28" s="5" t="s">
        <v>1335</v>
      </c>
    </row>
    <row r="29" spans="1:17" ht="16" x14ac:dyDescent="0.2">
      <c r="A29"/>
      <c r="B29"/>
      <c r="C29">
        <v>91801</v>
      </c>
      <c r="D29">
        <v>35</v>
      </c>
      <c r="E29">
        <v>10349257</v>
      </c>
      <c r="F29" t="s">
        <v>914</v>
      </c>
      <c r="G29" t="s">
        <v>113</v>
      </c>
      <c r="H29" t="s">
        <v>113</v>
      </c>
      <c r="I29" t="s">
        <v>113</v>
      </c>
      <c r="J29" t="s">
        <v>113</v>
      </c>
      <c r="K29" t="s">
        <v>103</v>
      </c>
      <c r="M29" s="5" t="s">
        <v>1336</v>
      </c>
    </row>
    <row r="30" spans="1:17" ht="16" x14ac:dyDescent="0.2">
      <c r="A30"/>
      <c r="B30"/>
      <c r="C30">
        <v>91001</v>
      </c>
      <c r="D30">
        <v>35</v>
      </c>
      <c r="E30">
        <v>10366423</v>
      </c>
      <c r="F30" t="s">
        <v>914</v>
      </c>
      <c r="G30" t="s">
        <v>74</v>
      </c>
      <c r="H30" t="s">
        <v>74</v>
      </c>
      <c r="I30" t="s">
        <v>74</v>
      </c>
      <c r="J30" t="s">
        <v>103</v>
      </c>
      <c r="K30" t="s">
        <v>74</v>
      </c>
      <c r="M30" s="5" t="s">
        <v>1337</v>
      </c>
    </row>
    <row r="31" spans="1:17" ht="16" x14ac:dyDescent="0.2">
      <c r="A31"/>
      <c r="B31"/>
      <c r="C31">
        <v>90065</v>
      </c>
      <c r="D31">
        <v>35</v>
      </c>
      <c r="E31">
        <v>10240226</v>
      </c>
      <c r="F31" t="s">
        <v>914</v>
      </c>
      <c r="G31" t="s">
        <v>103</v>
      </c>
      <c r="H31" t="s">
        <v>103</v>
      </c>
      <c r="I31" t="s">
        <v>103</v>
      </c>
      <c r="J31" t="s">
        <v>103</v>
      </c>
      <c r="K31" t="s">
        <v>103</v>
      </c>
      <c r="M31" s="5" t="s">
        <v>1338</v>
      </c>
    </row>
    <row r="32" spans="1:17" ht="16" x14ac:dyDescent="0.2">
      <c r="A32"/>
      <c r="B32"/>
      <c r="C32">
        <v>92557</v>
      </c>
      <c r="D32">
        <v>35</v>
      </c>
      <c r="E32">
        <v>10350684</v>
      </c>
      <c r="F32" t="s">
        <v>914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M32" s="5" t="s">
        <v>1175</v>
      </c>
    </row>
    <row r="33" spans="1:13" ht="16" x14ac:dyDescent="0.2">
      <c r="A33"/>
      <c r="B33"/>
      <c r="C33">
        <v>91762</v>
      </c>
      <c r="D33">
        <v>35</v>
      </c>
      <c r="E33">
        <v>10370216</v>
      </c>
      <c r="F33" t="s">
        <v>914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M33" s="5" t="s">
        <v>1339</v>
      </c>
    </row>
    <row r="34" spans="1:13" ht="16" x14ac:dyDescent="0.2">
      <c r="A34"/>
      <c r="B34"/>
      <c r="C34">
        <v>92374</v>
      </c>
      <c r="D34">
        <v>35</v>
      </c>
      <c r="E34">
        <v>10141237</v>
      </c>
      <c r="F34" t="s">
        <v>914</v>
      </c>
      <c r="G34" t="s">
        <v>85</v>
      </c>
      <c r="H34" t="s">
        <v>103</v>
      </c>
      <c r="I34" t="s">
        <v>85</v>
      </c>
      <c r="J34" t="s">
        <v>85</v>
      </c>
      <c r="K34" t="s">
        <v>85</v>
      </c>
      <c r="M34" s="5" t="s">
        <v>1340</v>
      </c>
    </row>
    <row r="35" spans="1:13" ht="16" x14ac:dyDescent="0.2">
      <c r="A35"/>
      <c r="B35"/>
      <c r="C35">
        <v>91754</v>
      </c>
      <c r="D35">
        <v>35</v>
      </c>
      <c r="E35">
        <v>113689</v>
      </c>
      <c r="F35" t="s">
        <v>914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M35" s="5" t="s">
        <v>1341</v>
      </c>
    </row>
    <row r="36" spans="1:13" ht="16" x14ac:dyDescent="0.2">
      <c r="A36"/>
      <c r="B36"/>
      <c r="C36">
        <v>92553</v>
      </c>
      <c r="D36">
        <v>35</v>
      </c>
      <c r="E36">
        <v>10355978</v>
      </c>
      <c r="F36" t="s">
        <v>914</v>
      </c>
      <c r="G36" t="s">
        <v>113</v>
      </c>
      <c r="H36" t="s">
        <v>113</v>
      </c>
      <c r="I36" t="s">
        <v>113</v>
      </c>
      <c r="J36" t="s">
        <v>103</v>
      </c>
      <c r="K36" t="s">
        <v>113</v>
      </c>
      <c r="M36" s="5" t="s">
        <v>179</v>
      </c>
    </row>
    <row r="37" spans="1:13" ht="16" x14ac:dyDescent="0.2">
      <c r="A37"/>
      <c r="B37"/>
      <c r="C37">
        <v>92553</v>
      </c>
      <c r="D37">
        <v>34</v>
      </c>
      <c r="E37">
        <v>10352904</v>
      </c>
      <c r="F37" t="s">
        <v>914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M37" s="5" t="s">
        <v>183</v>
      </c>
    </row>
    <row r="38" spans="1:13" ht="16" x14ac:dyDescent="0.2">
      <c r="A38"/>
      <c r="B38"/>
      <c r="C38">
        <v>92346</v>
      </c>
      <c r="D38">
        <v>34</v>
      </c>
      <c r="E38">
        <v>10163323</v>
      </c>
      <c r="F38" t="s">
        <v>914</v>
      </c>
      <c r="G38" t="s">
        <v>113</v>
      </c>
      <c r="H38" t="s">
        <v>113</v>
      </c>
      <c r="I38" t="s">
        <v>113</v>
      </c>
      <c r="J38" t="s">
        <v>195</v>
      </c>
      <c r="K38" t="s">
        <v>113</v>
      </c>
      <c r="M38" s="5" t="s">
        <v>187</v>
      </c>
    </row>
    <row r="39" spans="1:13" ht="16" x14ac:dyDescent="0.2">
      <c r="A39"/>
      <c r="B39"/>
      <c r="C39">
        <v>90065</v>
      </c>
      <c r="D39">
        <v>34</v>
      </c>
      <c r="E39">
        <v>10371899</v>
      </c>
      <c r="F39" t="s">
        <v>914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M39" s="5" t="s">
        <v>191</v>
      </c>
    </row>
    <row r="40" spans="1:13" ht="16" x14ac:dyDescent="0.2">
      <c r="A40"/>
      <c r="B40"/>
      <c r="C40">
        <v>90029</v>
      </c>
      <c r="D40">
        <v>34</v>
      </c>
      <c r="E40">
        <v>10370860</v>
      </c>
      <c r="F40" t="s">
        <v>919</v>
      </c>
      <c r="G40" t="s">
        <v>103</v>
      </c>
      <c r="H40" t="s">
        <v>103</v>
      </c>
      <c r="I40" t="s">
        <v>103</v>
      </c>
      <c r="J40" t="s">
        <v>113</v>
      </c>
      <c r="K40" t="s">
        <v>113</v>
      </c>
      <c r="M40" s="5" t="s">
        <v>195</v>
      </c>
    </row>
    <row r="41" spans="1:13" ht="16" x14ac:dyDescent="0.2">
      <c r="A41"/>
      <c r="B41"/>
      <c r="C41">
        <v>92706</v>
      </c>
      <c r="D41">
        <v>33</v>
      </c>
      <c r="E41">
        <v>10031137</v>
      </c>
      <c r="F41" t="s">
        <v>914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M41" s="5" t="s">
        <v>199</v>
      </c>
    </row>
    <row r="42" spans="1:13" ht="16" x14ac:dyDescent="0.2">
      <c r="A42"/>
      <c r="B42"/>
      <c r="C42">
        <v>90242</v>
      </c>
      <c r="D42">
        <v>33</v>
      </c>
      <c r="E42">
        <v>10240152</v>
      </c>
      <c r="F42" t="s">
        <v>914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M42" s="6" t="s">
        <v>202</v>
      </c>
    </row>
    <row r="43" spans="1:13" x14ac:dyDescent="0.2">
      <c r="A43"/>
      <c r="B43"/>
      <c r="C43">
        <v>92373</v>
      </c>
      <c r="D43">
        <v>33</v>
      </c>
      <c r="E43">
        <v>10346405</v>
      </c>
      <c r="F43" t="s">
        <v>914</v>
      </c>
      <c r="G43" t="s">
        <v>103</v>
      </c>
      <c r="H43" t="s">
        <v>85</v>
      </c>
      <c r="I43" t="s">
        <v>85</v>
      </c>
      <c r="J43" t="s">
        <v>85</v>
      </c>
      <c r="K43" t="s">
        <v>103</v>
      </c>
    </row>
    <row r="44" spans="1:13" x14ac:dyDescent="0.2">
      <c r="A44"/>
      <c r="B44"/>
      <c r="C44">
        <v>90623</v>
      </c>
      <c r="D44">
        <v>33</v>
      </c>
      <c r="E44">
        <v>10370877</v>
      </c>
      <c r="F44" t="s">
        <v>914</v>
      </c>
      <c r="G44" t="s">
        <v>113</v>
      </c>
      <c r="H44" t="s">
        <v>113</v>
      </c>
      <c r="I44" t="s">
        <v>113</v>
      </c>
      <c r="J44" t="s">
        <v>103</v>
      </c>
      <c r="K44" t="s">
        <v>103</v>
      </c>
    </row>
    <row r="45" spans="1:13" x14ac:dyDescent="0.2">
      <c r="A45"/>
      <c r="B45"/>
      <c r="C45">
        <v>90015</v>
      </c>
      <c r="D45">
        <v>33</v>
      </c>
      <c r="E45">
        <v>10203302</v>
      </c>
      <c r="F45" t="s">
        <v>914</v>
      </c>
      <c r="G45" t="s">
        <v>85</v>
      </c>
      <c r="H45" t="s">
        <v>113</v>
      </c>
      <c r="I45" t="s">
        <v>113</v>
      </c>
      <c r="J45" t="s">
        <v>113</v>
      </c>
      <c r="K45" t="s">
        <v>113</v>
      </c>
    </row>
    <row r="46" spans="1:13" x14ac:dyDescent="0.2">
      <c r="A46"/>
      <c r="B46"/>
      <c r="C46">
        <v>92335</v>
      </c>
      <c r="D46">
        <v>32</v>
      </c>
      <c r="E46">
        <v>100297</v>
      </c>
      <c r="F46" t="s">
        <v>914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</row>
    <row r="47" spans="1:13" x14ac:dyDescent="0.2">
      <c r="A47"/>
      <c r="B47"/>
      <c r="C47">
        <v>92506</v>
      </c>
      <c r="D47">
        <v>32</v>
      </c>
      <c r="E47">
        <v>10366592</v>
      </c>
      <c r="F47" t="s">
        <v>914</v>
      </c>
      <c r="G47" t="s">
        <v>113</v>
      </c>
      <c r="H47" t="s">
        <v>103</v>
      </c>
      <c r="I47" t="s">
        <v>113</v>
      </c>
      <c r="J47" t="s">
        <v>103</v>
      </c>
      <c r="K47" t="s">
        <v>113</v>
      </c>
    </row>
    <row r="48" spans="1:13" x14ac:dyDescent="0.2">
      <c r="A48"/>
      <c r="B48"/>
      <c r="C48">
        <v>91030</v>
      </c>
      <c r="D48">
        <v>31</v>
      </c>
      <c r="E48">
        <v>10370301</v>
      </c>
      <c r="F48" t="s">
        <v>914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</row>
    <row r="49" spans="1:11" x14ac:dyDescent="0.2">
      <c r="A49"/>
      <c r="B49"/>
      <c r="C49">
        <v>90042</v>
      </c>
      <c r="D49">
        <v>31</v>
      </c>
      <c r="E49">
        <v>10370348</v>
      </c>
      <c r="F49" t="s">
        <v>914</v>
      </c>
      <c r="G49" t="s">
        <v>933</v>
      </c>
      <c r="H49" t="s">
        <v>933</v>
      </c>
      <c r="I49" t="s">
        <v>933</v>
      </c>
      <c r="J49" t="s">
        <v>933</v>
      </c>
      <c r="K49" t="s">
        <v>933</v>
      </c>
    </row>
    <row r="50" spans="1:11" x14ac:dyDescent="0.2">
      <c r="A50"/>
      <c r="B50"/>
      <c r="C50">
        <v>90065</v>
      </c>
      <c r="D50">
        <v>30</v>
      </c>
      <c r="E50">
        <v>10366519</v>
      </c>
      <c r="F50" t="s">
        <v>914</v>
      </c>
      <c r="G50" t="s">
        <v>933</v>
      </c>
      <c r="H50" t="s">
        <v>933</v>
      </c>
      <c r="I50" t="s">
        <v>933</v>
      </c>
      <c r="J50" t="s">
        <v>113</v>
      </c>
      <c r="K50" t="s">
        <v>933</v>
      </c>
    </row>
    <row r="51" spans="1:11" x14ac:dyDescent="0.2">
      <c r="A51"/>
      <c r="B51"/>
      <c r="C51">
        <v>92507</v>
      </c>
      <c r="D51">
        <v>30</v>
      </c>
      <c r="E51">
        <v>10366723</v>
      </c>
      <c r="F51" t="s">
        <v>914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</row>
    <row r="52" spans="1:11" x14ac:dyDescent="0.2">
      <c r="A52"/>
      <c r="B52"/>
      <c r="C52">
        <v>92324</v>
      </c>
      <c r="D52">
        <v>30</v>
      </c>
      <c r="E52">
        <v>10364835</v>
      </c>
      <c r="F52" t="s">
        <v>914</v>
      </c>
      <c r="G52" t="s">
        <v>103</v>
      </c>
      <c r="H52" t="s">
        <v>85</v>
      </c>
      <c r="I52" t="s">
        <v>103</v>
      </c>
      <c r="J52" t="s">
        <v>113</v>
      </c>
      <c r="K52" t="s">
        <v>85</v>
      </c>
    </row>
    <row r="53" spans="1:11" x14ac:dyDescent="0.2">
      <c r="A53"/>
      <c r="B53"/>
      <c r="C53">
        <v>92376</v>
      </c>
      <c r="D53">
        <v>30</v>
      </c>
      <c r="E53">
        <v>106484</v>
      </c>
      <c r="F53" t="s">
        <v>914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</row>
    <row r="54" spans="1:11" x14ac:dyDescent="0.2">
      <c r="A54"/>
      <c r="B54"/>
      <c r="C54">
        <v>92503</v>
      </c>
      <c r="D54">
        <v>30</v>
      </c>
      <c r="E54">
        <v>10043047</v>
      </c>
      <c r="F54" t="s">
        <v>914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</row>
    <row r="55" spans="1:11" x14ac:dyDescent="0.2">
      <c r="A55"/>
      <c r="B55"/>
      <c r="C55">
        <v>92335</v>
      </c>
      <c r="D55">
        <v>30</v>
      </c>
      <c r="E55">
        <v>10042928</v>
      </c>
      <c r="F55" t="s">
        <v>914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</row>
    <row r="56" spans="1:11" x14ac:dyDescent="0.2">
      <c r="A56"/>
      <c r="B56"/>
      <c r="C56">
        <v>92509</v>
      </c>
      <c r="D56">
        <v>30</v>
      </c>
      <c r="E56">
        <v>10368531</v>
      </c>
      <c r="F56" t="s">
        <v>914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</row>
    <row r="57" spans="1:11" x14ac:dyDescent="0.2">
      <c r="A57"/>
      <c r="B57"/>
      <c r="C57">
        <v>92335</v>
      </c>
      <c r="D57">
        <v>30</v>
      </c>
      <c r="E57">
        <v>10254405</v>
      </c>
      <c r="F57" t="s">
        <v>914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</row>
    <row r="58" spans="1:11" x14ac:dyDescent="0.2">
      <c r="A58"/>
      <c r="B58"/>
      <c r="C58">
        <v>92346</v>
      </c>
      <c r="D58">
        <v>30</v>
      </c>
      <c r="E58">
        <v>10366601</v>
      </c>
      <c r="F58" t="s">
        <v>914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</row>
    <row r="59" spans="1:11" x14ac:dyDescent="0.2">
      <c r="A59"/>
      <c r="B59"/>
      <c r="C59">
        <v>91001</v>
      </c>
      <c r="D59">
        <v>30</v>
      </c>
      <c r="E59">
        <v>10363272</v>
      </c>
      <c r="F59" t="s">
        <v>914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</row>
    <row r="60" spans="1:11" x14ac:dyDescent="0.2">
      <c r="A60"/>
      <c r="B60"/>
      <c r="C60">
        <v>90012</v>
      </c>
      <c r="D60">
        <v>30</v>
      </c>
      <c r="E60">
        <v>10340122</v>
      </c>
      <c r="F60" t="s">
        <v>914</v>
      </c>
      <c r="G60" t="s">
        <v>103</v>
      </c>
      <c r="H60" t="s">
        <v>113</v>
      </c>
      <c r="I60" t="s">
        <v>113</v>
      </c>
      <c r="J60" t="s">
        <v>113</v>
      </c>
      <c r="K60" t="s">
        <v>103</v>
      </c>
    </row>
    <row r="61" spans="1:11" x14ac:dyDescent="0.2">
      <c r="A61"/>
      <c r="B61"/>
      <c r="C61">
        <v>91701</v>
      </c>
      <c r="D61">
        <v>30</v>
      </c>
      <c r="E61">
        <v>10284832</v>
      </c>
      <c r="F61" t="s">
        <v>914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</row>
    <row r="62" spans="1:11" x14ac:dyDescent="0.2">
      <c r="A62"/>
      <c r="B62"/>
      <c r="C62">
        <v>92506</v>
      </c>
      <c r="D62">
        <v>30</v>
      </c>
      <c r="E62">
        <v>10358351</v>
      </c>
      <c r="F62" t="s">
        <v>914</v>
      </c>
      <c r="G62" t="s">
        <v>933</v>
      </c>
      <c r="H62" t="s">
        <v>933</v>
      </c>
      <c r="I62" t="s">
        <v>933</v>
      </c>
      <c r="J62" t="s">
        <v>933</v>
      </c>
      <c r="K62" t="s">
        <v>103</v>
      </c>
    </row>
    <row r="63" spans="1:11" x14ac:dyDescent="0.2">
      <c r="A63"/>
      <c r="B63"/>
      <c r="C63">
        <v>90302</v>
      </c>
      <c r="D63">
        <v>30</v>
      </c>
      <c r="E63">
        <v>10358370</v>
      </c>
      <c r="F63" t="s">
        <v>914</v>
      </c>
      <c r="G63" t="s">
        <v>113</v>
      </c>
      <c r="H63" t="s">
        <v>113</v>
      </c>
      <c r="I63" t="s">
        <v>113</v>
      </c>
      <c r="J63" t="s">
        <v>113</v>
      </c>
      <c r="K63" t="s">
        <v>113</v>
      </c>
    </row>
    <row r="64" spans="1:11" x14ac:dyDescent="0.2">
      <c r="A64"/>
      <c r="B64"/>
      <c r="C64">
        <v>92807</v>
      </c>
      <c r="D64">
        <v>30</v>
      </c>
      <c r="E64">
        <v>10299552</v>
      </c>
      <c r="F64" t="s">
        <v>914</v>
      </c>
      <c r="G64" t="s">
        <v>113</v>
      </c>
      <c r="H64" t="s">
        <v>113</v>
      </c>
      <c r="I64" t="s">
        <v>113</v>
      </c>
      <c r="J64" t="s">
        <v>113</v>
      </c>
      <c r="K64" t="s">
        <v>113</v>
      </c>
    </row>
    <row r="65" spans="1:11" x14ac:dyDescent="0.2">
      <c r="A65"/>
      <c r="B65"/>
      <c r="C65">
        <v>92404</v>
      </c>
      <c r="D65">
        <v>30</v>
      </c>
      <c r="E65">
        <v>10368864</v>
      </c>
      <c r="F65" t="s">
        <v>914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</row>
    <row r="66" spans="1:11" x14ac:dyDescent="0.2">
      <c r="A66"/>
      <c r="B66"/>
      <c r="C66">
        <v>92407</v>
      </c>
      <c r="D66">
        <v>30</v>
      </c>
      <c r="E66">
        <v>10360807</v>
      </c>
      <c r="F66" t="s">
        <v>914</v>
      </c>
      <c r="G66" t="s">
        <v>113</v>
      </c>
      <c r="H66" t="s">
        <v>113</v>
      </c>
      <c r="I66" t="s">
        <v>113</v>
      </c>
      <c r="J66" t="s">
        <v>113</v>
      </c>
      <c r="K66" t="s">
        <v>113</v>
      </c>
    </row>
    <row r="67" spans="1:11" x14ac:dyDescent="0.2">
      <c r="A67"/>
      <c r="B67"/>
      <c r="C67">
        <v>92505</v>
      </c>
      <c r="D67">
        <v>30</v>
      </c>
      <c r="E67">
        <v>10361467</v>
      </c>
      <c r="F67" t="s">
        <v>914</v>
      </c>
      <c r="G67" t="s">
        <v>103</v>
      </c>
      <c r="H67" t="s">
        <v>113</v>
      </c>
      <c r="I67" t="s">
        <v>113</v>
      </c>
      <c r="J67" t="s">
        <v>113</v>
      </c>
      <c r="K67" t="s">
        <v>103</v>
      </c>
    </row>
    <row r="68" spans="1:11" x14ac:dyDescent="0.2">
      <c r="A68"/>
      <c r="B68"/>
      <c r="C68">
        <v>92407</v>
      </c>
      <c r="D68">
        <v>30</v>
      </c>
      <c r="E68">
        <v>10353321</v>
      </c>
      <c r="F68" t="s">
        <v>919</v>
      </c>
      <c r="G68" t="s">
        <v>202</v>
      </c>
      <c r="H68" t="s">
        <v>202</v>
      </c>
      <c r="I68" t="s">
        <v>202</v>
      </c>
      <c r="J68" t="s">
        <v>202</v>
      </c>
      <c r="K68" t="s">
        <v>202</v>
      </c>
    </row>
    <row r="69" spans="1:11" x14ac:dyDescent="0.2">
      <c r="A69"/>
      <c r="B69"/>
      <c r="C69">
        <v>92868</v>
      </c>
      <c r="D69">
        <v>30</v>
      </c>
      <c r="E69">
        <v>103702951</v>
      </c>
      <c r="F69" t="s">
        <v>919</v>
      </c>
      <c r="G69" t="s">
        <v>113</v>
      </c>
      <c r="H69" t="s">
        <v>113</v>
      </c>
      <c r="I69" t="s">
        <v>113</v>
      </c>
      <c r="J69" t="s">
        <v>113</v>
      </c>
      <c r="K69" t="s">
        <v>113</v>
      </c>
    </row>
    <row r="70" spans="1:11" x14ac:dyDescent="0.2">
      <c r="A70"/>
      <c r="B70"/>
      <c r="C70">
        <v>92886</v>
      </c>
      <c r="D70">
        <v>29</v>
      </c>
      <c r="E70">
        <v>101008</v>
      </c>
      <c r="F70" t="s">
        <v>914</v>
      </c>
      <c r="G70" t="s">
        <v>113</v>
      </c>
      <c r="H70" t="s">
        <v>113</v>
      </c>
      <c r="I70" t="s">
        <v>113</v>
      </c>
      <c r="J70" t="s">
        <v>103</v>
      </c>
      <c r="K70" t="s">
        <v>103</v>
      </c>
    </row>
    <row r="71" spans="1:11" x14ac:dyDescent="0.2">
      <c r="A71"/>
      <c r="B71"/>
      <c r="C71">
        <v>91105</v>
      </c>
      <c r="D71">
        <v>29</v>
      </c>
      <c r="E71">
        <v>10144513</v>
      </c>
      <c r="F71" t="s">
        <v>914</v>
      </c>
      <c r="G71" t="s">
        <v>191</v>
      </c>
      <c r="H71" t="s">
        <v>191</v>
      </c>
      <c r="I71" t="s">
        <v>113</v>
      </c>
      <c r="J71" t="s">
        <v>113</v>
      </c>
      <c r="K71" t="s">
        <v>113</v>
      </c>
    </row>
    <row r="72" spans="1:11" x14ac:dyDescent="0.2">
      <c r="A72"/>
      <c r="B72"/>
      <c r="C72">
        <v>90424</v>
      </c>
      <c r="D72">
        <v>29</v>
      </c>
      <c r="E72">
        <v>10353600</v>
      </c>
      <c r="F72" t="s">
        <v>914</v>
      </c>
      <c r="G72" t="s">
        <v>103</v>
      </c>
      <c r="H72" t="s">
        <v>103</v>
      </c>
      <c r="I72" t="s">
        <v>103</v>
      </c>
      <c r="J72" t="s">
        <v>103</v>
      </c>
      <c r="K72" t="s">
        <v>103</v>
      </c>
    </row>
    <row r="73" spans="1:11" x14ac:dyDescent="0.2">
      <c r="A73"/>
      <c r="B73"/>
      <c r="C73">
        <v>91103</v>
      </c>
      <c r="D73">
        <v>28</v>
      </c>
      <c r="E73">
        <v>10355944</v>
      </c>
      <c r="F73" t="s">
        <v>914</v>
      </c>
      <c r="G73" t="s">
        <v>103</v>
      </c>
      <c r="H73" t="s">
        <v>103</v>
      </c>
      <c r="I73" t="s">
        <v>113</v>
      </c>
      <c r="J73" t="s">
        <v>195</v>
      </c>
      <c r="K73" t="s">
        <v>113</v>
      </c>
    </row>
    <row r="74" spans="1:11" x14ac:dyDescent="0.2">
      <c r="A74"/>
      <c r="B74"/>
      <c r="C74">
        <v>91001</v>
      </c>
      <c r="D74">
        <v>28</v>
      </c>
      <c r="E74">
        <v>10370379</v>
      </c>
      <c r="F74" t="s">
        <v>914</v>
      </c>
      <c r="G74" t="s">
        <v>933</v>
      </c>
      <c r="H74" t="s">
        <v>933</v>
      </c>
      <c r="I74" t="s">
        <v>113</v>
      </c>
      <c r="J74" t="s">
        <v>113</v>
      </c>
      <c r="K74" t="s">
        <v>933</v>
      </c>
    </row>
    <row r="75" spans="1:11" x14ac:dyDescent="0.2">
      <c r="A75"/>
      <c r="B75"/>
      <c r="C75">
        <v>92404</v>
      </c>
      <c r="D75">
        <v>28</v>
      </c>
      <c r="E75">
        <v>10042896</v>
      </c>
      <c r="F75" t="s">
        <v>914</v>
      </c>
      <c r="G75" t="s">
        <v>85</v>
      </c>
      <c r="H75" t="s">
        <v>85</v>
      </c>
      <c r="I75" t="s">
        <v>85</v>
      </c>
      <c r="J75" t="s">
        <v>85</v>
      </c>
      <c r="K75" t="s">
        <v>85</v>
      </c>
    </row>
    <row r="76" spans="1:11" x14ac:dyDescent="0.2">
      <c r="A76"/>
      <c r="B76"/>
      <c r="C76">
        <v>92408</v>
      </c>
      <c r="D76">
        <v>28</v>
      </c>
      <c r="E76">
        <v>10042335</v>
      </c>
      <c r="F76" t="s">
        <v>914</v>
      </c>
      <c r="G76" t="s">
        <v>113</v>
      </c>
      <c r="H76" t="s">
        <v>113</v>
      </c>
      <c r="I76" t="s">
        <v>113</v>
      </c>
      <c r="J76" t="s">
        <v>113</v>
      </c>
      <c r="K76" t="s">
        <v>113</v>
      </c>
    </row>
    <row r="77" spans="1:11" x14ac:dyDescent="0.2">
      <c r="A77"/>
      <c r="B77"/>
      <c r="C77">
        <v>90631</v>
      </c>
      <c r="D77">
        <v>28</v>
      </c>
      <c r="E77">
        <v>10370772</v>
      </c>
      <c r="F77" t="s">
        <v>914</v>
      </c>
      <c r="G77" t="s">
        <v>113</v>
      </c>
      <c r="H77" t="s">
        <v>113</v>
      </c>
      <c r="I77" t="s">
        <v>113</v>
      </c>
      <c r="J77" t="s">
        <v>113</v>
      </c>
      <c r="K77" t="s">
        <v>113</v>
      </c>
    </row>
    <row r="78" spans="1:11" x14ac:dyDescent="0.2">
      <c r="A78"/>
      <c r="B78"/>
      <c r="C78">
        <v>90033</v>
      </c>
      <c r="D78">
        <v>28</v>
      </c>
      <c r="E78">
        <v>10372308</v>
      </c>
      <c r="F78" t="s">
        <v>914</v>
      </c>
      <c r="G78" t="s">
        <v>113</v>
      </c>
      <c r="H78" t="s">
        <v>113</v>
      </c>
      <c r="I78" t="s">
        <v>113</v>
      </c>
      <c r="J78" t="s">
        <v>113</v>
      </c>
      <c r="K78" t="s">
        <v>113</v>
      </c>
    </row>
    <row r="79" spans="1:11" x14ac:dyDescent="0.2">
      <c r="A79"/>
      <c r="B79"/>
      <c r="C79">
        <v>92408</v>
      </c>
      <c r="D79">
        <v>28</v>
      </c>
      <c r="E79">
        <v>10043424</v>
      </c>
      <c r="F79" t="s">
        <v>914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</row>
    <row r="80" spans="1:11" x14ac:dyDescent="0.2">
      <c r="A80"/>
      <c r="B80"/>
      <c r="C80">
        <v>92411</v>
      </c>
      <c r="D80">
        <v>27</v>
      </c>
      <c r="E80">
        <v>10284631</v>
      </c>
      <c r="F80" t="s">
        <v>914</v>
      </c>
      <c r="G80" t="s">
        <v>113</v>
      </c>
      <c r="H80" t="s">
        <v>113</v>
      </c>
      <c r="I80" t="s">
        <v>933</v>
      </c>
      <c r="J80" t="s">
        <v>933</v>
      </c>
      <c r="K80" t="s">
        <v>113</v>
      </c>
    </row>
    <row r="81" spans="1:11" x14ac:dyDescent="0.2">
      <c r="A81"/>
      <c r="B81"/>
      <c r="C81">
        <v>91104</v>
      </c>
      <c r="D81">
        <v>27</v>
      </c>
      <c r="E81">
        <v>10370589</v>
      </c>
      <c r="F81" t="s">
        <v>914</v>
      </c>
      <c r="G81" t="s">
        <v>933</v>
      </c>
      <c r="H81" t="s">
        <v>933</v>
      </c>
      <c r="I81" t="s">
        <v>74</v>
      </c>
      <c r="J81" t="s">
        <v>74</v>
      </c>
      <c r="K81" t="s">
        <v>933</v>
      </c>
    </row>
    <row r="82" spans="1:11" x14ac:dyDescent="0.2">
      <c r="A82"/>
      <c r="B82"/>
      <c r="C82">
        <v>91711</v>
      </c>
      <c r="D82">
        <v>27</v>
      </c>
      <c r="E82">
        <v>10192849</v>
      </c>
      <c r="F82" t="s">
        <v>914</v>
      </c>
      <c r="G82" t="s">
        <v>103</v>
      </c>
      <c r="H82" t="s">
        <v>113</v>
      </c>
      <c r="I82" t="s">
        <v>113</v>
      </c>
      <c r="J82" t="s">
        <v>113</v>
      </c>
      <c r="K82" t="s">
        <v>113</v>
      </c>
    </row>
    <row r="83" spans="1:11" x14ac:dyDescent="0.2">
      <c r="A83"/>
      <c r="B83"/>
      <c r="C83">
        <v>92404</v>
      </c>
      <c r="D83">
        <v>27</v>
      </c>
      <c r="E83">
        <v>10043595</v>
      </c>
      <c r="F83" t="s">
        <v>914</v>
      </c>
      <c r="G83" t="s">
        <v>113</v>
      </c>
      <c r="H83" t="s">
        <v>113</v>
      </c>
      <c r="I83" t="s">
        <v>113</v>
      </c>
      <c r="J83" t="s">
        <v>113</v>
      </c>
      <c r="K83" t="s">
        <v>113</v>
      </c>
    </row>
    <row r="84" spans="1:11" x14ac:dyDescent="0.2">
      <c r="A84"/>
      <c r="B84"/>
      <c r="C84">
        <v>92509</v>
      </c>
      <c r="D84">
        <v>27</v>
      </c>
      <c r="E84">
        <v>106034</v>
      </c>
      <c r="F84" t="s">
        <v>914</v>
      </c>
      <c r="G84" t="s">
        <v>1176</v>
      </c>
      <c r="H84" t="s">
        <v>103</v>
      </c>
      <c r="I84" t="s">
        <v>1176</v>
      </c>
      <c r="J84" t="s">
        <v>1176</v>
      </c>
      <c r="K84" t="s">
        <v>103</v>
      </c>
    </row>
    <row r="85" spans="1:11" x14ac:dyDescent="0.2">
      <c r="A85"/>
      <c r="B85"/>
      <c r="C85">
        <v>91755</v>
      </c>
      <c r="D85">
        <v>27</v>
      </c>
      <c r="E85">
        <v>10370321</v>
      </c>
      <c r="F85" t="s">
        <v>919</v>
      </c>
      <c r="G85" t="s">
        <v>113</v>
      </c>
      <c r="H85" t="s">
        <v>113</v>
      </c>
      <c r="I85" t="s">
        <v>113</v>
      </c>
      <c r="J85" t="s">
        <v>113</v>
      </c>
      <c r="K85" t="s">
        <v>202</v>
      </c>
    </row>
    <row r="86" spans="1:11" x14ac:dyDescent="0.2">
      <c r="A86"/>
      <c r="B86"/>
      <c r="C86">
        <v>91107</v>
      </c>
      <c r="D86">
        <v>26</v>
      </c>
      <c r="E86">
        <v>10163419</v>
      </c>
      <c r="F86" t="s">
        <v>914</v>
      </c>
      <c r="G86" t="s">
        <v>113</v>
      </c>
      <c r="H86" t="s">
        <v>113</v>
      </c>
      <c r="I86" t="s">
        <v>113</v>
      </c>
      <c r="J86" t="s">
        <v>113</v>
      </c>
      <c r="K86" t="s">
        <v>113</v>
      </c>
    </row>
    <row r="87" spans="1:11" x14ac:dyDescent="0.2">
      <c r="A87"/>
      <c r="B87"/>
      <c r="C87">
        <v>92501</v>
      </c>
      <c r="D87">
        <v>26</v>
      </c>
      <c r="E87">
        <v>10187804</v>
      </c>
      <c r="F87" t="s">
        <v>914</v>
      </c>
      <c r="G87" t="s">
        <v>85</v>
      </c>
      <c r="H87" t="s">
        <v>85</v>
      </c>
      <c r="I87" t="s">
        <v>85</v>
      </c>
      <c r="J87" t="s">
        <v>85</v>
      </c>
      <c r="K87" t="s">
        <v>85</v>
      </c>
    </row>
    <row r="88" spans="1:11" x14ac:dyDescent="0.2">
      <c r="A88"/>
      <c r="B88"/>
      <c r="C88">
        <v>91001</v>
      </c>
      <c r="D88">
        <v>26</v>
      </c>
      <c r="E88">
        <v>10023537</v>
      </c>
      <c r="F88" t="s">
        <v>914</v>
      </c>
      <c r="G88" t="s">
        <v>113</v>
      </c>
      <c r="H88" t="s">
        <v>113</v>
      </c>
      <c r="I88" t="s">
        <v>85</v>
      </c>
      <c r="J88" t="s">
        <v>85</v>
      </c>
      <c r="K88" t="s">
        <v>85</v>
      </c>
    </row>
    <row r="89" spans="1:11" x14ac:dyDescent="0.2">
      <c r="A89"/>
      <c r="B89"/>
      <c r="C89">
        <v>91103</v>
      </c>
      <c r="D89">
        <v>26</v>
      </c>
      <c r="E89">
        <v>10371384</v>
      </c>
      <c r="F89" t="s">
        <v>914</v>
      </c>
      <c r="G89" t="s">
        <v>103</v>
      </c>
      <c r="H89" t="s">
        <v>74</v>
      </c>
      <c r="I89" t="s">
        <v>74</v>
      </c>
      <c r="J89" t="s">
        <v>74</v>
      </c>
      <c r="K89" t="s">
        <v>103</v>
      </c>
    </row>
    <row r="90" spans="1:11" x14ac:dyDescent="0.2">
      <c r="A90"/>
      <c r="B90"/>
      <c r="C90">
        <v>91104</v>
      </c>
      <c r="D90">
        <v>26</v>
      </c>
      <c r="E90">
        <v>10353364</v>
      </c>
      <c r="F90" t="s">
        <v>914</v>
      </c>
      <c r="G90" t="s">
        <v>113</v>
      </c>
      <c r="H90" t="s">
        <v>113</v>
      </c>
      <c r="I90" t="s">
        <v>113</v>
      </c>
      <c r="J90" t="s">
        <v>113</v>
      </c>
      <c r="K90" t="s">
        <v>113</v>
      </c>
    </row>
    <row r="91" spans="1:11" x14ac:dyDescent="0.2">
      <c r="A91"/>
      <c r="B91"/>
      <c r="C91">
        <v>92405</v>
      </c>
      <c r="D91">
        <v>26</v>
      </c>
      <c r="E91">
        <v>10043616</v>
      </c>
      <c r="F91" t="s">
        <v>914</v>
      </c>
      <c r="G91" t="s">
        <v>113</v>
      </c>
      <c r="H91" t="s">
        <v>113</v>
      </c>
      <c r="I91" t="s">
        <v>113</v>
      </c>
      <c r="J91" t="s">
        <v>113</v>
      </c>
      <c r="K91" t="s">
        <v>113</v>
      </c>
    </row>
    <row r="92" spans="1:11" x14ac:dyDescent="0.2">
      <c r="A92"/>
      <c r="B92"/>
      <c r="C92">
        <v>92507</v>
      </c>
      <c r="D92">
        <v>26</v>
      </c>
      <c r="E92">
        <v>10366652</v>
      </c>
      <c r="F92" t="s">
        <v>914</v>
      </c>
      <c r="G92" t="s">
        <v>113</v>
      </c>
      <c r="H92" t="s">
        <v>113</v>
      </c>
      <c r="I92" t="s">
        <v>113</v>
      </c>
      <c r="J92" t="s">
        <v>113</v>
      </c>
      <c r="K92" t="s">
        <v>113</v>
      </c>
    </row>
    <row r="93" spans="1:11" x14ac:dyDescent="0.2">
      <c r="A93"/>
      <c r="B93"/>
      <c r="C93">
        <v>91755</v>
      </c>
      <c r="D93">
        <v>26</v>
      </c>
      <c r="E93">
        <v>10370485</v>
      </c>
      <c r="F93" t="s">
        <v>919</v>
      </c>
      <c r="G93" t="s">
        <v>113</v>
      </c>
      <c r="H93" t="s">
        <v>202</v>
      </c>
      <c r="I93" t="s">
        <v>202</v>
      </c>
      <c r="J93" t="s">
        <v>113</v>
      </c>
      <c r="K93" t="s">
        <v>113</v>
      </c>
    </row>
    <row r="94" spans="1:11" x14ac:dyDescent="0.2">
      <c r="A94"/>
      <c r="B94"/>
      <c r="C94">
        <v>92880</v>
      </c>
      <c r="D94">
        <v>25</v>
      </c>
      <c r="E94">
        <v>10368799</v>
      </c>
      <c r="F94" t="s">
        <v>914</v>
      </c>
      <c r="G94" t="s">
        <v>113</v>
      </c>
      <c r="H94" t="s">
        <v>113</v>
      </c>
      <c r="I94" t="s">
        <v>113</v>
      </c>
      <c r="J94" t="s">
        <v>113</v>
      </c>
      <c r="K94" t="s">
        <v>113</v>
      </c>
    </row>
    <row r="95" spans="1:11" x14ac:dyDescent="0.2">
      <c r="A95"/>
      <c r="B95"/>
      <c r="C95">
        <v>91780</v>
      </c>
      <c r="D95">
        <v>25</v>
      </c>
      <c r="E95">
        <v>10358117</v>
      </c>
      <c r="F95" t="s">
        <v>914</v>
      </c>
      <c r="G95" t="s">
        <v>113</v>
      </c>
      <c r="H95" t="s">
        <v>113</v>
      </c>
      <c r="I95" t="s">
        <v>191</v>
      </c>
      <c r="J95" t="s">
        <v>108</v>
      </c>
      <c r="K95" t="s">
        <v>108</v>
      </c>
    </row>
    <row r="96" spans="1:11" ht="0.75" customHeight="1" x14ac:dyDescent="0.2">
      <c r="A96"/>
      <c r="B96"/>
      <c r="C96">
        <v>91792</v>
      </c>
      <c r="D96">
        <v>25</v>
      </c>
      <c r="E96">
        <v>10370202</v>
      </c>
      <c r="F96" t="s">
        <v>914</v>
      </c>
      <c r="G96" t="s">
        <v>191</v>
      </c>
      <c r="H96" t="s">
        <v>191</v>
      </c>
      <c r="I96" t="s">
        <v>113</v>
      </c>
      <c r="J96" t="s">
        <v>103</v>
      </c>
      <c r="K96" t="s">
        <v>103</v>
      </c>
    </row>
    <row r="97" spans="1:11" x14ac:dyDescent="0.2">
      <c r="A97"/>
      <c r="B97"/>
      <c r="C97">
        <v>90603</v>
      </c>
      <c r="D97">
        <v>25</v>
      </c>
      <c r="E97">
        <v>10042792</v>
      </c>
      <c r="F97" t="s">
        <v>914</v>
      </c>
      <c r="G97" t="s">
        <v>113</v>
      </c>
      <c r="H97" t="s">
        <v>113</v>
      </c>
      <c r="I97" t="s">
        <v>113</v>
      </c>
      <c r="J97" t="s">
        <v>113</v>
      </c>
      <c r="K97" t="s">
        <v>113</v>
      </c>
    </row>
    <row r="98" spans="1:11" x14ac:dyDescent="0.2">
      <c r="A98"/>
      <c r="B98"/>
      <c r="C98">
        <v>91104</v>
      </c>
      <c r="D98">
        <v>25</v>
      </c>
      <c r="E98">
        <v>10248799</v>
      </c>
      <c r="F98" t="s">
        <v>914</v>
      </c>
      <c r="G98" t="s">
        <v>113</v>
      </c>
      <c r="H98" t="s">
        <v>113</v>
      </c>
      <c r="I98" t="s">
        <v>113</v>
      </c>
      <c r="J98" t="s">
        <v>103</v>
      </c>
      <c r="K98" t="s">
        <v>103</v>
      </c>
    </row>
    <row r="99" spans="1:11" x14ac:dyDescent="0.2">
      <c r="A99"/>
      <c r="B99"/>
      <c r="C99">
        <v>92506</v>
      </c>
      <c r="D99">
        <v>25</v>
      </c>
      <c r="E99">
        <v>10370494</v>
      </c>
      <c r="F99" t="s">
        <v>914</v>
      </c>
      <c r="G99" t="s">
        <v>113</v>
      </c>
      <c r="H99" t="s">
        <v>113</v>
      </c>
      <c r="I99" t="s">
        <v>113</v>
      </c>
      <c r="J99" t="s">
        <v>103</v>
      </c>
      <c r="K99" t="s">
        <v>113</v>
      </c>
    </row>
    <row r="100" spans="1:11" x14ac:dyDescent="0.2">
      <c r="A100"/>
      <c r="B100"/>
      <c r="C100">
        <v>92832</v>
      </c>
      <c r="D100">
        <v>25</v>
      </c>
      <c r="E100">
        <v>10372674</v>
      </c>
      <c r="F100" t="s">
        <v>914</v>
      </c>
      <c r="G100" t="s">
        <v>113</v>
      </c>
      <c r="H100" t="s">
        <v>113</v>
      </c>
      <c r="I100" t="s">
        <v>113</v>
      </c>
      <c r="J100" t="s">
        <v>113</v>
      </c>
      <c r="K100" t="s">
        <v>113</v>
      </c>
    </row>
    <row r="101" spans="1:11" x14ac:dyDescent="0.2">
      <c r="A101"/>
      <c r="B101"/>
      <c r="C101">
        <v>91104</v>
      </c>
      <c r="D101">
        <v>25</v>
      </c>
      <c r="E101">
        <v>10194153</v>
      </c>
      <c r="F101" t="s">
        <v>914</v>
      </c>
      <c r="G101" t="s">
        <v>113</v>
      </c>
      <c r="H101" t="s">
        <v>113</v>
      </c>
      <c r="I101" t="s">
        <v>113</v>
      </c>
      <c r="J101" t="s">
        <v>113</v>
      </c>
      <c r="K101" t="s">
        <v>113</v>
      </c>
    </row>
    <row r="102" spans="1:11" x14ac:dyDescent="0.2">
      <c r="A102"/>
      <c r="B102"/>
      <c r="C102">
        <v>92316</v>
      </c>
      <c r="D102">
        <v>25</v>
      </c>
      <c r="E102">
        <v>10151953</v>
      </c>
      <c r="F102" t="s">
        <v>914</v>
      </c>
      <c r="G102" t="s">
        <v>113</v>
      </c>
      <c r="H102" t="s">
        <v>113</v>
      </c>
      <c r="I102" t="s">
        <v>113</v>
      </c>
      <c r="J102" t="s">
        <v>113</v>
      </c>
      <c r="K102" t="s">
        <v>113</v>
      </c>
    </row>
    <row r="103" spans="1:11" x14ac:dyDescent="0.2">
      <c r="A103"/>
      <c r="B103"/>
      <c r="C103">
        <v>92316</v>
      </c>
      <c r="D103">
        <v>25</v>
      </c>
      <c r="E103">
        <v>10247799</v>
      </c>
      <c r="F103" t="s">
        <v>914</v>
      </c>
      <c r="G103" t="s">
        <v>113</v>
      </c>
      <c r="H103" t="s">
        <v>113</v>
      </c>
      <c r="I103" t="s">
        <v>113</v>
      </c>
      <c r="J103" t="s">
        <v>113</v>
      </c>
      <c r="K103" t="s">
        <v>113</v>
      </c>
    </row>
    <row r="104" spans="1:11" x14ac:dyDescent="0.2">
      <c r="A104"/>
      <c r="B104"/>
      <c r="C104">
        <v>92882</v>
      </c>
      <c r="D104">
        <v>25</v>
      </c>
      <c r="E104">
        <v>10358332</v>
      </c>
      <c r="F104" t="s">
        <v>914</v>
      </c>
      <c r="G104" t="s">
        <v>103</v>
      </c>
      <c r="H104" t="s">
        <v>113</v>
      </c>
      <c r="I104" t="s">
        <v>113</v>
      </c>
      <c r="J104" t="s">
        <v>113</v>
      </c>
      <c r="K104" t="s">
        <v>103</v>
      </c>
    </row>
    <row r="105" spans="1:11" x14ac:dyDescent="0.2">
      <c r="A105"/>
      <c r="B105"/>
      <c r="C105">
        <v>92376</v>
      </c>
      <c r="D105">
        <v>25</v>
      </c>
      <c r="E105">
        <v>10254071</v>
      </c>
      <c r="F105" t="s">
        <v>914</v>
      </c>
      <c r="G105" t="s">
        <v>113</v>
      </c>
      <c r="H105" t="s">
        <v>191</v>
      </c>
      <c r="I105" t="s">
        <v>191</v>
      </c>
      <c r="J105" t="s">
        <v>191</v>
      </c>
      <c r="K105" t="s">
        <v>195</v>
      </c>
    </row>
    <row r="106" spans="1:11" x14ac:dyDescent="0.2">
      <c r="A106"/>
      <c r="B106"/>
      <c r="C106">
        <v>92509</v>
      </c>
      <c r="D106">
        <v>25</v>
      </c>
      <c r="E106">
        <v>10354551</v>
      </c>
      <c r="F106" t="s">
        <v>914</v>
      </c>
      <c r="G106" t="s">
        <v>113</v>
      </c>
      <c r="H106" t="s">
        <v>113</v>
      </c>
      <c r="I106" t="s">
        <v>113</v>
      </c>
      <c r="J106" t="s">
        <v>113</v>
      </c>
      <c r="K106" t="s">
        <v>202</v>
      </c>
    </row>
    <row r="107" spans="1:11" x14ac:dyDescent="0.2">
      <c r="A107"/>
      <c r="B107"/>
      <c r="C107">
        <v>92832</v>
      </c>
      <c r="D107">
        <v>25</v>
      </c>
      <c r="E107">
        <v>120274</v>
      </c>
      <c r="F107" t="s">
        <v>919</v>
      </c>
      <c r="G107" t="s">
        <v>113</v>
      </c>
      <c r="H107" t="s">
        <v>113</v>
      </c>
      <c r="I107" t="s">
        <v>113</v>
      </c>
      <c r="J107" t="s">
        <v>113</v>
      </c>
      <c r="K107" t="s">
        <v>113</v>
      </c>
    </row>
    <row r="108" spans="1:11" x14ac:dyDescent="0.2">
      <c r="A108"/>
      <c r="B108"/>
      <c r="C108">
        <v>90603</v>
      </c>
      <c r="D108">
        <v>24</v>
      </c>
      <c r="E108">
        <v>10349297</v>
      </c>
      <c r="F108" t="s">
        <v>914</v>
      </c>
      <c r="G108" t="s">
        <v>103</v>
      </c>
      <c r="H108" t="s">
        <v>113</v>
      </c>
      <c r="I108" t="s">
        <v>103</v>
      </c>
      <c r="J108" t="s">
        <v>113</v>
      </c>
      <c r="K108" t="s">
        <v>113</v>
      </c>
    </row>
    <row r="109" spans="1:11" x14ac:dyDescent="0.2">
      <c r="A109"/>
      <c r="B109"/>
      <c r="C109">
        <v>92376</v>
      </c>
      <c r="D109">
        <v>24</v>
      </c>
      <c r="E109">
        <v>10344423</v>
      </c>
      <c r="F109" t="s">
        <v>914</v>
      </c>
      <c r="G109" t="s">
        <v>113</v>
      </c>
      <c r="H109" t="s">
        <v>113</v>
      </c>
      <c r="I109" t="s">
        <v>113</v>
      </c>
      <c r="J109" t="s">
        <v>113</v>
      </c>
      <c r="K109" t="s">
        <v>113</v>
      </c>
    </row>
    <row r="110" spans="1:11" x14ac:dyDescent="0.2">
      <c r="A110"/>
      <c r="B110"/>
      <c r="C110">
        <v>92376</v>
      </c>
      <c r="D110">
        <v>24</v>
      </c>
      <c r="E110">
        <v>10133064</v>
      </c>
      <c r="F110" t="s">
        <v>914</v>
      </c>
      <c r="G110" t="s">
        <v>85</v>
      </c>
      <c r="H110" t="s">
        <v>85</v>
      </c>
      <c r="I110" t="s">
        <v>85</v>
      </c>
      <c r="J110" t="s">
        <v>85</v>
      </c>
      <c r="K110" t="s">
        <v>85</v>
      </c>
    </row>
    <row r="111" spans="1:11" x14ac:dyDescent="0.2">
      <c r="A111"/>
      <c r="B111"/>
      <c r="C111">
        <v>91780</v>
      </c>
      <c r="D111">
        <v>23</v>
      </c>
      <c r="E111">
        <v>10371388</v>
      </c>
      <c r="F111" t="s">
        <v>914</v>
      </c>
      <c r="G111" t="s">
        <v>113</v>
      </c>
      <c r="H111" t="s">
        <v>103</v>
      </c>
      <c r="I111" t="s">
        <v>113</v>
      </c>
      <c r="J111" t="s">
        <v>103</v>
      </c>
      <c r="K111" t="s">
        <v>113</v>
      </c>
    </row>
    <row r="112" spans="1:11" x14ac:dyDescent="0.2">
      <c r="A112"/>
      <c r="B112"/>
      <c r="C112">
        <v>92376</v>
      </c>
      <c r="D112">
        <v>23</v>
      </c>
      <c r="E112">
        <v>10368812</v>
      </c>
      <c r="F112" t="s">
        <v>914</v>
      </c>
      <c r="G112" t="s">
        <v>933</v>
      </c>
      <c r="H112" t="s">
        <v>933</v>
      </c>
      <c r="I112" t="s">
        <v>933</v>
      </c>
      <c r="J112" t="s">
        <v>933</v>
      </c>
      <c r="K112" t="s">
        <v>933</v>
      </c>
    </row>
    <row r="113" spans="1:11" x14ac:dyDescent="0.2">
      <c r="A113"/>
      <c r="B113"/>
      <c r="C113">
        <v>92509</v>
      </c>
      <c r="D113">
        <v>23</v>
      </c>
      <c r="E113">
        <v>120490</v>
      </c>
      <c r="F113" t="s">
        <v>914</v>
      </c>
      <c r="G113" t="s">
        <v>199</v>
      </c>
      <c r="H113" t="s">
        <v>199</v>
      </c>
      <c r="I113" t="s">
        <v>199</v>
      </c>
      <c r="J113" t="s">
        <v>199</v>
      </c>
      <c r="K113" t="s">
        <v>199</v>
      </c>
    </row>
    <row r="114" spans="1:11" x14ac:dyDescent="0.2">
      <c r="A114"/>
      <c r="B114"/>
      <c r="C114">
        <v>92337</v>
      </c>
      <c r="D114">
        <v>23</v>
      </c>
      <c r="E114">
        <v>10349685</v>
      </c>
      <c r="F114" t="s">
        <v>914</v>
      </c>
      <c r="G114" t="s">
        <v>74</v>
      </c>
      <c r="H114" t="s">
        <v>103</v>
      </c>
      <c r="I114" t="s">
        <v>74</v>
      </c>
      <c r="J114" t="s">
        <v>103</v>
      </c>
      <c r="K114" t="s">
        <v>74</v>
      </c>
    </row>
    <row r="115" spans="1:11" x14ac:dyDescent="0.2">
      <c r="A115"/>
      <c r="B115"/>
      <c r="C115">
        <v>91106</v>
      </c>
      <c r="D115">
        <v>22</v>
      </c>
      <c r="E115">
        <v>23482098</v>
      </c>
      <c r="F115" t="s">
        <v>914</v>
      </c>
      <c r="G115" t="s">
        <v>103</v>
      </c>
      <c r="H115" t="s">
        <v>103</v>
      </c>
      <c r="I115" t="s">
        <v>103</v>
      </c>
      <c r="J115" t="s">
        <v>103</v>
      </c>
      <c r="K115" t="s">
        <v>103</v>
      </c>
    </row>
    <row r="116" spans="1:11" x14ac:dyDescent="0.2">
      <c r="A116"/>
      <c r="B116"/>
      <c r="C116">
        <v>92835</v>
      </c>
      <c r="D116">
        <v>22</v>
      </c>
      <c r="E116">
        <v>10186276</v>
      </c>
      <c r="F116" t="s">
        <v>914</v>
      </c>
      <c r="G116" t="s">
        <v>103</v>
      </c>
      <c r="H116" t="s">
        <v>113</v>
      </c>
      <c r="I116" t="s">
        <v>113</v>
      </c>
      <c r="J116" t="s">
        <v>113</v>
      </c>
      <c r="K116" t="s">
        <v>113</v>
      </c>
    </row>
    <row r="117" spans="1:11" x14ac:dyDescent="0.2">
      <c r="A117"/>
      <c r="B117"/>
      <c r="C117">
        <v>92376</v>
      </c>
      <c r="D117">
        <v>22</v>
      </c>
      <c r="E117">
        <v>10177226</v>
      </c>
      <c r="F117" t="s">
        <v>914</v>
      </c>
      <c r="G117" t="s">
        <v>1016</v>
      </c>
      <c r="H117" t="s">
        <v>1016</v>
      </c>
      <c r="I117" t="s">
        <v>1016</v>
      </c>
      <c r="J117" t="s">
        <v>1016</v>
      </c>
      <c r="K117" t="s">
        <v>1016</v>
      </c>
    </row>
    <row r="118" spans="1:11" x14ac:dyDescent="0.2">
      <c r="A118"/>
      <c r="B118"/>
      <c r="C118">
        <v>91775</v>
      </c>
      <c r="D118">
        <v>22</v>
      </c>
      <c r="E118">
        <v>10349916</v>
      </c>
      <c r="F118" t="s">
        <v>914</v>
      </c>
      <c r="G118" t="s">
        <v>113</v>
      </c>
      <c r="H118" t="s">
        <v>113</v>
      </c>
      <c r="I118" t="s">
        <v>113</v>
      </c>
      <c r="J118" t="s">
        <v>113</v>
      </c>
      <c r="K118" t="s">
        <v>113</v>
      </c>
    </row>
    <row r="119" spans="1:11" x14ac:dyDescent="0.2">
      <c r="A119"/>
      <c r="B119"/>
      <c r="C119">
        <v>92377</v>
      </c>
      <c r="D119">
        <v>22</v>
      </c>
      <c r="E119">
        <v>10368811</v>
      </c>
      <c r="F119" t="s">
        <v>914</v>
      </c>
      <c r="G119" t="s">
        <v>113</v>
      </c>
      <c r="H119" t="s">
        <v>113</v>
      </c>
      <c r="I119" t="s">
        <v>113</v>
      </c>
      <c r="J119" t="s">
        <v>113</v>
      </c>
      <c r="K119" t="s">
        <v>113</v>
      </c>
    </row>
    <row r="120" spans="1:11" x14ac:dyDescent="0.2">
      <c r="A120"/>
      <c r="B120"/>
      <c r="C120">
        <v>92335</v>
      </c>
      <c r="D120">
        <v>22</v>
      </c>
      <c r="E120">
        <v>10043613</v>
      </c>
      <c r="F120" t="s">
        <v>914</v>
      </c>
      <c r="G120" t="s">
        <v>113</v>
      </c>
      <c r="H120" t="s">
        <v>113</v>
      </c>
      <c r="I120" t="s">
        <v>113</v>
      </c>
      <c r="J120" t="s">
        <v>113</v>
      </c>
      <c r="K120" t="s">
        <v>113</v>
      </c>
    </row>
    <row r="121" spans="1:11" x14ac:dyDescent="0.2">
      <c r="A121"/>
      <c r="B121"/>
      <c r="C121">
        <v>91007</v>
      </c>
      <c r="D121">
        <v>22</v>
      </c>
      <c r="E121">
        <v>10347849</v>
      </c>
      <c r="F121" t="s">
        <v>914</v>
      </c>
      <c r="G121" t="s">
        <v>113</v>
      </c>
      <c r="H121" t="s">
        <v>113</v>
      </c>
      <c r="I121" t="s">
        <v>113</v>
      </c>
      <c r="J121" t="s">
        <v>113</v>
      </c>
      <c r="K121" t="s">
        <v>113</v>
      </c>
    </row>
    <row r="122" spans="1:11" x14ac:dyDescent="0.2">
      <c r="A122"/>
      <c r="B122"/>
      <c r="C122">
        <v>92336</v>
      </c>
      <c r="D122">
        <v>22</v>
      </c>
      <c r="E122">
        <v>10289126</v>
      </c>
      <c r="F122" t="s">
        <v>914</v>
      </c>
      <c r="G122" t="s">
        <v>113</v>
      </c>
      <c r="H122" t="s">
        <v>113</v>
      </c>
      <c r="I122" t="s">
        <v>113</v>
      </c>
      <c r="J122" t="s">
        <v>113</v>
      </c>
      <c r="K122" t="s">
        <v>113</v>
      </c>
    </row>
    <row r="123" spans="1:11" x14ac:dyDescent="0.2">
      <c r="A123"/>
      <c r="B123"/>
      <c r="C123">
        <v>90631</v>
      </c>
      <c r="D123">
        <v>22</v>
      </c>
      <c r="E123">
        <v>10371573</v>
      </c>
      <c r="F123" t="s">
        <v>919</v>
      </c>
      <c r="G123" t="s">
        <v>113</v>
      </c>
      <c r="H123" t="s">
        <v>113</v>
      </c>
      <c r="I123" t="s">
        <v>202</v>
      </c>
      <c r="J123" t="s">
        <v>113</v>
      </c>
      <c r="K123" t="s">
        <v>202</v>
      </c>
    </row>
    <row r="124" spans="1:11" x14ac:dyDescent="0.2">
      <c r="A124"/>
      <c r="B124"/>
      <c r="C124">
        <v>92831</v>
      </c>
      <c r="D124">
        <v>22</v>
      </c>
      <c r="E124">
        <v>113637</v>
      </c>
      <c r="F124" t="s">
        <v>919</v>
      </c>
      <c r="G124" t="s">
        <v>202</v>
      </c>
      <c r="H124" t="s">
        <v>202</v>
      </c>
      <c r="I124" t="s">
        <v>202</v>
      </c>
      <c r="J124" t="s">
        <v>202</v>
      </c>
      <c r="K124" t="s">
        <v>103</v>
      </c>
    </row>
    <row r="125" spans="1:11" x14ac:dyDescent="0.2">
      <c r="A125"/>
      <c r="B125"/>
      <c r="C125">
        <v>92509</v>
      </c>
      <c r="D125">
        <v>21</v>
      </c>
      <c r="E125">
        <v>10370654</v>
      </c>
      <c r="F125" t="s">
        <v>914</v>
      </c>
      <c r="G125" t="s">
        <v>113</v>
      </c>
      <c r="H125" t="s">
        <v>113</v>
      </c>
      <c r="I125" t="s">
        <v>113</v>
      </c>
      <c r="J125" t="s">
        <v>113</v>
      </c>
      <c r="K125" t="s">
        <v>113</v>
      </c>
    </row>
    <row r="126" spans="1:11" x14ac:dyDescent="0.2">
      <c r="A126"/>
      <c r="B126"/>
      <c r="C126">
        <v>92376</v>
      </c>
      <c r="D126">
        <v>21</v>
      </c>
      <c r="E126">
        <v>10292177</v>
      </c>
      <c r="F126" t="s">
        <v>914</v>
      </c>
      <c r="G126" t="s">
        <v>113</v>
      </c>
      <c r="H126" t="s">
        <v>113</v>
      </c>
      <c r="I126" t="s">
        <v>113</v>
      </c>
      <c r="J126" t="s">
        <v>113</v>
      </c>
      <c r="K126" t="s">
        <v>113</v>
      </c>
    </row>
    <row r="127" spans="1:11" x14ac:dyDescent="0.2">
      <c r="A127"/>
      <c r="B127"/>
      <c r="C127">
        <v>92880</v>
      </c>
      <c r="D127">
        <v>21</v>
      </c>
      <c r="E127">
        <v>19222913</v>
      </c>
      <c r="F127" t="s">
        <v>914</v>
      </c>
      <c r="G127" t="s">
        <v>113</v>
      </c>
      <c r="H127" t="s">
        <v>113</v>
      </c>
      <c r="I127" t="s">
        <v>113</v>
      </c>
      <c r="J127" t="s">
        <v>113</v>
      </c>
      <c r="K127" t="s">
        <v>113</v>
      </c>
    </row>
    <row r="128" spans="1:11" x14ac:dyDescent="0.2">
      <c r="A128"/>
      <c r="B128"/>
      <c r="C128">
        <v>91016</v>
      </c>
      <c r="D128">
        <v>20</v>
      </c>
      <c r="E128">
        <v>10364720</v>
      </c>
      <c r="F128" t="s">
        <v>914</v>
      </c>
      <c r="G128" t="s">
        <v>113</v>
      </c>
      <c r="H128" t="s">
        <v>113</v>
      </c>
      <c r="I128" t="s">
        <v>113</v>
      </c>
      <c r="J128" t="s">
        <v>103</v>
      </c>
      <c r="K128" t="s">
        <v>103</v>
      </c>
    </row>
    <row r="129" spans="1:11" x14ac:dyDescent="0.2">
      <c r="A129"/>
      <c r="B129"/>
      <c r="C129">
        <v>92376</v>
      </c>
      <c r="D129">
        <v>20</v>
      </c>
      <c r="E129">
        <v>10364310</v>
      </c>
      <c r="F129" t="s">
        <v>914</v>
      </c>
      <c r="G129" t="s">
        <v>113</v>
      </c>
      <c r="H129" t="s">
        <v>113</v>
      </c>
      <c r="I129" t="s">
        <v>113</v>
      </c>
      <c r="J129" t="s">
        <v>113</v>
      </c>
      <c r="K129" t="s">
        <v>113</v>
      </c>
    </row>
    <row r="130" spans="1:11" x14ac:dyDescent="0.2">
      <c r="A130"/>
      <c r="B130"/>
      <c r="C130">
        <v>91773</v>
      </c>
      <c r="D130">
        <v>20</v>
      </c>
      <c r="E130">
        <v>10349500</v>
      </c>
      <c r="F130" t="s">
        <v>914</v>
      </c>
      <c r="G130" t="s">
        <v>113</v>
      </c>
      <c r="H130" t="s">
        <v>113</v>
      </c>
      <c r="I130" t="s">
        <v>113</v>
      </c>
      <c r="J130" t="s">
        <v>113</v>
      </c>
      <c r="K130" t="s">
        <v>113</v>
      </c>
    </row>
    <row r="131" spans="1:11" x14ac:dyDescent="0.2">
      <c r="A131"/>
      <c r="B131"/>
      <c r="C131">
        <v>91702</v>
      </c>
      <c r="D131">
        <v>20</v>
      </c>
      <c r="E131">
        <v>10029499</v>
      </c>
      <c r="F131" t="s">
        <v>914</v>
      </c>
      <c r="G131" t="s">
        <v>103</v>
      </c>
      <c r="H131" t="s">
        <v>103</v>
      </c>
      <c r="I131" t="s">
        <v>103</v>
      </c>
      <c r="J131" t="s">
        <v>103</v>
      </c>
      <c r="K131" t="s">
        <v>103</v>
      </c>
    </row>
    <row r="132" spans="1:11" x14ac:dyDescent="0.2">
      <c r="A132"/>
      <c r="B132"/>
      <c r="C132">
        <v>92377</v>
      </c>
      <c r="D132">
        <v>20</v>
      </c>
      <c r="E132">
        <v>10042242</v>
      </c>
      <c r="F132" t="s">
        <v>914</v>
      </c>
      <c r="G132" t="s">
        <v>113</v>
      </c>
      <c r="H132" t="s">
        <v>113</v>
      </c>
      <c r="I132" t="s">
        <v>113</v>
      </c>
      <c r="J132" t="s">
        <v>113</v>
      </c>
      <c r="K132" t="s">
        <v>113</v>
      </c>
    </row>
    <row r="133" spans="1:11" x14ac:dyDescent="0.2">
      <c r="A133"/>
      <c r="B133"/>
      <c r="C133">
        <v>92335</v>
      </c>
      <c r="D133">
        <v>20</v>
      </c>
      <c r="E133">
        <v>10143096</v>
      </c>
      <c r="F133" t="s">
        <v>914</v>
      </c>
      <c r="G133" t="s">
        <v>113</v>
      </c>
      <c r="H133" t="s">
        <v>113</v>
      </c>
      <c r="I133" t="s">
        <v>113</v>
      </c>
      <c r="J133" t="s">
        <v>113</v>
      </c>
      <c r="K133" t="s">
        <v>113</v>
      </c>
    </row>
    <row r="134" spans="1:11" x14ac:dyDescent="0.2">
      <c r="A134"/>
      <c r="B134"/>
      <c r="C134">
        <v>92377</v>
      </c>
      <c r="D134">
        <v>20</v>
      </c>
      <c r="E134">
        <v>10234495</v>
      </c>
      <c r="F134" t="s">
        <v>914</v>
      </c>
      <c r="G134" t="s">
        <v>113</v>
      </c>
      <c r="H134" t="s">
        <v>113</v>
      </c>
      <c r="I134" t="s">
        <v>113</v>
      </c>
      <c r="J134" t="s">
        <v>113</v>
      </c>
      <c r="K134" t="s">
        <v>113</v>
      </c>
    </row>
    <row r="135" spans="1:11" x14ac:dyDescent="0.2">
      <c r="A135"/>
      <c r="B135"/>
      <c r="C135">
        <v>92337</v>
      </c>
      <c r="D135">
        <v>20</v>
      </c>
      <c r="E135">
        <v>10359053</v>
      </c>
      <c r="F135" t="s">
        <v>914</v>
      </c>
      <c r="G135" t="s">
        <v>113</v>
      </c>
      <c r="H135" t="s">
        <v>113</v>
      </c>
      <c r="I135" t="s">
        <v>113</v>
      </c>
      <c r="J135" t="s">
        <v>113</v>
      </c>
      <c r="K135" t="s">
        <v>113</v>
      </c>
    </row>
    <row r="136" spans="1:11" x14ac:dyDescent="0.2">
      <c r="A136"/>
      <c r="B136"/>
      <c r="C136">
        <v>92821</v>
      </c>
      <c r="D136">
        <v>20</v>
      </c>
      <c r="E136">
        <v>10357621</v>
      </c>
      <c r="F136" t="s">
        <v>914</v>
      </c>
      <c r="G136" t="s">
        <v>933</v>
      </c>
      <c r="H136" t="s">
        <v>933</v>
      </c>
      <c r="I136" t="s">
        <v>933</v>
      </c>
      <c r="J136" t="s">
        <v>933</v>
      </c>
      <c r="K136" t="s">
        <v>933</v>
      </c>
    </row>
    <row r="137" spans="1:11" x14ac:dyDescent="0.2">
      <c r="A137"/>
      <c r="B137"/>
      <c r="C137">
        <v>91763</v>
      </c>
      <c r="D137">
        <v>20</v>
      </c>
      <c r="E137">
        <v>10372005</v>
      </c>
      <c r="F137" t="s">
        <v>914</v>
      </c>
      <c r="G137" t="s">
        <v>113</v>
      </c>
      <c r="H137" t="s">
        <v>113</v>
      </c>
      <c r="I137" t="s">
        <v>113</v>
      </c>
      <c r="J137" t="s">
        <v>113</v>
      </c>
      <c r="K137" t="s">
        <v>113</v>
      </c>
    </row>
    <row r="138" spans="1:11" x14ac:dyDescent="0.2">
      <c r="A138"/>
      <c r="B138"/>
      <c r="C138">
        <v>91709</v>
      </c>
      <c r="D138">
        <v>20</v>
      </c>
      <c r="E138">
        <v>10366710</v>
      </c>
      <c r="F138" t="s">
        <v>914</v>
      </c>
      <c r="G138" t="s">
        <v>113</v>
      </c>
      <c r="H138" t="s">
        <v>113</v>
      </c>
      <c r="I138" t="s">
        <v>113</v>
      </c>
      <c r="J138" t="s">
        <v>113</v>
      </c>
      <c r="K138" t="s">
        <v>113</v>
      </c>
    </row>
    <row r="139" spans="1:11" x14ac:dyDescent="0.2">
      <c r="A139"/>
      <c r="B139"/>
      <c r="C139">
        <v>91763</v>
      </c>
      <c r="D139">
        <v>20</v>
      </c>
      <c r="E139">
        <v>10366794</v>
      </c>
      <c r="F139" t="s">
        <v>914</v>
      </c>
      <c r="G139" t="s">
        <v>113</v>
      </c>
      <c r="H139" t="s">
        <v>113</v>
      </c>
      <c r="I139" t="s">
        <v>113</v>
      </c>
      <c r="J139" t="s">
        <v>113</v>
      </c>
      <c r="K139" t="s">
        <v>113</v>
      </c>
    </row>
    <row r="140" spans="1:11" x14ac:dyDescent="0.2">
      <c r="A140"/>
      <c r="B140"/>
      <c r="C140">
        <v>91766</v>
      </c>
      <c r="D140">
        <v>20</v>
      </c>
      <c r="E140">
        <v>10366796</v>
      </c>
      <c r="F140" t="s">
        <v>914</v>
      </c>
      <c r="G140" t="s">
        <v>113</v>
      </c>
      <c r="H140" t="s">
        <v>113</v>
      </c>
      <c r="I140" t="s">
        <v>113</v>
      </c>
      <c r="J140" t="s">
        <v>113</v>
      </c>
      <c r="K140" t="s">
        <v>113</v>
      </c>
    </row>
    <row r="141" spans="1:11" x14ac:dyDescent="0.2">
      <c r="A141"/>
      <c r="B141"/>
      <c r="C141">
        <v>92821</v>
      </c>
      <c r="D141">
        <v>20</v>
      </c>
      <c r="E141">
        <v>10356266</v>
      </c>
      <c r="F141" t="s">
        <v>919</v>
      </c>
      <c r="G141" t="s">
        <v>933</v>
      </c>
      <c r="H141" t="s">
        <v>933</v>
      </c>
      <c r="I141" t="s">
        <v>933</v>
      </c>
      <c r="J141" t="s">
        <v>933</v>
      </c>
      <c r="K141" t="s">
        <v>933</v>
      </c>
    </row>
    <row r="142" spans="1:11" x14ac:dyDescent="0.2">
      <c r="A142"/>
      <c r="B142"/>
      <c r="C142">
        <v>92337</v>
      </c>
      <c r="D142">
        <v>19</v>
      </c>
      <c r="E142">
        <v>10092419</v>
      </c>
      <c r="F142" t="s">
        <v>914</v>
      </c>
      <c r="G142" t="s">
        <v>191</v>
      </c>
      <c r="H142" t="s">
        <v>191</v>
      </c>
      <c r="I142" t="s">
        <v>191</v>
      </c>
      <c r="J142" t="s">
        <v>191</v>
      </c>
      <c r="K142" t="s">
        <v>191</v>
      </c>
    </row>
    <row r="143" spans="1:11" x14ac:dyDescent="0.2">
      <c r="A143"/>
      <c r="B143"/>
      <c r="C143">
        <v>91764</v>
      </c>
      <c r="D143">
        <v>19</v>
      </c>
      <c r="E143">
        <v>10369849</v>
      </c>
      <c r="F143" t="s">
        <v>914</v>
      </c>
      <c r="G143" t="s">
        <v>113</v>
      </c>
      <c r="H143" t="s">
        <v>113</v>
      </c>
      <c r="I143" t="s">
        <v>113</v>
      </c>
      <c r="J143" t="s">
        <v>113</v>
      </c>
      <c r="K143" t="s">
        <v>113</v>
      </c>
    </row>
    <row r="144" spans="1:11" x14ac:dyDescent="0.2">
      <c r="A144"/>
      <c r="B144"/>
      <c r="C144">
        <v>92336</v>
      </c>
      <c r="D144">
        <v>19</v>
      </c>
      <c r="E144">
        <v>10243796</v>
      </c>
      <c r="F144" t="s">
        <v>914</v>
      </c>
      <c r="G144" t="s">
        <v>108</v>
      </c>
      <c r="H144" t="s">
        <v>108</v>
      </c>
      <c r="I144" t="s">
        <v>1016</v>
      </c>
      <c r="J144" t="s">
        <v>1016</v>
      </c>
      <c r="K144" t="s">
        <v>1016</v>
      </c>
    </row>
    <row r="145" spans="1:11" x14ac:dyDescent="0.2">
      <c r="A145"/>
      <c r="B145"/>
      <c r="C145">
        <v>92335</v>
      </c>
      <c r="D145">
        <v>19</v>
      </c>
      <c r="E145">
        <v>10042922</v>
      </c>
      <c r="F145" t="s">
        <v>914</v>
      </c>
      <c r="G145" t="s">
        <v>191</v>
      </c>
      <c r="H145" t="s">
        <v>113</v>
      </c>
      <c r="I145" t="s">
        <v>113</v>
      </c>
      <c r="J145" t="s">
        <v>113</v>
      </c>
      <c r="K145" t="s">
        <v>113</v>
      </c>
    </row>
    <row r="146" spans="1:11" x14ac:dyDescent="0.2">
      <c r="A146"/>
      <c r="B146"/>
      <c r="C146">
        <v>92335</v>
      </c>
      <c r="D146">
        <v>19</v>
      </c>
      <c r="E146">
        <v>10042600</v>
      </c>
      <c r="F146" t="s">
        <v>914</v>
      </c>
      <c r="G146" t="s">
        <v>191</v>
      </c>
      <c r="H146" t="s">
        <v>933</v>
      </c>
      <c r="I146" t="s">
        <v>933</v>
      </c>
      <c r="J146" t="s">
        <v>933</v>
      </c>
      <c r="K146" t="s">
        <v>933</v>
      </c>
    </row>
    <row r="147" spans="1:11" x14ac:dyDescent="0.2">
      <c r="A147"/>
      <c r="B147"/>
      <c r="C147">
        <v>91761</v>
      </c>
      <c r="D147">
        <v>18</v>
      </c>
      <c r="E147">
        <v>10308283</v>
      </c>
      <c r="F147" t="s">
        <v>914</v>
      </c>
      <c r="G147" t="s">
        <v>113</v>
      </c>
      <c r="H147" t="s">
        <v>113</v>
      </c>
      <c r="I147" t="s">
        <v>113</v>
      </c>
      <c r="J147" t="s">
        <v>113</v>
      </c>
      <c r="K147" t="s">
        <v>113</v>
      </c>
    </row>
    <row r="148" spans="1:11" x14ac:dyDescent="0.2">
      <c r="A148"/>
      <c r="B148"/>
      <c r="C148">
        <v>91706</v>
      </c>
      <c r="D148">
        <v>18</v>
      </c>
      <c r="E148">
        <v>10118280</v>
      </c>
      <c r="F148" t="s">
        <v>914</v>
      </c>
      <c r="G148" t="s">
        <v>103</v>
      </c>
      <c r="H148" t="s">
        <v>933</v>
      </c>
      <c r="I148" t="s">
        <v>933</v>
      </c>
      <c r="J148" t="s">
        <v>933</v>
      </c>
      <c r="K148" t="s">
        <v>933</v>
      </c>
    </row>
    <row r="149" spans="1:11" x14ac:dyDescent="0.2">
      <c r="A149"/>
      <c r="B149"/>
      <c r="C149">
        <v>92880</v>
      </c>
      <c r="D149">
        <v>18</v>
      </c>
      <c r="E149">
        <v>10372253</v>
      </c>
      <c r="F149" t="s">
        <v>914</v>
      </c>
      <c r="G149" t="s">
        <v>113</v>
      </c>
      <c r="H149" t="s">
        <v>113</v>
      </c>
      <c r="I149" t="s">
        <v>113</v>
      </c>
      <c r="J149" t="s">
        <v>113</v>
      </c>
      <c r="K149" t="s">
        <v>113</v>
      </c>
    </row>
    <row r="150" spans="1:11" x14ac:dyDescent="0.2">
      <c r="A150"/>
      <c r="B150"/>
      <c r="C150">
        <v>92337</v>
      </c>
      <c r="D150">
        <v>18</v>
      </c>
      <c r="E150">
        <v>1026000</v>
      </c>
      <c r="F150" t="s">
        <v>914</v>
      </c>
      <c r="G150" t="s">
        <v>933</v>
      </c>
      <c r="H150" t="s">
        <v>933</v>
      </c>
      <c r="I150" t="s">
        <v>933</v>
      </c>
      <c r="J150" t="s">
        <v>933</v>
      </c>
      <c r="K150" t="s">
        <v>933</v>
      </c>
    </row>
    <row r="151" spans="1:11" x14ac:dyDescent="0.2">
      <c r="A151"/>
      <c r="B151"/>
      <c r="C151">
        <v>91711</v>
      </c>
      <c r="D151">
        <v>18</v>
      </c>
      <c r="E151">
        <v>10362633</v>
      </c>
      <c r="F151" t="s">
        <v>914</v>
      </c>
      <c r="G151" t="s">
        <v>113</v>
      </c>
      <c r="H151" t="s">
        <v>113</v>
      </c>
      <c r="I151" t="s">
        <v>113</v>
      </c>
      <c r="J151" t="s">
        <v>113</v>
      </c>
      <c r="K151" t="s">
        <v>202</v>
      </c>
    </row>
    <row r="152" spans="1:11" x14ac:dyDescent="0.2">
      <c r="A152"/>
      <c r="B152"/>
      <c r="C152">
        <v>91706</v>
      </c>
      <c r="D152">
        <v>18</v>
      </c>
      <c r="E152">
        <v>10347762</v>
      </c>
      <c r="F152" t="s">
        <v>914</v>
      </c>
      <c r="G152" t="s">
        <v>103</v>
      </c>
      <c r="H152" t="s">
        <v>113</v>
      </c>
      <c r="I152" t="s">
        <v>113</v>
      </c>
      <c r="J152" t="s">
        <v>113</v>
      </c>
      <c r="K152" t="s">
        <v>103</v>
      </c>
    </row>
    <row r="153" spans="1:11" x14ac:dyDescent="0.2">
      <c r="A153"/>
      <c r="B153"/>
      <c r="C153">
        <v>91784</v>
      </c>
      <c r="D153">
        <v>18</v>
      </c>
      <c r="E153">
        <v>10355945</v>
      </c>
      <c r="F153" t="s">
        <v>914</v>
      </c>
      <c r="G153" t="s">
        <v>202</v>
      </c>
      <c r="H153" t="s">
        <v>202</v>
      </c>
      <c r="I153" t="s">
        <v>113</v>
      </c>
      <c r="J153" t="s">
        <v>113</v>
      </c>
      <c r="K153" t="s">
        <v>113</v>
      </c>
    </row>
    <row r="154" spans="1:11" x14ac:dyDescent="0.2">
      <c r="A154"/>
      <c r="B154"/>
      <c r="C154">
        <v>92336</v>
      </c>
      <c r="D154">
        <v>18</v>
      </c>
      <c r="E154">
        <v>10042188</v>
      </c>
      <c r="F154" t="s">
        <v>914</v>
      </c>
      <c r="G154" t="s">
        <v>113</v>
      </c>
      <c r="H154" t="s">
        <v>113</v>
      </c>
      <c r="I154" t="s">
        <v>113</v>
      </c>
      <c r="J154" t="s">
        <v>113</v>
      </c>
      <c r="K154" t="s">
        <v>113</v>
      </c>
    </row>
    <row r="155" spans="1:11" x14ac:dyDescent="0.2">
      <c r="A155"/>
      <c r="B155"/>
      <c r="C155">
        <v>91752</v>
      </c>
      <c r="D155">
        <v>18</v>
      </c>
      <c r="E155">
        <v>10199324</v>
      </c>
      <c r="F155" t="s">
        <v>914</v>
      </c>
      <c r="G155" t="s">
        <v>113</v>
      </c>
      <c r="H155" t="s">
        <v>113</v>
      </c>
      <c r="I155" t="s">
        <v>113</v>
      </c>
      <c r="J155" t="s">
        <v>113</v>
      </c>
      <c r="K155" t="s">
        <v>113</v>
      </c>
    </row>
    <row r="156" spans="1:11" x14ac:dyDescent="0.2">
      <c r="A156"/>
      <c r="B156"/>
      <c r="C156">
        <v>92337</v>
      </c>
      <c r="D156">
        <v>18</v>
      </c>
      <c r="E156">
        <v>10358062</v>
      </c>
      <c r="F156" t="s">
        <v>914</v>
      </c>
      <c r="G156" t="s">
        <v>933</v>
      </c>
      <c r="H156" t="s">
        <v>113</v>
      </c>
      <c r="I156" t="s">
        <v>113</v>
      </c>
      <c r="J156" t="s">
        <v>113</v>
      </c>
      <c r="K156" t="s">
        <v>113</v>
      </c>
    </row>
    <row r="157" spans="1:11" x14ac:dyDescent="0.2">
      <c r="A157"/>
      <c r="B157"/>
      <c r="C157">
        <v>91762</v>
      </c>
      <c r="D157">
        <v>18</v>
      </c>
      <c r="E157">
        <v>10358052</v>
      </c>
      <c r="F157" t="s">
        <v>914</v>
      </c>
      <c r="G157" t="s">
        <v>113</v>
      </c>
      <c r="H157" t="s">
        <v>113</v>
      </c>
      <c r="I157" t="s">
        <v>113</v>
      </c>
      <c r="J157" t="s">
        <v>113</v>
      </c>
      <c r="K157" t="s">
        <v>113</v>
      </c>
    </row>
    <row r="158" spans="1:11" x14ac:dyDescent="0.2">
      <c r="A158"/>
      <c r="B158"/>
      <c r="C158">
        <v>92336</v>
      </c>
      <c r="D158">
        <v>17</v>
      </c>
      <c r="E158">
        <v>10125379</v>
      </c>
      <c r="F158" t="s">
        <v>914</v>
      </c>
      <c r="G158" t="s">
        <v>113</v>
      </c>
      <c r="H158" t="s">
        <v>113</v>
      </c>
      <c r="I158" t="s">
        <v>113</v>
      </c>
      <c r="J158" t="s">
        <v>113</v>
      </c>
      <c r="K158" t="s">
        <v>113</v>
      </c>
    </row>
    <row r="159" spans="1:11" x14ac:dyDescent="0.2">
      <c r="A159"/>
      <c r="B159"/>
      <c r="C159">
        <v>92316</v>
      </c>
      <c r="D159">
        <v>17</v>
      </c>
      <c r="E159">
        <v>10197150</v>
      </c>
      <c r="F159" t="s">
        <v>914</v>
      </c>
      <c r="G159" t="s">
        <v>113</v>
      </c>
      <c r="H159" t="s">
        <v>113</v>
      </c>
      <c r="I159" t="s">
        <v>113</v>
      </c>
      <c r="J159" t="s">
        <v>113</v>
      </c>
      <c r="K159" t="s">
        <v>191</v>
      </c>
    </row>
    <row r="160" spans="1:11" x14ac:dyDescent="0.2">
      <c r="A160"/>
      <c r="B160"/>
      <c r="C160">
        <v>92337</v>
      </c>
      <c r="D160">
        <v>17</v>
      </c>
      <c r="E160">
        <v>10351475</v>
      </c>
      <c r="F160" t="s">
        <v>914</v>
      </c>
      <c r="G160" t="s">
        <v>113</v>
      </c>
      <c r="H160" t="s">
        <v>113</v>
      </c>
      <c r="I160" t="s">
        <v>113</v>
      </c>
      <c r="J160" t="s">
        <v>113</v>
      </c>
      <c r="K160" t="s">
        <v>113</v>
      </c>
    </row>
    <row r="161" spans="1:11" x14ac:dyDescent="0.2">
      <c r="A161"/>
      <c r="B161"/>
      <c r="C161">
        <v>92337</v>
      </c>
      <c r="D161">
        <v>16</v>
      </c>
      <c r="E161">
        <v>10043729</v>
      </c>
      <c r="F161" t="s">
        <v>914</v>
      </c>
      <c r="G161" t="s">
        <v>85</v>
      </c>
      <c r="H161" t="s">
        <v>85</v>
      </c>
      <c r="I161" t="s">
        <v>85</v>
      </c>
      <c r="J161" t="s">
        <v>85</v>
      </c>
      <c r="K161" t="s">
        <v>85</v>
      </c>
    </row>
    <row r="162" spans="1:11" x14ac:dyDescent="0.2">
      <c r="A162"/>
      <c r="B162"/>
      <c r="C162">
        <v>92336</v>
      </c>
      <c r="D162">
        <v>16</v>
      </c>
      <c r="E162">
        <v>10043226</v>
      </c>
      <c r="F162" t="s">
        <v>914</v>
      </c>
      <c r="G162" t="s">
        <v>85</v>
      </c>
      <c r="H162" t="s">
        <v>85</v>
      </c>
      <c r="I162" t="s">
        <v>85</v>
      </c>
      <c r="J162" t="s">
        <v>85</v>
      </c>
      <c r="K162" t="s">
        <v>85</v>
      </c>
    </row>
    <row r="163" spans="1:11" x14ac:dyDescent="0.2">
      <c r="A163"/>
      <c r="B163"/>
      <c r="C163">
        <v>92335</v>
      </c>
      <c r="D163">
        <v>16</v>
      </c>
      <c r="E163">
        <v>10366672</v>
      </c>
      <c r="F163" t="s">
        <v>914</v>
      </c>
      <c r="G163" t="s">
        <v>113</v>
      </c>
      <c r="H163" t="s">
        <v>113</v>
      </c>
      <c r="I163" t="s">
        <v>113</v>
      </c>
      <c r="J163" t="s">
        <v>113</v>
      </c>
      <c r="K163" t="s">
        <v>113</v>
      </c>
    </row>
    <row r="164" spans="1:11" x14ac:dyDescent="0.2">
      <c r="A164"/>
      <c r="B164"/>
      <c r="C164">
        <v>91010</v>
      </c>
      <c r="D164">
        <v>16</v>
      </c>
      <c r="E164">
        <v>103704971</v>
      </c>
      <c r="F164" t="s">
        <v>914</v>
      </c>
      <c r="G164" t="s">
        <v>113</v>
      </c>
      <c r="H164" t="s">
        <v>113</v>
      </c>
      <c r="I164" t="s">
        <v>113</v>
      </c>
      <c r="J164" t="s">
        <v>113</v>
      </c>
      <c r="K164" t="s">
        <v>113</v>
      </c>
    </row>
    <row r="165" spans="1:11" x14ac:dyDescent="0.2">
      <c r="A165"/>
      <c r="B165"/>
      <c r="C165">
        <v>92336</v>
      </c>
      <c r="D165">
        <v>16</v>
      </c>
      <c r="E165">
        <v>10144676</v>
      </c>
      <c r="F165" t="s">
        <v>914</v>
      </c>
      <c r="G165" t="s">
        <v>113</v>
      </c>
      <c r="H165" t="s">
        <v>113</v>
      </c>
      <c r="I165" t="s">
        <v>113</v>
      </c>
      <c r="J165" t="s">
        <v>113</v>
      </c>
      <c r="K165" t="s">
        <v>113</v>
      </c>
    </row>
    <row r="166" spans="1:11" x14ac:dyDescent="0.2">
      <c r="A166"/>
      <c r="B166"/>
      <c r="C166">
        <v>91709</v>
      </c>
      <c r="D166">
        <v>16</v>
      </c>
      <c r="E166">
        <v>10318478</v>
      </c>
      <c r="F166" t="s">
        <v>914</v>
      </c>
      <c r="G166" t="s">
        <v>113</v>
      </c>
      <c r="H166" t="s">
        <v>113</v>
      </c>
      <c r="I166" t="s">
        <v>113</v>
      </c>
      <c r="J166" t="s">
        <v>113</v>
      </c>
      <c r="K166" t="s">
        <v>113</v>
      </c>
    </row>
    <row r="167" spans="1:11" x14ac:dyDescent="0.2">
      <c r="A167"/>
      <c r="B167"/>
      <c r="C167">
        <v>91761</v>
      </c>
      <c r="D167">
        <v>15</v>
      </c>
      <c r="E167">
        <v>10043193</v>
      </c>
      <c r="F167" t="s">
        <v>914</v>
      </c>
      <c r="G167" t="s">
        <v>74</v>
      </c>
      <c r="H167" t="s">
        <v>74</v>
      </c>
      <c r="I167" t="s">
        <v>74</v>
      </c>
      <c r="J167" t="s">
        <v>74</v>
      </c>
      <c r="K167" t="s">
        <v>74</v>
      </c>
    </row>
    <row r="168" spans="1:11" x14ac:dyDescent="0.2">
      <c r="A168"/>
      <c r="B168"/>
      <c r="C168">
        <v>92336</v>
      </c>
      <c r="D168">
        <v>15</v>
      </c>
      <c r="E168">
        <v>10097957</v>
      </c>
      <c r="F168" t="s">
        <v>914</v>
      </c>
      <c r="G168" t="s">
        <v>74</v>
      </c>
      <c r="H168" t="s">
        <v>74</v>
      </c>
      <c r="I168" t="s">
        <v>74</v>
      </c>
      <c r="J168" t="s">
        <v>103</v>
      </c>
      <c r="K168" t="s">
        <v>103</v>
      </c>
    </row>
    <row r="169" spans="1:11" x14ac:dyDescent="0.2">
      <c r="A169"/>
      <c r="B169"/>
      <c r="C169">
        <v>91739</v>
      </c>
      <c r="D169">
        <v>15</v>
      </c>
      <c r="E169">
        <v>10372246</v>
      </c>
      <c r="F169" t="s">
        <v>914</v>
      </c>
      <c r="G169" t="s">
        <v>113</v>
      </c>
      <c r="H169" t="s">
        <v>103</v>
      </c>
      <c r="I169" t="s">
        <v>113</v>
      </c>
      <c r="J169" t="s">
        <v>103</v>
      </c>
      <c r="K169" t="s">
        <v>113</v>
      </c>
    </row>
    <row r="170" spans="1:11" x14ac:dyDescent="0.2">
      <c r="A170"/>
      <c r="B170"/>
      <c r="C170" s="9">
        <v>91744</v>
      </c>
      <c r="D170">
        <v>15</v>
      </c>
      <c r="E170">
        <v>10215439</v>
      </c>
      <c r="F170" t="s">
        <v>914</v>
      </c>
      <c r="G170" t="s">
        <v>113</v>
      </c>
      <c r="H170" t="s">
        <v>113</v>
      </c>
      <c r="I170" t="s">
        <v>113</v>
      </c>
      <c r="J170" t="s">
        <v>113</v>
      </c>
      <c r="K170" t="s">
        <v>113</v>
      </c>
    </row>
    <row r="171" spans="1:11" x14ac:dyDescent="0.2">
      <c r="A171"/>
      <c r="B171"/>
      <c r="C171">
        <v>92336</v>
      </c>
      <c r="D171">
        <v>15</v>
      </c>
      <c r="E171">
        <v>10042857</v>
      </c>
      <c r="F171" t="s">
        <v>914</v>
      </c>
      <c r="G171" t="s">
        <v>113</v>
      </c>
      <c r="H171" t="s">
        <v>113</v>
      </c>
      <c r="I171" t="s">
        <v>113</v>
      </c>
      <c r="J171" t="s">
        <v>113</v>
      </c>
      <c r="K171" t="s">
        <v>113</v>
      </c>
    </row>
    <row r="172" spans="1:11" x14ac:dyDescent="0.2">
      <c r="A172"/>
      <c r="B172"/>
      <c r="C172">
        <v>91722</v>
      </c>
      <c r="D172">
        <v>15</v>
      </c>
      <c r="E172">
        <v>10266238</v>
      </c>
      <c r="F172" t="s">
        <v>914</v>
      </c>
      <c r="G172" t="s">
        <v>108</v>
      </c>
      <c r="H172" t="s">
        <v>108</v>
      </c>
      <c r="I172" t="s">
        <v>108</v>
      </c>
      <c r="J172" t="s">
        <v>108</v>
      </c>
      <c r="K172" t="s">
        <v>108</v>
      </c>
    </row>
    <row r="173" spans="1:11" x14ac:dyDescent="0.2">
      <c r="A173"/>
      <c r="B173"/>
      <c r="C173">
        <v>91766</v>
      </c>
      <c r="D173">
        <v>15</v>
      </c>
      <c r="E173">
        <v>10275594</v>
      </c>
      <c r="F173" t="s">
        <v>914</v>
      </c>
      <c r="G173" t="s">
        <v>113</v>
      </c>
      <c r="H173" t="s">
        <v>113</v>
      </c>
      <c r="I173" t="s">
        <v>113</v>
      </c>
      <c r="J173" t="s">
        <v>113</v>
      </c>
      <c r="K173" t="s">
        <v>113</v>
      </c>
    </row>
    <row r="174" spans="1:11" x14ac:dyDescent="0.2">
      <c r="A174"/>
      <c r="B174"/>
      <c r="C174">
        <v>91792</v>
      </c>
      <c r="D174">
        <v>15</v>
      </c>
      <c r="E174">
        <v>10372241</v>
      </c>
      <c r="F174" t="s">
        <v>919</v>
      </c>
      <c r="G174" t="s">
        <v>113</v>
      </c>
      <c r="H174" t="s">
        <v>113</v>
      </c>
      <c r="I174" t="s">
        <v>113</v>
      </c>
      <c r="J174" t="s">
        <v>113</v>
      </c>
      <c r="K174" t="s">
        <v>113</v>
      </c>
    </row>
    <row r="175" spans="1:11" x14ac:dyDescent="0.2">
      <c r="A175"/>
      <c r="B175"/>
      <c r="C175">
        <v>91709</v>
      </c>
      <c r="D175">
        <v>14</v>
      </c>
      <c r="E175">
        <v>10368544</v>
      </c>
      <c r="F175" t="s">
        <v>914</v>
      </c>
      <c r="G175" t="s">
        <v>113</v>
      </c>
      <c r="H175" t="s">
        <v>113</v>
      </c>
      <c r="I175" t="s">
        <v>113</v>
      </c>
      <c r="J175" t="s">
        <v>113</v>
      </c>
      <c r="K175" t="s">
        <v>113</v>
      </c>
    </row>
    <row r="176" spans="1:11" x14ac:dyDescent="0.2">
      <c r="A176"/>
      <c r="B176"/>
      <c r="C176">
        <v>91702</v>
      </c>
      <c r="D176">
        <v>14</v>
      </c>
      <c r="E176">
        <v>10366613</v>
      </c>
      <c r="F176" t="s">
        <v>914</v>
      </c>
      <c r="G176" t="s">
        <v>113</v>
      </c>
      <c r="H176" t="s">
        <v>113</v>
      </c>
      <c r="I176" t="s">
        <v>113</v>
      </c>
      <c r="J176" t="s">
        <v>113</v>
      </c>
      <c r="K176" t="s">
        <v>113</v>
      </c>
    </row>
    <row r="177" spans="1:11" x14ac:dyDescent="0.2">
      <c r="A177"/>
      <c r="B177"/>
      <c r="C177">
        <v>91761</v>
      </c>
      <c r="D177">
        <v>14</v>
      </c>
      <c r="E177">
        <v>10368509</v>
      </c>
      <c r="F177" t="s">
        <v>914</v>
      </c>
      <c r="G177" t="s">
        <v>113</v>
      </c>
      <c r="H177" t="s">
        <v>113</v>
      </c>
      <c r="I177" t="s">
        <v>113</v>
      </c>
      <c r="J177" t="s">
        <v>113</v>
      </c>
      <c r="K177" t="s">
        <v>113</v>
      </c>
    </row>
    <row r="178" spans="1:11" x14ac:dyDescent="0.2">
      <c r="A178"/>
      <c r="B178"/>
      <c r="C178">
        <v>91739</v>
      </c>
      <c r="D178">
        <v>14</v>
      </c>
      <c r="E178">
        <v>10204035</v>
      </c>
      <c r="F178" t="s">
        <v>914</v>
      </c>
      <c r="G178" t="s">
        <v>113</v>
      </c>
      <c r="H178" t="s">
        <v>113</v>
      </c>
      <c r="I178" t="s">
        <v>113</v>
      </c>
      <c r="J178" t="s">
        <v>113</v>
      </c>
      <c r="K178" t="s">
        <v>113</v>
      </c>
    </row>
    <row r="179" spans="1:11" x14ac:dyDescent="0.2">
      <c r="A179"/>
      <c r="B179"/>
      <c r="C179">
        <v>91739</v>
      </c>
      <c r="D179">
        <v>13</v>
      </c>
      <c r="E179">
        <v>10097482</v>
      </c>
      <c r="F179" t="s">
        <v>914</v>
      </c>
      <c r="G179" t="s">
        <v>113</v>
      </c>
      <c r="H179" t="s">
        <v>113</v>
      </c>
      <c r="I179" t="s">
        <v>113</v>
      </c>
      <c r="J179" t="s">
        <v>113</v>
      </c>
      <c r="K179" t="s">
        <v>113</v>
      </c>
    </row>
    <row r="180" spans="1:11" x14ac:dyDescent="0.2">
      <c r="A180"/>
      <c r="B180"/>
      <c r="C180">
        <v>91709</v>
      </c>
      <c r="D180">
        <v>13</v>
      </c>
      <c r="E180">
        <v>10370214</v>
      </c>
      <c r="F180" t="s">
        <v>914</v>
      </c>
      <c r="G180" t="s">
        <v>103</v>
      </c>
      <c r="H180" t="s">
        <v>103</v>
      </c>
      <c r="I180" t="s">
        <v>103</v>
      </c>
      <c r="J180" t="s">
        <v>103</v>
      </c>
      <c r="K180" t="s">
        <v>103</v>
      </c>
    </row>
    <row r="181" spans="1:11" x14ac:dyDescent="0.2">
      <c r="A181"/>
      <c r="B181"/>
      <c r="C181">
        <v>91739</v>
      </c>
      <c r="D181">
        <v>13</v>
      </c>
      <c r="E181">
        <v>10121065</v>
      </c>
      <c r="F181" t="s">
        <v>914</v>
      </c>
      <c r="G181" t="s">
        <v>113</v>
      </c>
      <c r="H181" t="s">
        <v>103</v>
      </c>
      <c r="I181" t="s">
        <v>113</v>
      </c>
      <c r="J181" t="s">
        <v>113</v>
      </c>
      <c r="K181" t="s">
        <v>103</v>
      </c>
    </row>
    <row r="182" spans="1:11" x14ac:dyDescent="0.2">
      <c r="A182"/>
      <c r="B182"/>
      <c r="C182">
        <v>91711</v>
      </c>
      <c r="D182">
        <v>13</v>
      </c>
      <c r="E182">
        <v>10363938</v>
      </c>
      <c r="F182" t="s">
        <v>914</v>
      </c>
      <c r="G182" t="s">
        <v>103</v>
      </c>
      <c r="H182" t="s">
        <v>113</v>
      </c>
      <c r="I182" t="s">
        <v>933</v>
      </c>
      <c r="J182" t="s">
        <v>933</v>
      </c>
      <c r="K182" t="s">
        <v>103</v>
      </c>
    </row>
    <row r="183" spans="1:11" x14ac:dyDescent="0.2">
      <c r="A183"/>
      <c r="B183"/>
      <c r="C183">
        <v>91761</v>
      </c>
      <c r="D183">
        <v>13</v>
      </c>
      <c r="E183">
        <v>10356288</v>
      </c>
      <c r="F183" t="s">
        <v>914</v>
      </c>
      <c r="G183" t="s">
        <v>98</v>
      </c>
      <c r="H183" t="s">
        <v>98</v>
      </c>
      <c r="I183" t="s">
        <v>98</v>
      </c>
      <c r="J183" t="s">
        <v>98</v>
      </c>
      <c r="K183" t="s">
        <v>98</v>
      </c>
    </row>
    <row r="184" spans="1:11" x14ac:dyDescent="0.2">
      <c r="A184"/>
      <c r="B184"/>
      <c r="C184">
        <v>91723</v>
      </c>
      <c r="D184">
        <v>13</v>
      </c>
      <c r="E184">
        <v>10370868</v>
      </c>
      <c r="F184" t="s">
        <v>914</v>
      </c>
      <c r="G184" t="s">
        <v>113</v>
      </c>
      <c r="H184" t="s">
        <v>113</v>
      </c>
      <c r="I184" t="s">
        <v>113</v>
      </c>
      <c r="J184" t="s">
        <v>113</v>
      </c>
      <c r="K184" t="s">
        <v>113</v>
      </c>
    </row>
    <row r="185" spans="1:11" x14ac:dyDescent="0.2">
      <c r="A185"/>
      <c r="B185"/>
      <c r="C185">
        <v>91739</v>
      </c>
      <c r="D185">
        <v>12</v>
      </c>
      <c r="E185">
        <v>10334736</v>
      </c>
      <c r="F185" t="s">
        <v>914</v>
      </c>
      <c r="G185" t="s">
        <v>98</v>
      </c>
      <c r="H185" t="s">
        <v>98</v>
      </c>
      <c r="I185" t="s">
        <v>98</v>
      </c>
      <c r="J185" t="s">
        <v>103</v>
      </c>
      <c r="K185" t="s">
        <v>103</v>
      </c>
    </row>
    <row r="186" spans="1:11" x14ac:dyDescent="0.2">
      <c r="A186"/>
      <c r="B186"/>
      <c r="C186">
        <v>91701</v>
      </c>
      <c r="D186">
        <v>12</v>
      </c>
      <c r="E186">
        <v>10203165</v>
      </c>
      <c r="F186" t="s">
        <v>914</v>
      </c>
      <c r="G186" t="s">
        <v>103</v>
      </c>
      <c r="H186" t="s">
        <v>113</v>
      </c>
      <c r="I186" t="s">
        <v>113</v>
      </c>
      <c r="J186" t="s">
        <v>103</v>
      </c>
      <c r="K186" t="s">
        <v>113</v>
      </c>
    </row>
    <row r="187" spans="1:11" x14ac:dyDescent="0.2">
      <c r="A187"/>
      <c r="B187"/>
      <c r="C187">
        <v>91730</v>
      </c>
      <c r="D187">
        <v>12</v>
      </c>
      <c r="E187">
        <v>10365863</v>
      </c>
      <c r="F187" t="s">
        <v>914</v>
      </c>
      <c r="G187" t="s">
        <v>113</v>
      </c>
      <c r="H187" t="s">
        <v>113</v>
      </c>
      <c r="I187" t="s">
        <v>113</v>
      </c>
      <c r="J187" t="s">
        <v>113</v>
      </c>
      <c r="K187" t="s">
        <v>103</v>
      </c>
    </row>
    <row r="188" spans="1:11" x14ac:dyDescent="0.2">
      <c r="A188"/>
      <c r="B188"/>
      <c r="C188">
        <v>91722</v>
      </c>
      <c r="D188">
        <v>12</v>
      </c>
      <c r="E188">
        <v>10189436</v>
      </c>
      <c r="F188" t="s">
        <v>914</v>
      </c>
      <c r="G188" t="s">
        <v>113</v>
      </c>
      <c r="H188" t="s">
        <v>113</v>
      </c>
      <c r="I188" t="s">
        <v>113</v>
      </c>
      <c r="J188" t="s">
        <v>113</v>
      </c>
      <c r="K188" t="s">
        <v>113</v>
      </c>
    </row>
    <row r="189" spans="1:11" x14ac:dyDescent="0.2">
      <c r="A189"/>
      <c r="B189"/>
      <c r="C189">
        <v>91701</v>
      </c>
      <c r="D189">
        <v>12</v>
      </c>
      <c r="E189">
        <v>10358743</v>
      </c>
      <c r="F189" t="s">
        <v>914</v>
      </c>
      <c r="G189" t="s">
        <v>103</v>
      </c>
      <c r="H189" t="s">
        <v>113</v>
      </c>
      <c r="I189" t="s">
        <v>113</v>
      </c>
      <c r="J189" t="s">
        <v>113</v>
      </c>
      <c r="K189" t="s">
        <v>103</v>
      </c>
    </row>
    <row r="190" spans="1:11" x14ac:dyDescent="0.2">
      <c r="A190"/>
      <c r="B190"/>
      <c r="C190">
        <v>91765</v>
      </c>
      <c r="D190">
        <v>12</v>
      </c>
      <c r="E190">
        <v>10366558</v>
      </c>
      <c r="F190" t="s">
        <v>914</v>
      </c>
      <c r="G190" t="s">
        <v>191</v>
      </c>
      <c r="H190" t="s">
        <v>191</v>
      </c>
      <c r="I190" t="s">
        <v>191</v>
      </c>
      <c r="J190" t="s">
        <v>191</v>
      </c>
      <c r="K190" t="s">
        <v>191</v>
      </c>
    </row>
    <row r="191" spans="1:11" x14ac:dyDescent="0.2">
      <c r="A191"/>
      <c r="B191"/>
      <c r="C191">
        <v>91723</v>
      </c>
      <c r="D191">
        <v>12</v>
      </c>
      <c r="E191">
        <v>10361485</v>
      </c>
      <c r="F191" t="s">
        <v>914</v>
      </c>
      <c r="G191" t="s">
        <v>195</v>
      </c>
      <c r="H191" t="s">
        <v>113</v>
      </c>
      <c r="I191" t="s">
        <v>113</v>
      </c>
      <c r="J191" t="s">
        <v>113</v>
      </c>
      <c r="K191" t="s">
        <v>113</v>
      </c>
    </row>
    <row r="192" spans="1:11" x14ac:dyDescent="0.2">
      <c r="A192"/>
      <c r="B192"/>
      <c r="C192">
        <v>91737</v>
      </c>
      <c r="D192">
        <v>12</v>
      </c>
      <c r="E192">
        <v>1043135</v>
      </c>
      <c r="F192" t="s">
        <v>914</v>
      </c>
      <c r="G192" t="s">
        <v>113</v>
      </c>
      <c r="H192" t="s">
        <v>113</v>
      </c>
      <c r="I192" t="s">
        <v>113</v>
      </c>
      <c r="J192" t="s">
        <v>113</v>
      </c>
      <c r="K192" t="s">
        <v>103</v>
      </c>
    </row>
    <row r="193" spans="1:11" x14ac:dyDescent="0.2">
      <c r="A193"/>
      <c r="B193"/>
      <c r="C193">
        <v>91765</v>
      </c>
      <c r="D193">
        <v>12</v>
      </c>
      <c r="E193">
        <v>10351165</v>
      </c>
      <c r="F193" t="s">
        <v>914</v>
      </c>
      <c r="G193" t="s">
        <v>113</v>
      </c>
      <c r="H193" t="s">
        <v>113</v>
      </c>
      <c r="I193" t="s">
        <v>113</v>
      </c>
      <c r="J193" t="s">
        <v>113</v>
      </c>
      <c r="K193" t="s">
        <v>113</v>
      </c>
    </row>
    <row r="194" spans="1:11" x14ac:dyDescent="0.2">
      <c r="A194"/>
      <c r="B194"/>
      <c r="C194">
        <v>91764</v>
      </c>
      <c r="D194">
        <v>12</v>
      </c>
      <c r="E194">
        <v>1008653</v>
      </c>
      <c r="F194" t="s">
        <v>914</v>
      </c>
      <c r="G194" t="s">
        <v>113</v>
      </c>
      <c r="H194" t="s">
        <v>113</v>
      </c>
      <c r="I194" t="s">
        <v>113</v>
      </c>
      <c r="J194" t="s">
        <v>113</v>
      </c>
      <c r="K194" t="s">
        <v>113</v>
      </c>
    </row>
    <row r="195" spans="1:11" x14ac:dyDescent="0.2">
      <c r="A195"/>
      <c r="B195"/>
      <c r="C195">
        <v>91764</v>
      </c>
      <c r="D195">
        <v>12</v>
      </c>
      <c r="E195">
        <v>10344488</v>
      </c>
      <c r="F195" t="s">
        <v>914</v>
      </c>
      <c r="G195" t="s">
        <v>933</v>
      </c>
      <c r="H195" t="s">
        <v>933</v>
      </c>
      <c r="I195" t="s">
        <v>933</v>
      </c>
      <c r="J195" t="s">
        <v>933</v>
      </c>
      <c r="K195" t="s">
        <v>933</v>
      </c>
    </row>
    <row r="196" spans="1:11" x14ac:dyDescent="0.2">
      <c r="A196"/>
      <c r="B196"/>
      <c r="C196">
        <v>91709</v>
      </c>
      <c r="D196">
        <v>12</v>
      </c>
      <c r="E196">
        <v>10304932</v>
      </c>
      <c r="F196" t="s">
        <v>914</v>
      </c>
      <c r="G196" t="s">
        <v>113</v>
      </c>
      <c r="H196" t="s">
        <v>113</v>
      </c>
      <c r="I196" t="s">
        <v>113</v>
      </c>
      <c r="J196" t="s">
        <v>103</v>
      </c>
      <c r="K196" t="s">
        <v>103</v>
      </c>
    </row>
    <row r="197" spans="1:11" x14ac:dyDescent="0.2">
      <c r="A197"/>
      <c r="B197"/>
      <c r="C197">
        <v>91739</v>
      </c>
      <c r="D197">
        <v>12</v>
      </c>
      <c r="E197">
        <v>10368548</v>
      </c>
      <c r="F197" t="s">
        <v>914</v>
      </c>
      <c r="G197" t="s">
        <v>113</v>
      </c>
      <c r="H197" t="s">
        <v>113</v>
      </c>
      <c r="I197" t="s">
        <v>113</v>
      </c>
      <c r="J197" t="s">
        <v>113</v>
      </c>
      <c r="K197" t="s">
        <v>113</v>
      </c>
    </row>
    <row r="198" spans="1:11" x14ac:dyDescent="0.2">
      <c r="A198"/>
      <c r="B198"/>
      <c r="C198">
        <v>91765</v>
      </c>
      <c r="D198">
        <v>12</v>
      </c>
      <c r="E198">
        <v>10264902</v>
      </c>
      <c r="F198" t="s">
        <v>914</v>
      </c>
      <c r="G198" t="s">
        <v>113</v>
      </c>
      <c r="H198" t="s">
        <v>113</v>
      </c>
      <c r="I198" t="s">
        <v>113</v>
      </c>
      <c r="J198" t="s">
        <v>113</v>
      </c>
      <c r="K198" t="s">
        <v>113</v>
      </c>
    </row>
    <row r="199" spans="1:11" x14ac:dyDescent="0.2">
      <c r="A199"/>
      <c r="B199"/>
      <c r="C199">
        <v>91722</v>
      </c>
      <c r="D199">
        <v>12</v>
      </c>
      <c r="E199">
        <v>10043567</v>
      </c>
      <c r="F199" t="s">
        <v>914</v>
      </c>
      <c r="G199" t="s">
        <v>113</v>
      </c>
      <c r="H199" t="s">
        <v>113</v>
      </c>
      <c r="I199" t="s">
        <v>113</v>
      </c>
      <c r="J199" t="s">
        <v>113</v>
      </c>
      <c r="K199" t="s">
        <v>113</v>
      </c>
    </row>
    <row r="200" spans="1:11" x14ac:dyDescent="0.2">
      <c r="A200"/>
      <c r="B200"/>
      <c r="C200">
        <v>91739</v>
      </c>
      <c r="D200">
        <v>12</v>
      </c>
      <c r="E200">
        <v>10349377</v>
      </c>
      <c r="F200" t="s">
        <v>914</v>
      </c>
      <c r="G200" t="s">
        <v>113</v>
      </c>
      <c r="H200" t="s">
        <v>103</v>
      </c>
      <c r="I200" t="s">
        <v>98</v>
      </c>
      <c r="J200" t="s">
        <v>113</v>
      </c>
      <c r="K200" t="s">
        <v>103</v>
      </c>
    </row>
    <row r="201" spans="1:11" x14ac:dyDescent="0.2">
      <c r="A201"/>
      <c r="B201"/>
      <c r="C201">
        <v>91739</v>
      </c>
      <c r="D201">
        <v>12</v>
      </c>
      <c r="E201">
        <v>10043576</v>
      </c>
      <c r="F201" t="s">
        <v>914</v>
      </c>
      <c r="G201" t="s">
        <v>113</v>
      </c>
      <c r="H201" t="s">
        <v>113</v>
      </c>
      <c r="I201" t="s">
        <v>113</v>
      </c>
      <c r="J201" t="s">
        <v>113</v>
      </c>
      <c r="K201" t="s">
        <v>113</v>
      </c>
    </row>
    <row r="202" spans="1:11" x14ac:dyDescent="0.2">
      <c r="A202"/>
      <c r="B202"/>
      <c r="C202">
        <v>91711</v>
      </c>
      <c r="D202">
        <v>12</v>
      </c>
      <c r="E202">
        <v>10371231</v>
      </c>
      <c r="F202" t="s">
        <v>914</v>
      </c>
      <c r="G202" t="s">
        <v>1333</v>
      </c>
      <c r="H202" t="s">
        <v>1333</v>
      </c>
      <c r="I202" t="s">
        <v>1333</v>
      </c>
      <c r="J202" t="s">
        <v>1333</v>
      </c>
      <c r="K202" t="s">
        <v>1333</v>
      </c>
    </row>
    <row r="203" spans="1:11" x14ac:dyDescent="0.2">
      <c r="A203"/>
      <c r="B203"/>
      <c r="C203">
        <v>91741</v>
      </c>
      <c r="D203">
        <v>12</v>
      </c>
      <c r="E203">
        <v>10292348</v>
      </c>
      <c r="F203" t="s">
        <v>914</v>
      </c>
      <c r="G203" t="s">
        <v>191</v>
      </c>
      <c r="H203" t="s">
        <v>191</v>
      </c>
      <c r="I203" t="s">
        <v>191</v>
      </c>
      <c r="J203" t="s">
        <v>191</v>
      </c>
      <c r="K203" t="s">
        <v>191</v>
      </c>
    </row>
    <row r="204" spans="1:11" x14ac:dyDescent="0.2">
      <c r="A204"/>
      <c r="B204"/>
      <c r="C204">
        <v>91730</v>
      </c>
      <c r="D204">
        <v>11</v>
      </c>
      <c r="E204">
        <v>10086446</v>
      </c>
      <c r="F204" t="s">
        <v>914</v>
      </c>
      <c r="G204" t="s">
        <v>103</v>
      </c>
      <c r="H204" t="s">
        <v>113</v>
      </c>
      <c r="I204" t="s">
        <v>113</v>
      </c>
      <c r="J204" t="s">
        <v>113</v>
      </c>
      <c r="K204" t="s">
        <v>113</v>
      </c>
    </row>
    <row r="205" spans="1:11" x14ac:dyDescent="0.2">
      <c r="A205"/>
      <c r="B205"/>
      <c r="C205">
        <v>91730</v>
      </c>
      <c r="D205">
        <v>11</v>
      </c>
      <c r="E205">
        <v>10370484</v>
      </c>
      <c r="F205" t="s">
        <v>914</v>
      </c>
      <c r="G205" t="s">
        <v>113</v>
      </c>
      <c r="H205" t="s">
        <v>113</v>
      </c>
      <c r="I205" t="s">
        <v>113</v>
      </c>
      <c r="J205" t="s">
        <v>113</v>
      </c>
      <c r="K205" t="s">
        <v>113</v>
      </c>
    </row>
    <row r="206" spans="1:11" x14ac:dyDescent="0.2">
      <c r="A206"/>
      <c r="B206"/>
      <c r="C206">
        <v>91730</v>
      </c>
      <c r="D206">
        <v>11</v>
      </c>
      <c r="E206">
        <v>10370300</v>
      </c>
      <c r="F206" t="s">
        <v>914</v>
      </c>
      <c r="G206" t="s">
        <v>113</v>
      </c>
      <c r="H206" t="s">
        <v>113</v>
      </c>
      <c r="I206" t="s">
        <v>113</v>
      </c>
      <c r="J206" t="s">
        <v>113</v>
      </c>
      <c r="K206" t="s">
        <v>113</v>
      </c>
    </row>
    <row r="207" spans="1:11" x14ac:dyDescent="0.2">
      <c r="A207"/>
      <c r="B207"/>
      <c r="C207">
        <v>91711</v>
      </c>
      <c r="D207">
        <v>11</v>
      </c>
      <c r="E207">
        <v>10354879</v>
      </c>
      <c r="F207" t="s">
        <v>914</v>
      </c>
      <c r="G207" t="s">
        <v>113</v>
      </c>
      <c r="H207" t="s">
        <v>113</v>
      </c>
      <c r="I207" t="s">
        <v>113</v>
      </c>
      <c r="J207" t="s">
        <v>113</v>
      </c>
      <c r="K207" t="s">
        <v>113</v>
      </c>
    </row>
    <row r="208" spans="1:11" x14ac:dyDescent="0.2">
      <c r="A208"/>
      <c r="B208"/>
      <c r="C208">
        <v>91763</v>
      </c>
      <c r="D208">
        <v>11</v>
      </c>
      <c r="E208">
        <v>10370640</v>
      </c>
      <c r="F208" t="s">
        <v>914</v>
      </c>
      <c r="G208" t="s">
        <v>113</v>
      </c>
      <c r="H208" t="s">
        <v>113</v>
      </c>
      <c r="I208" t="s">
        <v>113</v>
      </c>
      <c r="J208" t="s">
        <v>113</v>
      </c>
      <c r="K208" t="s">
        <v>113</v>
      </c>
    </row>
    <row r="209" spans="1:11" x14ac:dyDescent="0.2">
      <c r="A209"/>
      <c r="B209"/>
      <c r="C209">
        <v>91789</v>
      </c>
      <c r="D209">
        <v>11</v>
      </c>
      <c r="E209">
        <v>10364803</v>
      </c>
      <c r="F209" t="s">
        <v>914</v>
      </c>
      <c r="G209" t="s">
        <v>195</v>
      </c>
      <c r="H209" t="s">
        <v>195</v>
      </c>
      <c r="I209" t="s">
        <v>195</v>
      </c>
      <c r="J209" t="s">
        <v>195</v>
      </c>
      <c r="K209" t="s">
        <v>195</v>
      </c>
    </row>
    <row r="210" spans="1:11" x14ac:dyDescent="0.2">
      <c r="A210"/>
      <c r="B210"/>
      <c r="C210">
        <v>91701</v>
      </c>
      <c r="D210">
        <v>10.8</v>
      </c>
      <c r="E210">
        <v>10099073</v>
      </c>
      <c r="F210" t="s">
        <v>914</v>
      </c>
      <c r="G210" t="s">
        <v>113</v>
      </c>
      <c r="H210" t="s">
        <v>113</v>
      </c>
      <c r="I210" t="s">
        <v>113</v>
      </c>
      <c r="J210" t="s">
        <v>113</v>
      </c>
      <c r="K210" t="s">
        <v>113</v>
      </c>
    </row>
    <row r="211" spans="1:11" x14ac:dyDescent="0.2">
      <c r="A211"/>
      <c r="B211"/>
      <c r="C211">
        <v>91709</v>
      </c>
      <c r="D211">
        <v>10</v>
      </c>
      <c r="E211">
        <v>10351889</v>
      </c>
      <c r="F211" t="s">
        <v>914</v>
      </c>
      <c r="G211" t="s">
        <v>103</v>
      </c>
      <c r="H211" t="s">
        <v>933</v>
      </c>
      <c r="I211" t="s">
        <v>933</v>
      </c>
      <c r="J211" t="s">
        <v>933</v>
      </c>
      <c r="K211" t="s">
        <v>103</v>
      </c>
    </row>
    <row r="212" spans="1:11" x14ac:dyDescent="0.2">
      <c r="A212"/>
      <c r="B212"/>
      <c r="C212">
        <v>91737</v>
      </c>
      <c r="D212">
        <v>10</v>
      </c>
      <c r="E212">
        <v>100183</v>
      </c>
      <c r="F212" t="s">
        <v>914</v>
      </c>
      <c r="G212" t="s">
        <v>113</v>
      </c>
      <c r="H212" t="s">
        <v>113</v>
      </c>
      <c r="I212" t="s">
        <v>113</v>
      </c>
      <c r="J212" t="s">
        <v>103</v>
      </c>
      <c r="K212" t="s">
        <v>103</v>
      </c>
    </row>
    <row r="213" spans="1:11" x14ac:dyDescent="0.2">
      <c r="A213"/>
      <c r="B213"/>
      <c r="C213">
        <v>91701</v>
      </c>
      <c r="D213">
        <v>10</v>
      </c>
      <c r="E213">
        <v>10042980</v>
      </c>
      <c r="F213" t="s">
        <v>914</v>
      </c>
      <c r="G213" t="s">
        <v>113</v>
      </c>
      <c r="H213" t="s">
        <v>113</v>
      </c>
      <c r="I213" t="s">
        <v>103</v>
      </c>
      <c r="J213" t="s">
        <v>113</v>
      </c>
      <c r="K213" t="s">
        <v>113</v>
      </c>
    </row>
    <row r="214" spans="1:11" x14ac:dyDescent="0.2">
      <c r="A214"/>
      <c r="B214"/>
      <c r="C214">
        <v>91730</v>
      </c>
      <c r="D214">
        <v>10</v>
      </c>
      <c r="E214">
        <v>10165618</v>
      </c>
      <c r="F214" t="s">
        <v>914</v>
      </c>
      <c r="G214" t="s">
        <v>113</v>
      </c>
      <c r="H214" t="s">
        <v>113</v>
      </c>
      <c r="I214" t="s">
        <v>113</v>
      </c>
      <c r="J214" t="s">
        <v>113</v>
      </c>
      <c r="K214" t="s">
        <v>113</v>
      </c>
    </row>
    <row r="215" spans="1:11" x14ac:dyDescent="0.2">
      <c r="A215"/>
      <c r="B215"/>
      <c r="C215">
        <v>91741</v>
      </c>
      <c r="D215">
        <v>10</v>
      </c>
      <c r="E215">
        <v>10361200</v>
      </c>
      <c r="F215" t="s">
        <v>914</v>
      </c>
      <c r="G215" t="s">
        <v>113</v>
      </c>
      <c r="H215" t="s">
        <v>103</v>
      </c>
      <c r="I215" t="s">
        <v>113</v>
      </c>
      <c r="J215" t="s">
        <v>113</v>
      </c>
      <c r="K215" t="s">
        <v>103</v>
      </c>
    </row>
    <row r="216" spans="1:11" x14ac:dyDescent="0.2">
      <c r="A216"/>
      <c r="B216"/>
      <c r="C216">
        <v>91764</v>
      </c>
      <c r="D216">
        <v>10</v>
      </c>
      <c r="E216">
        <v>10370665</v>
      </c>
      <c r="F216" t="s">
        <v>914</v>
      </c>
      <c r="G216" t="s">
        <v>113</v>
      </c>
      <c r="H216" t="s">
        <v>113</v>
      </c>
      <c r="I216" t="s">
        <v>113</v>
      </c>
      <c r="J216" t="s">
        <v>113</v>
      </c>
      <c r="K216" t="s">
        <v>113</v>
      </c>
    </row>
    <row r="217" spans="1:11" x14ac:dyDescent="0.2">
      <c r="A217"/>
      <c r="B217"/>
      <c r="C217">
        <v>91701</v>
      </c>
      <c r="D217">
        <v>10</v>
      </c>
      <c r="E217">
        <v>10366518</v>
      </c>
      <c r="F217" t="s">
        <v>914</v>
      </c>
      <c r="G217" t="s">
        <v>113</v>
      </c>
      <c r="H217" t="s">
        <v>195</v>
      </c>
      <c r="I217" t="s">
        <v>195</v>
      </c>
      <c r="J217" t="s">
        <v>195</v>
      </c>
      <c r="K217" t="s">
        <v>195</v>
      </c>
    </row>
    <row r="218" spans="1:11" x14ac:dyDescent="0.2">
      <c r="A218"/>
      <c r="B218"/>
      <c r="C218">
        <v>91710</v>
      </c>
      <c r="D218">
        <v>10</v>
      </c>
      <c r="E218">
        <v>10368759</v>
      </c>
      <c r="F218" t="s">
        <v>914</v>
      </c>
      <c r="G218" t="s">
        <v>113</v>
      </c>
      <c r="H218" t="s">
        <v>113</v>
      </c>
      <c r="I218" t="s">
        <v>113</v>
      </c>
      <c r="J218" t="s">
        <v>113</v>
      </c>
      <c r="K218" t="s">
        <v>113</v>
      </c>
    </row>
    <row r="219" spans="1:11" x14ac:dyDescent="0.2">
      <c r="A219"/>
      <c r="B219"/>
      <c r="C219">
        <v>91761</v>
      </c>
      <c r="D219">
        <v>10</v>
      </c>
      <c r="E219">
        <v>10356289</v>
      </c>
      <c r="F219" t="s">
        <v>914</v>
      </c>
      <c r="G219" t="s">
        <v>113</v>
      </c>
      <c r="H219" t="s">
        <v>113</v>
      </c>
      <c r="I219" t="s">
        <v>113</v>
      </c>
      <c r="J219" t="s">
        <v>113</v>
      </c>
      <c r="K219" t="s">
        <v>113</v>
      </c>
    </row>
    <row r="220" spans="1:11" x14ac:dyDescent="0.2">
      <c r="A220"/>
      <c r="B220"/>
      <c r="C220">
        <v>91730</v>
      </c>
      <c r="D220">
        <v>10</v>
      </c>
      <c r="E220">
        <v>10183233</v>
      </c>
      <c r="F220" t="s">
        <v>914</v>
      </c>
      <c r="G220" t="s">
        <v>113</v>
      </c>
      <c r="H220" t="s">
        <v>113</v>
      </c>
      <c r="I220" t="s">
        <v>113</v>
      </c>
      <c r="J220" t="s">
        <v>113</v>
      </c>
      <c r="K220" t="s">
        <v>113</v>
      </c>
    </row>
    <row r="221" spans="1:11" x14ac:dyDescent="0.2">
      <c r="A221"/>
      <c r="B221"/>
      <c r="C221">
        <v>91701</v>
      </c>
      <c r="D221">
        <v>10</v>
      </c>
      <c r="E221">
        <v>10024952</v>
      </c>
      <c r="F221" t="s">
        <v>914</v>
      </c>
      <c r="G221" t="s">
        <v>113</v>
      </c>
      <c r="H221" t="s">
        <v>113</v>
      </c>
      <c r="I221" t="s">
        <v>113</v>
      </c>
      <c r="J221" t="s">
        <v>113</v>
      </c>
      <c r="K221" t="s">
        <v>195</v>
      </c>
    </row>
    <row r="222" spans="1:11" x14ac:dyDescent="0.2">
      <c r="A222"/>
      <c r="B222"/>
      <c r="C222">
        <v>91764</v>
      </c>
      <c r="D222">
        <v>10</v>
      </c>
      <c r="E222">
        <v>10289462</v>
      </c>
      <c r="F222" t="s">
        <v>914</v>
      </c>
      <c r="G222" t="s">
        <v>933</v>
      </c>
      <c r="H222" t="s">
        <v>933</v>
      </c>
      <c r="I222" t="s">
        <v>933</v>
      </c>
      <c r="J222" t="s">
        <v>103</v>
      </c>
      <c r="K222" t="s">
        <v>103</v>
      </c>
    </row>
    <row r="223" spans="1:11" x14ac:dyDescent="0.2">
      <c r="A223"/>
      <c r="B223"/>
      <c r="C223">
        <v>91764</v>
      </c>
      <c r="D223">
        <v>10</v>
      </c>
      <c r="E223">
        <v>10196492</v>
      </c>
      <c r="F223" t="s">
        <v>914</v>
      </c>
      <c r="G223" t="s">
        <v>113</v>
      </c>
      <c r="H223" t="s">
        <v>113</v>
      </c>
      <c r="I223" t="s">
        <v>113</v>
      </c>
      <c r="J223" t="s">
        <v>113</v>
      </c>
      <c r="K223" t="s">
        <v>113</v>
      </c>
    </row>
    <row r="224" spans="1:11" x14ac:dyDescent="0.2">
      <c r="A224"/>
      <c r="B224"/>
      <c r="C224">
        <v>91767</v>
      </c>
      <c r="D224">
        <v>10</v>
      </c>
      <c r="E224">
        <v>10043384</v>
      </c>
      <c r="F224" t="s">
        <v>914</v>
      </c>
      <c r="G224" t="s">
        <v>191</v>
      </c>
      <c r="H224" t="s">
        <v>195</v>
      </c>
      <c r="I224" t="s">
        <v>195</v>
      </c>
      <c r="J224" t="s">
        <v>191</v>
      </c>
      <c r="K224" t="s">
        <v>933</v>
      </c>
    </row>
    <row r="225" spans="1:11" x14ac:dyDescent="0.2">
      <c r="A225"/>
      <c r="B225"/>
      <c r="C225">
        <v>91739</v>
      </c>
      <c r="D225">
        <v>10</v>
      </c>
      <c r="E225">
        <v>10370462</v>
      </c>
      <c r="F225" t="s">
        <v>914</v>
      </c>
      <c r="G225" t="s">
        <v>113</v>
      </c>
      <c r="H225" t="s">
        <v>202</v>
      </c>
      <c r="I225" t="s">
        <v>113</v>
      </c>
      <c r="J225" t="s">
        <v>199</v>
      </c>
      <c r="K225" t="s">
        <v>202</v>
      </c>
    </row>
    <row r="226" spans="1:11" x14ac:dyDescent="0.2">
      <c r="A226"/>
      <c r="B226"/>
      <c r="C226">
        <v>91701</v>
      </c>
      <c r="D226">
        <v>10</v>
      </c>
      <c r="E226">
        <v>10371341</v>
      </c>
      <c r="F226" t="s">
        <v>914</v>
      </c>
      <c r="G226" t="s">
        <v>113</v>
      </c>
      <c r="H226" t="s">
        <v>113</v>
      </c>
      <c r="I226" t="s">
        <v>113</v>
      </c>
      <c r="J226" t="s">
        <v>933</v>
      </c>
      <c r="K226" t="s">
        <v>113</v>
      </c>
    </row>
    <row r="227" spans="1:11" x14ac:dyDescent="0.2">
      <c r="A227"/>
      <c r="B227"/>
      <c r="C227">
        <v>91762</v>
      </c>
      <c r="D227">
        <v>10</v>
      </c>
      <c r="E227">
        <v>10043018</v>
      </c>
      <c r="F227" t="s">
        <v>914</v>
      </c>
      <c r="G227" t="s">
        <v>933</v>
      </c>
      <c r="H227" t="s">
        <v>933</v>
      </c>
      <c r="I227" t="s">
        <v>933</v>
      </c>
      <c r="J227" t="s">
        <v>933</v>
      </c>
      <c r="K227" t="s">
        <v>933</v>
      </c>
    </row>
    <row r="228" spans="1:11" x14ac:dyDescent="0.2">
      <c r="A228"/>
      <c r="B228"/>
      <c r="C228">
        <v>91773</v>
      </c>
      <c r="D228">
        <v>10</v>
      </c>
      <c r="E228">
        <v>10366677</v>
      </c>
      <c r="F228" t="s">
        <v>914</v>
      </c>
      <c r="G228" t="s">
        <v>113</v>
      </c>
      <c r="H228" t="s">
        <v>113</v>
      </c>
      <c r="I228" t="s">
        <v>113</v>
      </c>
      <c r="J228" t="s">
        <v>113</v>
      </c>
      <c r="K228" t="s">
        <v>113</v>
      </c>
    </row>
    <row r="229" spans="1:11" x14ac:dyDescent="0.2">
      <c r="A229"/>
      <c r="B229"/>
      <c r="C229">
        <v>91711</v>
      </c>
      <c r="D229">
        <v>10</v>
      </c>
      <c r="E229">
        <v>10225528</v>
      </c>
      <c r="F229" t="s">
        <v>914</v>
      </c>
      <c r="G229" t="s">
        <v>113</v>
      </c>
      <c r="H229" t="s">
        <v>113</v>
      </c>
      <c r="I229" t="s">
        <v>113</v>
      </c>
      <c r="J229" t="s">
        <v>113</v>
      </c>
      <c r="K229" t="s">
        <v>103</v>
      </c>
    </row>
    <row r="230" spans="1:11" x14ac:dyDescent="0.2">
      <c r="A230"/>
      <c r="B230"/>
      <c r="C230">
        <v>91750</v>
      </c>
      <c r="D230">
        <v>10</v>
      </c>
      <c r="E230">
        <v>10368510</v>
      </c>
      <c r="F230" t="s">
        <v>914</v>
      </c>
      <c r="G230" t="s">
        <v>113</v>
      </c>
      <c r="H230" t="s">
        <v>113</v>
      </c>
      <c r="I230" t="s">
        <v>113</v>
      </c>
      <c r="J230" t="s">
        <v>113</v>
      </c>
      <c r="K230" t="s">
        <v>113</v>
      </c>
    </row>
    <row r="231" spans="1:11" x14ac:dyDescent="0.2">
      <c r="A231"/>
      <c r="B231"/>
      <c r="C231">
        <v>91764</v>
      </c>
      <c r="D231">
        <v>10</v>
      </c>
      <c r="E231">
        <v>10090700</v>
      </c>
      <c r="F231" t="s">
        <v>914</v>
      </c>
      <c r="G231" t="s">
        <v>113</v>
      </c>
      <c r="H231" t="s">
        <v>113</v>
      </c>
      <c r="I231" t="s">
        <v>113</v>
      </c>
      <c r="J231" t="s">
        <v>113</v>
      </c>
      <c r="K231" t="s">
        <v>113</v>
      </c>
    </row>
    <row r="232" spans="1:11" x14ac:dyDescent="0.2">
      <c r="A232"/>
      <c r="B232"/>
      <c r="C232">
        <v>91765</v>
      </c>
      <c r="D232">
        <v>10</v>
      </c>
      <c r="E232">
        <v>10092556</v>
      </c>
      <c r="F232" t="s">
        <v>914</v>
      </c>
      <c r="G232" t="s">
        <v>113</v>
      </c>
      <c r="H232" t="s">
        <v>113</v>
      </c>
      <c r="I232" t="s">
        <v>113</v>
      </c>
      <c r="J232" t="s">
        <v>113</v>
      </c>
      <c r="K232" t="s">
        <v>113</v>
      </c>
    </row>
    <row r="233" spans="1:11" x14ac:dyDescent="0.2">
      <c r="A233"/>
      <c r="B233"/>
      <c r="C233">
        <v>91761</v>
      </c>
      <c r="D233">
        <v>10</v>
      </c>
      <c r="E233">
        <v>10043655</v>
      </c>
      <c r="F233" t="s">
        <v>914</v>
      </c>
      <c r="G233" t="s">
        <v>113</v>
      </c>
      <c r="H233" t="s">
        <v>113</v>
      </c>
      <c r="I233" t="s">
        <v>113</v>
      </c>
      <c r="J233" t="s">
        <v>113</v>
      </c>
      <c r="K233" t="s">
        <v>113</v>
      </c>
    </row>
    <row r="234" spans="1:11" x14ac:dyDescent="0.2">
      <c r="A234"/>
      <c r="B234"/>
      <c r="C234">
        <v>91766</v>
      </c>
      <c r="D234">
        <v>10</v>
      </c>
      <c r="E234">
        <v>10090606</v>
      </c>
      <c r="F234" t="s">
        <v>914</v>
      </c>
      <c r="G234" t="s">
        <v>113</v>
      </c>
      <c r="H234" t="s">
        <v>113</v>
      </c>
      <c r="I234" t="s">
        <v>113</v>
      </c>
      <c r="J234" t="s">
        <v>113</v>
      </c>
      <c r="K234" t="s">
        <v>113</v>
      </c>
    </row>
    <row r="235" spans="1:11" x14ac:dyDescent="0.2">
      <c r="A235"/>
      <c r="B235"/>
      <c r="C235">
        <v>91709</v>
      </c>
      <c r="D235">
        <v>10</v>
      </c>
      <c r="E235">
        <v>10196502</v>
      </c>
      <c r="F235" t="s">
        <v>914</v>
      </c>
      <c r="G235" t="s">
        <v>103</v>
      </c>
      <c r="H235" t="s">
        <v>113</v>
      </c>
      <c r="I235" t="s">
        <v>113</v>
      </c>
      <c r="J235" t="s">
        <v>113</v>
      </c>
      <c r="K235" t="s">
        <v>103</v>
      </c>
    </row>
    <row r="236" spans="1:11" x14ac:dyDescent="0.2">
      <c r="A236"/>
      <c r="B236"/>
      <c r="C236">
        <v>91761</v>
      </c>
      <c r="D236">
        <v>9</v>
      </c>
      <c r="E236">
        <v>10370205</v>
      </c>
      <c r="F236" t="s">
        <v>914</v>
      </c>
      <c r="G236" t="s">
        <v>113</v>
      </c>
      <c r="H236" t="s">
        <v>113</v>
      </c>
      <c r="I236" t="s">
        <v>113</v>
      </c>
      <c r="J236" t="s">
        <v>113</v>
      </c>
      <c r="K236" t="s">
        <v>113</v>
      </c>
    </row>
    <row r="237" spans="1:11" x14ac:dyDescent="0.2">
      <c r="A237"/>
      <c r="B237"/>
      <c r="C237">
        <v>91773</v>
      </c>
      <c r="D237">
        <v>9</v>
      </c>
      <c r="E237">
        <v>10260863</v>
      </c>
      <c r="F237" t="s">
        <v>914</v>
      </c>
      <c r="G237" t="s">
        <v>113</v>
      </c>
      <c r="H237" t="s">
        <v>113</v>
      </c>
      <c r="I237" t="s">
        <v>113</v>
      </c>
      <c r="J237" t="s">
        <v>113</v>
      </c>
      <c r="K237" t="s">
        <v>113</v>
      </c>
    </row>
    <row r="238" spans="1:11" x14ac:dyDescent="0.2">
      <c r="A238"/>
      <c r="B238"/>
      <c r="C238">
        <v>91723</v>
      </c>
      <c r="D238">
        <v>9</v>
      </c>
      <c r="E238">
        <v>100696</v>
      </c>
      <c r="F238" t="s">
        <v>914</v>
      </c>
      <c r="G238" t="s">
        <v>85</v>
      </c>
      <c r="H238" t="s">
        <v>85</v>
      </c>
      <c r="I238" t="s">
        <v>85</v>
      </c>
      <c r="J238" t="s">
        <v>85</v>
      </c>
      <c r="K238" t="s">
        <v>85</v>
      </c>
    </row>
    <row r="239" spans="1:11" x14ac:dyDescent="0.2">
      <c r="A239"/>
      <c r="B239"/>
      <c r="C239">
        <v>91709</v>
      </c>
      <c r="D239">
        <v>9</v>
      </c>
      <c r="E239">
        <v>100921</v>
      </c>
      <c r="F239" t="s">
        <v>914</v>
      </c>
      <c r="G239" t="s">
        <v>113</v>
      </c>
      <c r="H239" t="s">
        <v>113</v>
      </c>
      <c r="I239" t="s">
        <v>113</v>
      </c>
      <c r="J239" t="s">
        <v>113</v>
      </c>
      <c r="K239" t="s">
        <v>113</v>
      </c>
    </row>
    <row r="240" spans="1:11" x14ac:dyDescent="0.2">
      <c r="A240"/>
      <c r="B240"/>
      <c r="C240">
        <v>91730</v>
      </c>
      <c r="D240">
        <v>9</v>
      </c>
      <c r="E240">
        <v>10043235</v>
      </c>
      <c r="F240" t="s">
        <v>914</v>
      </c>
      <c r="G240" t="s">
        <v>113</v>
      </c>
      <c r="H240" t="s">
        <v>113</v>
      </c>
      <c r="I240" t="s">
        <v>113</v>
      </c>
      <c r="J240" t="s">
        <v>113</v>
      </c>
      <c r="K240" t="s">
        <v>113</v>
      </c>
    </row>
    <row r="241" spans="1:11" x14ac:dyDescent="0.2">
      <c r="A241"/>
      <c r="B241"/>
      <c r="C241">
        <v>91767</v>
      </c>
      <c r="D241">
        <v>9</v>
      </c>
      <c r="E241">
        <v>10138149</v>
      </c>
      <c r="F241" t="s">
        <v>914</v>
      </c>
      <c r="G241" t="s">
        <v>933</v>
      </c>
      <c r="H241" t="s">
        <v>191</v>
      </c>
      <c r="I241" t="s">
        <v>933</v>
      </c>
      <c r="J241" t="s">
        <v>933</v>
      </c>
      <c r="K241" t="s">
        <v>933</v>
      </c>
    </row>
    <row r="242" spans="1:11" x14ac:dyDescent="0.2">
      <c r="A242"/>
      <c r="B242"/>
      <c r="C242">
        <v>91762</v>
      </c>
      <c r="D242">
        <v>9</v>
      </c>
      <c r="E242">
        <v>108933</v>
      </c>
      <c r="F242" t="s">
        <v>914</v>
      </c>
      <c r="G242" t="s">
        <v>113</v>
      </c>
      <c r="H242" t="s">
        <v>113</v>
      </c>
      <c r="I242" t="s">
        <v>113</v>
      </c>
      <c r="J242" t="s">
        <v>113</v>
      </c>
      <c r="K242" t="s">
        <v>113</v>
      </c>
    </row>
    <row r="243" spans="1:11" x14ac:dyDescent="0.2">
      <c r="A243"/>
      <c r="B243"/>
      <c r="C243">
        <v>91730</v>
      </c>
      <c r="D243">
        <v>8</v>
      </c>
      <c r="E243">
        <v>10368627</v>
      </c>
      <c r="F243" t="s">
        <v>914</v>
      </c>
      <c r="G243" t="s">
        <v>113</v>
      </c>
      <c r="H243" t="s">
        <v>103</v>
      </c>
      <c r="I243" t="s">
        <v>191</v>
      </c>
      <c r="J243" t="s">
        <v>103</v>
      </c>
      <c r="K243" t="s">
        <v>113</v>
      </c>
    </row>
    <row r="244" spans="1:11" x14ac:dyDescent="0.2">
      <c r="A244"/>
      <c r="B244"/>
      <c r="C244">
        <v>91763</v>
      </c>
      <c r="D244">
        <v>8</v>
      </c>
      <c r="E244">
        <v>10368570</v>
      </c>
      <c r="F244" t="s">
        <v>914</v>
      </c>
      <c r="G244" t="s">
        <v>191</v>
      </c>
      <c r="H244" t="s">
        <v>191</v>
      </c>
      <c r="I244" t="s">
        <v>191</v>
      </c>
      <c r="J244" t="s">
        <v>191</v>
      </c>
      <c r="K244" t="s">
        <v>191</v>
      </c>
    </row>
    <row r="245" spans="1:11" x14ac:dyDescent="0.2">
      <c r="A245"/>
      <c r="B245"/>
      <c r="C245">
        <v>91701</v>
      </c>
      <c r="D245">
        <v>8</v>
      </c>
      <c r="E245">
        <v>10185827</v>
      </c>
      <c r="F245" t="s">
        <v>914</v>
      </c>
      <c r="G245" t="s">
        <v>113</v>
      </c>
      <c r="H245" t="s">
        <v>113</v>
      </c>
      <c r="I245" t="s">
        <v>113</v>
      </c>
      <c r="J245" t="s">
        <v>113</v>
      </c>
      <c r="K245" t="s">
        <v>113</v>
      </c>
    </row>
    <row r="246" spans="1:11" x14ac:dyDescent="0.2">
      <c r="A246"/>
      <c r="B246"/>
      <c r="C246">
        <v>91762</v>
      </c>
      <c r="D246">
        <v>8</v>
      </c>
      <c r="E246">
        <v>10085156</v>
      </c>
      <c r="F246" t="s">
        <v>914</v>
      </c>
      <c r="G246" t="s">
        <v>113</v>
      </c>
      <c r="H246" t="s">
        <v>113</v>
      </c>
      <c r="I246" t="s">
        <v>113</v>
      </c>
      <c r="J246" t="s">
        <v>113</v>
      </c>
      <c r="K246" t="s">
        <v>113</v>
      </c>
    </row>
    <row r="247" spans="1:11" x14ac:dyDescent="0.2">
      <c r="A247"/>
      <c r="B247"/>
      <c r="C247">
        <v>91730</v>
      </c>
      <c r="D247">
        <v>8</v>
      </c>
      <c r="E247">
        <v>10042917</v>
      </c>
      <c r="F247" t="s">
        <v>914</v>
      </c>
      <c r="G247" t="s">
        <v>113</v>
      </c>
      <c r="H247" t="s">
        <v>113</v>
      </c>
      <c r="I247" t="s">
        <v>113</v>
      </c>
      <c r="J247" t="s">
        <v>113</v>
      </c>
      <c r="K247" t="s">
        <v>113</v>
      </c>
    </row>
    <row r="248" spans="1:11" x14ac:dyDescent="0.2">
      <c r="A248"/>
      <c r="B248"/>
      <c r="C248">
        <v>91750</v>
      </c>
      <c r="D248">
        <v>8</v>
      </c>
      <c r="E248">
        <v>10349972</v>
      </c>
      <c r="F248" t="s">
        <v>914</v>
      </c>
      <c r="G248" t="s">
        <v>933</v>
      </c>
      <c r="H248" t="s">
        <v>933</v>
      </c>
      <c r="I248" t="s">
        <v>933</v>
      </c>
      <c r="J248" t="s">
        <v>103</v>
      </c>
      <c r="K248" t="s">
        <v>933</v>
      </c>
    </row>
    <row r="249" spans="1:11" x14ac:dyDescent="0.2">
      <c r="A249"/>
      <c r="B249"/>
      <c r="C249">
        <v>91701</v>
      </c>
      <c r="D249">
        <v>8</v>
      </c>
      <c r="E249">
        <v>10021827</v>
      </c>
      <c r="F249" t="s">
        <v>914</v>
      </c>
      <c r="G249" t="s">
        <v>113</v>
      </c>
      <c r="H249" t="s">
        <v>113</v>
      </c>
      <c r="I249" t="s">
        <v>103</v>
      </c>
      <c r="J249" t="s">
        <v>199</v>
      </c>
      <c r="K249" t="s">
        <v>199</v>
      </c>
    </row>
    <row r="250" spans="1:11" x14ac:dyDescent="0.2">
      <c r="A250"/>
      <c r="B250"/>
      <c r="C250">
        <v>91762</v>
      </c>
      <c r="D250">
        <v>8</v>
      </c>
      <c r="E250">
        <v>10365185</v>
      </c>
      <c r="F250" t="s">
        <v>914</v>
      </c>
      <c r="G250" t="s">
        <v>113</v>
      </c>
      <c r="H250" t="s">
        <v>113</v>
      </c>
      <c r="I250" t="s">
        <v>113</v>
      </c>
      <c r="J250" t="s">
        <v>113</v>
      </c>
      <c r="K250" t="s">
        <v>113</v>
      </c>
    </row>
    <row r="251" spans="1:11" x14ac:dyDescent="0.2">
      <c r="A251"/>
      <c r="B251"/>
      <c r="C251">
        <v>91764</v>
      </c>
      <c r="D251">
        <v>8</v>
      </c>
      <c r="E251">
        <v>10372709</v>
      </c>
      <c r="F251" t="s">
        <v>914</v>
      </c>
      <c r="G251" t="s">
        <v>113</v>
      </c>
      <c r="H251" t="s">
        <v>113</v>
      </c>
      <c r="I251" t="s">
        <v>113</v>
      </c>
      <c r="J251" t="s">
        <v>113</v>
      </c>
      <c r="K251" t="s">
        <v>113</v>
      </c>
    </row>
    <row r="252" spans="1:11" x14ac:dyDescent="0.2">
      <c r="A252"/>
      <c r="B252"/>
      <c r="C252">
        <v>91764</v>
      </c>
      <c r="D252">
        <v>8</v>
      </c>
      <c r="E252">
        <v>10289955</v>
      </c>
      <c r="F252" t="s">
        <v>914</v>
      </c>
      <c r="G252" t="s">
        <v>113</v>
      </c>
      <c r="H252" t="s">
        <v>113</v>
      </c>
      <c r="I252" t="s">
        <v>113</v>
      </c>
      <c r="J252" t="s">
        <v>113</v>
      </c>
      <c r="K252" t="s">
        <v>113</v>
      </c>
    </row>
    <row r="253" spans="1:11" x14ac:dyDescent="0.2">
      <c r="A253"/>
      <c r="B253"/>
      <c r="C253">
        <v>91761</v>
      </c>
      <c r="D253">
        <v>8</v>
      </c>
      <c r="E253">
        <v>10366654</v>
      </c>
      <c r="F253" t="s">
        <v>914</v>
      </c>
      <c r="G253" t="s">
        <v>113</v>
      </c>
      <c r="H253" t="s">
        <v>113</v>
      </c>
      <c r="I253" t="s">
        <v>113</v>
      </c>
      <c r="J253" t="s">
        <v>113</v>
      </c>
      <c r="K253" t="s">
        <v>113</v>
      </c>
    </row>
    <row r="254" spans="1:11" x14ac:dyDescent="0.2">
      <c r="A254"/>
      <c r="B254"/>
      <c r="C254">
        <v>91701</v>
      </c>
      <c r="D254">
        <v>8</v>
      </c>
      <c r="E254">
        <v>10305597</v>
      </c>
      <c r="F254" t="s">
        <v>914</v>
      </c>
      <c r="G254" t="s">
        <v>199</v>
      </c>
      <c r="H254" t="s">
        <v>113</v>
      </c>
      <c r="I254" t="s">
        <v>113</v>
      </c>
      <c r="J254" t="s">
        <v>113</v>
      </c>
      <c r="K254" t="s">
        <v>113</v>
      </c>
    </row>
    <row r="255" spans="1:11" x14ac:dyDescent="0.2">
      <c r="A255"/>
      <c r="B255"/>
      <c r="C255">
        <v>91762</v>
      </c>
      <c r="D255">
        <v>8</v>
      </c>
      <c r="E255">
        <v>10199325</v>
      </c>
      <c r="F255" t="s">
        <v>914</v>
      </c>
      <c r="G255" t="s">
        <v>113</v>
      </c>
      <c r="H255" t="s">
        <v>113</v>
      </c>
      <c r="I255" t="s">
        <v>113</v>
      </c>
      <c r="J255" t="s">
        <v>113</v>
      </c>
      <c r="K255" t="s">
        <v>113</v>
      </c>
    </row>
    <row r="256" spans="1:11" x14ac:dyDescent="0.2">
      <c r="A256"/>
      <c r="B256"/>
      <c r="C256">
        <v>91740</v>
      </c>
      <c r="D256">
        <v>8</v>
      </c>
      <c r="E256">
        <v>10371240</v>
      </c>
      <c r="F256" t="s">
        <v>914</v>
      </c>
      <c r="G256" t="s">
        <v>113</v>
      </c>
      <c r="H256" t="s">
        <v>103</v>
      </c>
      <c r="I256" t="s">
        <v>113</v>
      </c>
      <c r="J256" t="s">
        <v>113</v>
      </c>
      <c r="K256" t="s">
        <v>103</v>
      </c>
    </row>
    <row r="257" spans="1:11" x14ac:dyDescent="0.2">
      <c r="A257"/>
      <c r="B257"/>
      <c r="C257">
        <v>91750</v>
      </c>
      <c r="D257">
        <v>7</v>
      </c>
      <c r="E257">
        <v>10271604</v>
      </c>
      <c r="F257" t="s">
        <v>914</v>
      </c>
      <c r="G257" t="s">
        <v>113</v>
      </c>
      <c r="H257" t="s">
        <v>113</v>
      </c>
      <c r="I257" t="s">
        <v>113</v>
      </c>
      <c r="J257" t="s">
        <v>113</v>
      </c>
      <c r="K257" t="s">
        <v>113</v>
      </c>
    </row>
    <row r="258" spans="1:11" x14ac:dyDescent="0.2">
      <c r="A258"/>
      <c r="B258"/>
      <c r="C258">
        <v>91750</v>
      </c>
      <c r="D258">
        <v>7</v>
      </c>
      <c r="E258">
        <v>10362550</v>
      </c>
      <c r="F258" t="s">
        <v>914</v>
      </c>
      <c r="G258" t="s">
        <v>103</v>
      </c>
      <c r="H258" t="s">
        <v>103</v>
      </c>
      <c r="I258" t="s">
        <v>103</v>
      </c>
      <c r="J258" t="s">
        <v>113</v>
      </c>
      <c r="K258" t="s">
        <v>113</v>
      </c>
    </row>
    <row r="259" spans="1:11" x14ac:dyDescent="0.2">
      <c r="A259"/>
      <c r="B259"/>
      <c r="C259">
        <v>91730</v>
      </c>
      <c r="D259">
        <v>7</v>
      </c>
      <c r="E259">
        <v>10089053</v>
      </c>
      <c r="F259" t="s">
        <v>914</v>
      </c>
      <c r="G259" t="s">
        <v>113</v>
      </c>
      <c r="H259" t="s">
        <v>113</v>
      </c>
      <c r="I259" t="s">
        <v>113</v>
      </c>
      <c r="J259" t="s">
        <v>113</v>
      </c>
      <c r="K259" t="s">
        <v>113</v>
      </c>
    </row>
    <row r="260" spans="1:11" x14ac:dyDescent="0.2">
      <c r="A260"/>
      <c r="B260"/>
      <c r="C260">
        <v>91762</v>
      </c>
      <c r="D260">
        <v>7</v>
      </c>
      <c r="E260">
        <v>42946</v>
      </c>
      <c r="F260" t="s">
        <v>914</v>
      </c>
      <c r="G260" t="s">
        <v>113</v>
      </c>
      <c r="H260" t="s">
        <v>113</v>
      </c>
      <c r="I260" t="s">
        <v>113</v>
      </c>
      <c r="J260" t="s">
        <v>113</v>
      </c>
      <c r="K260" t="s">
        <v>113</v>
      </c>
    </row>
    <row r="261" spans="1:11" x14ac:dyDescent="0.2">
      <c r="A261"/>
      <c r="B261"/>
      <c r="C261">
        <v>91750</v>
      </c>
      <c r="D261">
        <v>7</v>
      </c>
      <c r="E261">
        <v>10279896</v>
      </c>
      <c r="F261" t="s">
        <v>914</v>
      </c>
      <c r="G261" t="s">
        <v>1016</v>
      </c>
      <c r="H261" t="s">
        <v>1016</v>
      </c>
      <c r="I261" t="s">
        <v>1016</v>
      </c>
      <c r="J261" t="s">
        <v>1016</v>
      </c>
      <c r="K261" t="s">
        <v>1016</v>
      </c>
    </row>
    <row r="262" spans="1:11" x14ac:dyDescent="0.2">
      <c r="A262"/>
      <c r="B262"/>
      <c r="C262">
        <v>91763</v>
      </c>
      <c r="D262">
        <v>7</v>
      </c>
      <c r="E262">
        <v>10042293</v>
      </c>
      <c r="F262" t="s">
        <v>914</v>
      </c>
      <c r="G262" t="s">
        <v>113</v>
      </c>
      <c r="H262" t="s">
        <v>113</v>
      </c>
      <c r="I262" t="s">
        <v>113</v>
      </c>
      <c r="J262" t="s">
        <v>113</v>
      </c>
      <c r="K262" t="s">
        <v>113</v>
      </c>
    </row>
    <row r="263" spans="1:11" x14ac:dyDescent="0.2">
      <c r="A263"/>
      <c r="B263"/>
      <c r="C263">
        <v>91768</v>
      </c>
      <c r="D263">
        <v>7</v>
      </c>
      <c r="E263">
        <v>10168793</v>
      </c>
      <c r="F263" t="s">
        <v>914</v>
      </c>
      <c r="G263" t="s">
        <v>113</v>
      </c>
      <c r="H263" t="s">
        <v>113</v>
      </c>
      <c r="I263" t="s">
        <v>113</v>
      </c>
      <c r="J263" t="s">
        <v>113</v>
      </c>
      <c r="K263" t="s">
        <v>113</v>
      </c>
    </row>
    <row r="264" spans="1:11" x14ac:dyDescent="0.2">
      <c r="A264"/>
      <c r="B264"/>
      <c r="C264">
        <v>91786</v>
      </c>
      <c r="D264">
        <v>7</v>
      </c>
      <c r="E264">
        <v>10366662</v>
      </c>
      <c r="F264" t="s">
        <v>914</v>
      </c>
      <c r="G264" t="s">
        <v>113</v>
      </c>
      <c r="H264" t="s">
        <v>113</v>
      </c>
      <c r="I264" t="s">
        <v>113</v>
      </c>
      <c r="J264" t="s">
        <v>113</v>
      </c>
      <c r="K264" t="s">
        <v>113</v>
      </c>
    </row>
    <row r="265" spans="1:11" x14ac:dyDescent="0.2">
      <c r="A265"/>
      <c r="B265"/>
      <c r="C265">
        <v>91786</v>
      </c>
      <c r="D265">
        <v>7</v>
      </c>
      <c r="E265">
        <v>10114181</v>
      </c>
      <c r="F265" t="s">
        <v>914</v>
      </c>
      <c r="G265" t="s">
        <v>113</v>
      </c>
      <c r="H265" t="s">
        <v>113</v>
      </c>
      <c r="I265" t="s">
        <v>113</v>
      </c>
      <c r="J265" t="s">
        <v>113</v>
      </c>
      <c r="K265" t="s">
        <v>113</v>
      </c>
    </row>
    <row r="266" spans="1:11" x14ac:dyDescent="0.2">
      <c r="A266"/>
      <c r="B266"/>
      <c r="C266">
        <v>91764</v>
      </c>
      <c r="D266">
        <v>7</v>
      </c>
      <c r="E266">
        <v>10370859</v>
      </c>
      <c r="F266" t="s">
        <v>914</v>
      </c>
      <c r="G266" t="s">
        <v>113</v>
      </c>
      <c r="H266" t="s">
        <v>113</v>
      </c>
      <c r="I266" t="s">
        <v>113</v>
      </c>
      <c r="J266" t="s">
        <v>113</v>
      </c>
      <c r="K266" t="s">
        <v>113</v>
      </c>
    </row>
    <row r="267" spans="1:11" x14ac:dyDescent="0.2">
      <c r="A267"/>
      <c r="B267"/>
      <c r="C267">
        <v>91784</v>
      </c>
      <c r="D267">
        <v>7</v>
      </c>
      <c r="E267">
        <v>10366651</v>
      </c>
      <c r="F267" t="s">
        <v>914</v>
      </c>
      <c r="G267" t="s">
        <v>103</v>
      </c>
      <c r="H267" t="s">
        <v>113</v>
      </c>
      <c r="I267" t="s">
        <v>113</v>
      </c>
      <c r="J267" t="s">
        <v>113</v>
      </c>
      <c r="K267" t="s">
        <v>113</v>
      </c>
    </row>
    <row r="268" spans="1:11" x14ac:dyDescent="0.2">
      <c r="A268"/>
      <c r="B268"/>
      <c r="C268">
        <v>91764</v>
      </c>
      <c r="D268">
        <v>7</v>
      </c>
      <c r="E268">
        <v>10357060</v>
      </c>
      <c r="F268" t="s">
        <v>914</v>
      </c>
      <c r="G268" t="s">
        <v>113</v>
      </c>
      <c r="H268" t="s">
        <v>113</v>
      </c>
      <c r="I268" t="s">
        <v>113</v>
      </c>
      <c r="J268" t="s">
        <v>113</v>
      </c>
      <c r="K268" t="s">
        <v>113</v>
      </c>
    </row>
    <row r="269" spans="1:11" x14ac:dyDescent="0.2">
      <c r="A269"/>
      <c r="B269"/>
      <c r="C269">
        <v>91710</v>
      </c>
      <c r="D269">
        <v>7</v>
      </c>
      <c r="E269">
        <v>10366554</v>
      </c>
      <c r="F269" t="s">
        <v>914</v>
      </c>
      <c r="G269" t="s">
        <v>113</v>
      </c>
      <c r="H269" t="s">
        <v>113</v>
      </c>
      <c r="I269" t="s">
        <v>113</v>
      </c>
      <c r="J269" t="s">
        <v>113</v>
      </c>
      <c r="K269" t="s">
        <v>113</v>
      </c>
    </row>
    <row r="270" spans="1:11" x14ac:dyDescent="0.2">
      <c r="A270"/>
      <c r="B270"/>
      <c r="C270">
        <v>91763</v>
      </c>
      <c r="D270">
        <v>7</v>
      </c>
      <c r="E270">
        <v>10043591</v>
      </c>
      <c r="F270" t="s">
        <v>914</v>
      </c>
      <c r="G270" t="s">
        <v>113</v>
      </c>
      <c r="H270" t="s">
        <v>113</v>
      </c>
      <c r="I270" t="s">
        <v>113</v>
      </c>
      <c r="J270" t="s">
        <v>113</v>
      </c>
      <c r="K270" t="s">
        <v>113</v>
      </c>
    </row>
    <row r="271" spans="1:11" x14ac:dyDescent="0.2">
      <c r="A271"/>
      <c r="B271"/>
      <c r="C271">
        <v>91773</v>
      </c>
      <c r="D271">
        <v>7</v>
      </c>
      <c r="E271">
        <v>10358177</v>
      </c>
      <c r="F271" t="s">
        <v>919</v>
      </c>
      <c r="G271" t="s">
        <v>113</v>
      </c>
      <c r="H271" t="s">
        <v>113</v>
      </c>
      <c r="I271" t="s">
        <v>113</v>
      </c>
      <c r="J271" t="s">
        <v>113</v>
      </c>
      <c r="K271" t="s">
        <v>113</v>
      </c>
    </row>
    <row r="272" spans="1:11" x14ac:dyDescent="0.2">
      <c r="A272"/>
      <c r="B272"/>
      <c r="C272">
        <v>91750</v>
      </c>
      <c r="D272">
        <v>6</v>
      </c>
      <c r="E272">
        <v>10362859</v>
      </c>
      <c r="F272" t="s">
        <v>914</v>
      </c>
      <c r="G272" t="s">
        <v>113</v>
      </c>
      <c r="H272" t="s">
        <v>113</v>
      </c>
      <c r="I272" t="s">
        <v>113</v>
      </c>
      <c r="J272" t="s">
        <v>113</v>
      </c>
      <c r="K272" t="s">
        <v>113</v>
      </c>
    </row>
    <row r="273" spans="1:11" x14ac:dyDescent="0.2">
      <c r="A273"/>
      <c r="B273"/>
      <c r="C273">
        <v>91750</v>
      </c>
      <c r="D273">
        <v>6</v>
      </c>
      <c r="E273">
        <v>10354768</v>
      </c>
      <c r="F273" t="s">
        <v>914</v>
      </c>
      <c r="G273" t="s">
        <v>113</v>
      </c>
      <c r="H273" t="s">
        <v>113</v>
      </c>
      <c r="I273" t="s">
        <v>113</v>
      </c>
      <c r="J273" t="s">
        <v>113</v>
      </c>
      <c r="K273" t="s">
        <v>113</v>
      </c>
    </row>
    <row r="274" spans="1:11" x14ac:dyDescent="0.2">
      <c r="A274"/>
      <c r="B274"/>
      <c r="C274">
        <v>91784</v>
      </c>
      <c r="D274">
        <v>6</v>
      </c>
      <c r="E274">
        <v>10361237</v>
      </c>
      <c r="F274" t="s">
        <v>914</v>
      </c>
      <c r="G274" t="s">
        <v>113</v>
      </c>
      <c r="H274" t="s">
        <v>113</v>
      </c>
      <c r="I274" t="s">
        <v>113</v>
      </c>
      <c r="J274" t="s">
        <v>113</v>
      </c>
      <c r="K274" t="s">
        <v>113</v>
      </c>
    </row>
    <row r="275" spans="1:11" x14ac:dyDescent="0.2">
      <c r="A275"/>
      <c r="B275"/>
      <c r="C275">
        <v>91762</v>
      </c>
      <c r="D275">
        <v>6</v>
      </c>
      <c r="E275">
        <v>10043333</v>
      </c>
      <c r="F275" t="s">
        <v>914</v>
      </c>
      <c r="G275" t="s">
        <v>113</v>
      </c>
      <c r="H275" t="s">
        <v>113</v>
      </c>
      <c r="I275" t="s">
        <v>113</v>
      </c>
      <c r="J275" t="s">
        <v>113</v>
      </c>
      <c r="K275" t="s">
        <v>113</v>
      </c>
    </row>
    <row r="276" spans="1:11" x14ac:dyDescent="0.2">
      <c r="A276"/>
      <c r="B276"/>
      <c r="C276">
        <v>91711</v>
      </c>
      <c r="D276">
        <v>6</v>
      </c>
      <c r="E276">
        <v>10358547</v>
      </c>
      <c r="F276" t="s">
        <v>914</v>
      </c>
      <c r="G276" t="s">
        <v>1016</v>
      </c>
      <c r="H276" t="s">
        <v>1016</v>
      </c>
      <c r="I276" t="s">
        <v>1016</v>
      </c>
      <c r="J276" t="s">
        <v>1016</v>
      </c>
      <c r="K276" t="s">
        <v>1016</v>
      </c>
    </row>
    <row r="277" spans="1:11" x14ac:dyDescent="0.2">
      <c r="A277"/>
      <c r="B277"/>
      <c r="C277">
        <v>91786</v>
      </c>
      <c r="D277">
        <v>6</v>
      </c>
      <c r="E277">
        <v>116988</v>
      </c>
      <c r="F277" t="s">
        <v>914</v>
      </c>
      <c r="G277" t="s">
        <v>113</v>
      </c>
      <c r="H277" t="s">
        <v>113</v>
      </c>
      <c r="I277" t="s">
        <v>113</v>
      </c>
      <c r="J277" t="s">
        <v>933</v>
      </c>
      <c r="K277" t="s">
        <v>933</v>
      </c>
    </row>
    <row r="278" spans="1:11" x14ac:dyDescent="0.2">
      <c r="A278"/>
      <c r="B278"/>
      <c r="C278">
        <v>91701</v>
      </c>
      <c r="D278">
        <v>6</v>
      </c>
      <c r="E278">
        <v>10042683</v>
      </c>
      <c r="F278" t="s">
        <v>914</v>
      </c>
      <c r="G278" t="s">
        <v>113</v>
      </c>
      <c r="H278" t="s">
        <v>113</v>
      </c>
      <c r="I278" t="s">
        <v>113</v>
      </c>
      <c r="J278" t="s">
        <v>113</v>
      </c>
      <c r="K278" t="s">
        <v>113</v>
      </c>
    </row>
    <row r="279" spans="1:11" x14ac:dyDescent="0.2">
      <c r="A279"/>
      <c r="B279"/>
      <c r="C279">
        <v>91764</v>
      </c>
      <c r="D279">
        <v>6</v>
      </c>
      <c r="E279">
        <v>10042154</v>
      </c>
      <c r="F279" t="s">
        <v>914</v>
      </c>
      <c r="G279" t="s">
        <v>195</v>
      </c>
      <c r="H279" t="s">
        <v>113</v>
      </c>
      <c r="I279" t="s">
        <v>113</v>
      </c>
      <c r="J279" t="s">
        <v>113</v>
      </c>
      <c r="K279" t="s">
        <v>113</v>
      </c>
    </row>
    <row r="280" spans="1:11" x14ac:dyDescent="0.2">
      <c r="A280"/>
      <c r="B280"/>
      <c r="C280">
        <v>91730</v>
      </c>
      <c r="D280">
        <v>6</v>
      </c>
      <c r="E280">
        <v>10352784</v>
      </c>
      <c r="F280" t="s">
        <v>914</v>
      </c>
      <c r="G280" t="s">
        <v>113</v>
      </c>
      <c r="H280" t="s">
        <v>1016</v>
      </c>
      <c r="I280" t="s">
        <v>1016</v>
      </c>
      <c r="J280" t="s">
        <v>113</v>
      </c>
      <c r="K280" t="s">
        <v>1016</v>
      </c>
    </row>
    <row r="281" spans="1:11" x14ac:dyDescent="0.2">
      <c r="A281"/>
      <c r="B281"/>
      <c r="C281">
        <v>91730</v>
      </c>
      <c r="D281">
        <v>6</v>
      </c>
      <c r="E281">
        <v>10352674</v>
      </c>
      <c r="F281" t="s">
        <v>914</v>
      </c>
      <c r="G281" t="s">
        <v>98</v>
      </c>
      <c r="H281" t="s">
        <v>98</v>
      </c>
      <c r="I281" t="s">
        <v>98</v>
      </c>
      <c r="J281" t="s">
        <v>98</v>
      </c>
      <c r="K281" t="s">
        <v>98</v>
      </c>
    </row>
    <row r="282" spans="1:11" x14ac:dyDescent="0.2">
      <c r="A282"/>
      <c r="B282"/>
      <c r="C282">
        <v>91711</v>
      </c>
      <c r="D282">
        <v>6</v>
      </c>
      <c r="E282">
        <v>10358766</v>
      </c>
      <c r="F282" t="s">
        <v>914</v>
      </c>
      <c r="G282" t="s">
        <v>113</v>
      </c>
      <c r="H282" t="s">
        <v>113</v>
      </c>
      <c r="I282" t="s">
        <v>113</v>
      </c>
      <c r="J282" t="s">
        <v>113</v>
      </c>
      <c r="K282" t="s">
        <v>113</v>
      </c>
    </row>
    <row r="283" spans="1:11" x14ac:dyDescent="0.2">
      <c r="A283"/>
      <c r="B283"/>
      <c r="C283">
        <v>91764</v>
      </c>
      <c r="D283">
        <v>6</v>
      </c>
      <c r="E283">
        <v>10043008</v>
      </c>
      <c r="F283" t="s">
        <v>914</v>
      </c>
      <c r="G283" t="s">
        <v>113</v>
      </c>
      <c r="H283" t="s">
        <v>113</v>
      </c>
      <c r="I283" t="s">
        <v>113</v>
      </c>
      <c r="J283" t="s">
        <v>113</v>
      </c>
      <c r="K283" t="s">
        <v>113</v>
      </c>
    </row>
    <row r="284" spans="1:11" x14ac:dyDescent="0.2">
      <c r="A284"/>
      <c r="B284"/>
      <c r="C284">
        <v>91764</v>
      </c>
      <c r="D284">
        <v>6</v>
      </c>
      <c r="E284">
        <v>10340696</v>
      </c>
      <c r="F284" t="s">
        <v>914</v>
      </c>
      <c r="G284" t="s">
        <v>113</v>
      </c>
      <c r="H284" t="s">
        <v>113</v>
      </c>
      <c r="I284" t="s">
        <v>113</v>
      </c>
      <c r="J284" t="s">
        <v>113</v>
      </c>
      <c r="K284" t="s">
        <v>113</v>
      </c>
    </row>
    <row r="285" spans="1:11" x14ac:dyDescent="0.2">
      <c r="A285"/>
      <c r="B285"/>
      <c r="C285">
        <v>91786</v>
      </c>
      <c r="D285">
        <v>6</v>
      </c>
      <c r="E285">
        <v>10191267</v>
      </c>
      <c r="F285" t="s">
        <v>914</v>
      </c>
      <c r="G285" t="s">
        <v>113</v>
      </c>
      <c r="H285" t="s">
        <v>113</v>
      </c>
      <c r="I285" t="s">
        <v>113</v>
      </c>
      <c r="J285" t="s">
        <v>113</v>
      </c>
      <c r="K285" t="s">
        <v>202</v>
      </c>
    </row>
    <row r="286" spans="1:11" x14ac:dyDescent="0.2">
      <c r="A286"/>
      <c r="B286"/>
      <c r="C286">
        <v>91784</v>
      </c>
      <c r="D286">
        <v>6</v>
      </c>
      <c r="E286">
        <v>10366859</v>
      </c>
      <c r="F286" t="s">
        <v>914</v>
      </c>
      <c r="G286" t="s">
        <v>195</v>
      </c>
      <c r="H286" t="s">
        <v>74</v>
      </c>
      <c r="I286" t="s">
        <v>191</v>
      </c>
      <c r="J286" t="s">
        <v>191</v>
      </c>
      <c r="K286" t="s">
        <v>191</v>
      </c>
    </row>
    <row r="287" spans="1:11" x14ac:dyDescent="0.2">
      <c r="A287"/>
      <c r="B287"/>
      <c r="C287">
        <v>91784</v>
      </c>
      <c r="D287">
        <v>6</v>
      </c>
      <c r="E287">
        <v>10352887</v>
      </c>
      <c r="F287" t="s">
        <v>919</v>
      </c>
      <c r="G287" t="s">
        <v>103</v>
      </c>
      <c r="H287" t="s">
        <v>103</v>
      </c>
      <c r="I287" t="s">
        <v>103</v>
      </c>
      <c r="J287" t="s">
        <v>103</v>
      </c>
      <c r="K287" t="s">
        <v>103</v>
      </c>
    </row>
    <row r="288" spans="1:11" x14ac:dyDescent="0.2">
      <c r="A288"/>
      <c r="B288"/>
      <c r="C288">
        <v>91784</v>
      </c>
      <c r="D288">
        <v>6</v>
      </c>
      <c r="E288">
        <v>10312889</v>
      </c>
      <c r="F288" t="s">
        <v>919</v>
      </c>
      <c r="G288" t="s">
        <v>103</v>
      </c>
      <c r="H288" t="s">
        <v>103</v>
      </c>
      <c r="I288" t="s">
        <v>103</v>
      </c>
      <c r="J288" t="s">
        <v>202</v>
      </c>
      <c r="K288" t="s">
        <v>202</v>
      </c>
    </row>
    <row r="289" spans="1:11" x14ac:dyDescent="0.2">
      <c r="A289"/>
      <c r="B289"/>
      <c r="C289">
        <v>91750</v>
      </c>
      <c r="D289">
        <v>5</v>
      </c>
      <c r="E289">
        <v>10366701</v>
      </c>
      <c r="F289" t="s">
        <v>914</v>
      </c>
      <c r="G289" t="s">
        <v>191</v>
      </c>
      <c r="H289" t="s">
        <v>933</v>
      </c>
      <c r="I289" t="s">
        <v>113</v>
      </c>
      <c r="J289" t="s">
        <v>933</v>
      </c>
      <c r="K289" t="s">
        <v>933</v>
      </c>
    </row>
    <row r="290" spans="1:11" x14ac:dyDescent="0.2">
      <c r="A290"/>
      <c r="B290"/>
      <c r="C290">
        <v>91762</v>
      </c>
      <c r="D290">
        <v>5</v>
      </c>
      <c r="E290">
        <v>10345418</v>
      </c>
      <c r="F290" t="s">
        <v>914</v>
      </c>
      <c r="G290" t="s">
        <v>113</v>
      </c>
      <c r="H290" t="s">
        <v>113</v>
      </c>
      <c r="I290" t="s">
        <v>113</v>
      </c>
      <c r="J290" t="s">
        <v>113</v>
      </c>
      <c r="K290" t="s">
        <v>113</v>
      </c>
    </row>
    <row r="291" spans="1:11" x14ac:dyDescent="0.2">
      <c r="A291"/>
      <c r="B291"/>
      <c r="C291">
        <v>91764</v>
      </c>
      <c r="D291">
        <v>5</v>
      </c>
      <c r="E291">
        <v>10043408</v>
      </c>
      <c r="F291" t="s">
        <v>914</v>
      </c>
      <c r="G291" t="s">
        <v>113</v>
      </c>
      <c r="H291" t="s">
        <v>113</v>
      </c>
      <c r="I291" t="s">
        <v>113</v>
      </c>
      <c r="J291" t="s">
        <v>113</v>
      </c>
      <c r="K291" t="s">
        <v>113</v>
      </c>
    </row>
    <row r="292" spans="1:11" x14ac:dyDescent="0.2">
      <c r="A292"/>
      <c r="B292"/>
      <c r="C292">
        <v>91766</v>
      </c>
      <c r="D292">
        <v>5</v>
      </c>
      <c r="E292">
        <v>10370542</v>
      </c>
      <c r="F292" t="s">
        <v>914</v>
      </c>
      <c r="G292" t="s">
        <v>933</v>
      </c>
      <c r="H292" t="s">
        <v>103</v>
      </c>
      <c r="I292" t="s">
        <v>933</v>
      </c>
      <c r="J292" t="s">
        <v>933</v>
      </c>
      <c r="K292" t="s">
        <v>933</v>
      </c>
    </row>
    <row r="293" spans="1:11" x14ac:dyDescent="0.2">
      <c r="A293"/>
      <c r="B293"/>
      <c r="C293">
        <v>91764</v>
      </c>
      <c r="D293">
        <v>5</v>
      </c>
      <c r="E293">
        <v>10366795</v>
      </c>
      <c r="F293" t="s">
        <v>914</v>
      </c>
      <c r="G293" t="s">
        <v>113</v>
      </c>
      <c r="H293" t="s">
        <v>113</v>
      </c>
      <c r="I293" t="s">
        <v>113</v>
      </c>
      <c r="J293" t="s">
        <v>113</v>
      </c>
      <c r="K293" t="s">
        <v>113</v>
      </c>
    </row>
    <row r="294" spans="1:11" x14ac:dyDescent="0.2">
      <c r="A294"/>
      <c r="B294"/>
      <c r="C294">
        <v>91762</v>
      </c>
      <c r="D294">
        <v>5</v>
      </c>
      <c r="E294">
        <v>10358767</v>
      </c>
      <c r="F294" t="s">
        <v>914</v>
      </c>
      <c r="G294" t="s">
        <v>113</v>
      </c>
      <c r="H294" t="s">
        <v>113</v>
      </c>
      <c r="I294" t="s">
        <v>103</v>
      </c>
      <c r="J294" t="s">
        <v>113</v>
      </c>
      <c r="K294" t="s">
        <v>113</v>
      </c>
    </row>
    <row r="295" spans="1:11" x14ac:dyDescent="0.2">
      <c r="A295"/>
      <c r="B295"/>
      <c r="C295">
        <v>91786</v>
      </c>
      <c r="D295">
        <v>5</v>
      </c>
      <c r="E295">
        <v>10243465</v>
      </c>
      <c r="F295" t="s">
        <v>914</v>
      </c>
      <c r="G295" t="s">
        <v>98</v>
      </c>
      <c r="H295" t="s">
        <v>98</v>
      </c>
      <c r="I295" t="s">
        <v>98</v>
      </c>
      <c r="J295" t="s">
        <v>98</v>
      </c>
      <c r="K295" t="s">
        <v>98</v>
      </c>
    </row>
    <row r="296" spans="1:11" x14ac:dyDescent="0.2">
      <c r="A296"/>
      <c r="B296"/>
      <c r="C296">
        <v>91750</v>
      </c>
      <c r="D296">
        <v>5</v>
      </c>
      <c r="E296">
        <v>10283454</v>
      </c>
      <c r="F296" t="s">
        <v>914</v>
      </c>
      <c r="G296" t="s">
        <v>113</v>
      </c>
      <c r="H296" t="s">
        <v>113</v>
      </c>
      <c r="I296" t="s">
        <v>113</v>
      </c>
      <c r="J296" t="s">
        <v>113</v>
      </c>
      <c r="K296" t="s">
        <v>113</v>
      </c>
    </row>
    <row r="297" spans="1:11" x14ac:dyDescent="0.2">
      <c r="A297"/>
      <c r="B297"/>
      <c r="C297">
        <v>91710</v>
      </c>
      <c r="D297">
        <v>5</v>
      </c>
      <c r="E297">
        <v>10366679</v>
      </c>
      <c r="F297" t="s">
        <v>914</v>
      </c>
      <c r="G297" t="s">
        <v>113</v>
      </c>
      <c r="H297" t="s">
        <v>113</v>
      </c>
      <c r="I297" t="s">
        <v>113</v>
      </c>
      <c r="J297" t="s">
        <v>113</v>
      </c>
      <c r="K297" t="s">
        <v>113</v>
      </c>
    </row>
    <row r="298" spans="1:11" x14ac:dyDescent="0.2">
      <c r="A298"/>
      <c r="B298"/>
      <c r="C298">
        <v>91784</v>
      </c>
      <c r="D298">
        <v>5</v>
      </c>
      <c r="E298">
        <v>10248828</v>
      </c>
      <c r="F298" t="s">
        <v>914</v>
      </c>
      <c r="G298" t="s">
        <v>113</v>
      </c>
      <c r="H298" t="s">
        <v>113</v>
      </c>
      <c r="I298" t="s">
        <v>113</v>
      </c>
      <c r="J298" t="s">
        <v>113</v>
      </c>
      <c r="K298" t="s">
        <v>113</v>
      </c>
    </row>
    <row r="299" spans="1:11" x14ac:dyDescent="0.2">
      <c r="A299"/>
      <c r="B299"/>
      <c r="C299">
        <v>91711</v>
      </c>
      <c r="D299">
        <v>5</v>
      </c>
      <c r="E299">
        <v>10025853</v>
      </c>
      <c r="F299" t="s">
        <v>914</v>
      </c>
      <c r="G299" t="s">
        <v>113</v>
      </c>
      <c r="H299" t="s">
        <v>113</v>
      </c>
      <c r="I299" t="s">
        <v>113</v>
      </c>
      <c r="J299" t="s">
        <v>113</v>
      </c>
      <c r="K299" t="s">
        <v>113</v>
      </c>
    </row>
    <row r="300" spans="1:11" x14ac:dyDescent="0.2">
      <c r="A300"/>
      <c r="B300"/>
      <c r="C300">
        <v>91784</v>
      </c>
      <c r="D300">
        <v>5</v>
      </c>
      <c r="E300">
        <v>10345447</v>
      </c>
      <c r="F300" t="s">
        <v>914</v>
      </c>
      <c r="G300" t="s">
        <v>103</v>
      </c>
      <c r="H300" t="s">
        <v>74</v>
      </c>
      <c r="I300" t="s">
        <v>74</v>
      </c>
      <c r="J300" t="s">
        <v>103</v>
      </c>
      <c r="K300" t="s">
        <v>74</v>
      </c>
    </row>
    <row r="301" spans="1:11" x14ac:dyDescent="0.2">
      <c r="A301"/>
      <c r="B301"/>
      <c r="C301">
        <v>91786</v>
      </c>
      <c r="D301">
        <v>5</v>
      </c>
      <c r="E301">
        <v>103704832</v>
      </c>
      <c r="F301" t="s">
        <v>914</v>
      </c>
      <c r="G301" t="s">
        <v>113</v>
      </c>
      <c r="H301" t="s">
        <v>113</v>
      </c>
      <c r="I301" t="s">
        <v>113</v>
      </c>
      <c r="J301" t="s">
        <v>113</v>
      </c>
      <c r="K301" t="s">
        <v>113</v>
      </c>
    </row>
    <row r="302" spans="1:11" x14ac:dyDescent="0.2">
      <c r="A302"/>
      <c r="B302"/>
      <c r="C302">
        <v>91784</v>
      </c>
      <c r="D302">
        <v>5</v>
      </c>
      <c r="E302">
        <v>10042924</v>
      </c>
      <c r="F302" t="s">
        <v>914</v>
      </c>
      <c r="G302" t="s">
        <v>113</v>
      </c>
      <c r="H302" t="s">
        <v>113</v>
      </c>
      <c r="I302" t="s">
        <v>113</v>
      </c>
      <c r="J302" t="s">
        <v>113</v>
      </c>
      <c r="K302" t="s">
        <v>113</v>
      </c>
    </row>
    <row r="303" spans="1:11" x14ac:dyDescent="0.2">
      <c r="A303"/>
      <c r="B303"/>
      <c r="C303">
        <v>91768</v>
      </c>
      <c r="D303">
        <v>5</v>
      </c>
      <c r="E303">
        <v>10370524</v>
      </c>
      <c r="F303" t="s">
        <v>914</v>
      </c>
      <c r="G303" t="s">
        <v>113</v>
      </c>
      <c r="H303" t="s">
        <v>113</v>
      </c>
      <c r="I303" t="s">
        <v>113</v>
      </c>
      <c r="J303" t="s">
        <v>113</v>
      </c>
      <c r="K303" t="s">
        <v>113</v>
      </c>
    </row>
    <row r="304" spans="1:11" x14ac:dyDescent="0.2">
      <c r="A304"/>
      <c r="B304"/>
      <c r="C304">
        <v>91766</v>
      </c>
      <c r="D304">
        <v>5</v>
      </c>
      <c r="E304">
        <v>10158502</v>
      </c>
      <c r="F304" t="s">
        <v>914</v>
      </c>
      <c r="G304" t="s">
        <v>113</v>
      </c>
      <c r="H304" t="s">
        <v>113</v>
      </c>
      <c r="I304" t="s">
        <v>113</v>
      </c>
      <c r="J304" t="s">
        <v>113</v>
      </c>
      <c r="K304" t="s">
        <v>113</v>
      </c>
    </row>
    <row r="305" spans="1:11" x14ac:dyDescent="0.2">
      <c r="A305"/>
      <c r="B305"/>
      <c r="C305">
        <v>91763</v>
      </c>
      <c r="D305">
        <v>5</v>
      </c>
      <c r="E305">
        <v>10043233</v>
      </c>
      <c r="F305" t="s">
        <v>914</v>
      </c>
      <c r="G305" t="s">
        <v>113</v>
      </c>
      <c r="H305" t="s">
        <v>113</v>
      </c>
      <c r="I305" t="s">
        <v>113</v>
      </c>
      <c r="J305" t="s">
        <v>191</v>
      </c>
      <c r="K305" t="s">
        <v>191</v>
      </c>
    </row>
    <row r="306" spans="1:11" x14ac:dyDescent="0.2">
      <c r="A306"/>
      <c r="B306"/>
      <c r="C306">
        <v>91786</v>
      </c>
      <c r="D306">
        <v>5</v>
      </c>
      <c r="E306">
        <v>10042054</v>
      </c>
      <c r="F306" t="s">
        <v>914</v>
      </c>
      <c r="G306" t="s">
        <v>113</v>
      </c>
      <c r="H306" t="s">
        <v>113</v>
      </c>
      <c r="I306" t="s">
        <v>202</v>
      </c>
      <c r="J306" t="s">
        <v>113</v>
      </c>
      <c r="K306" t="s">
        <v>113</v>
      </c>
    </row>
    <row r="307" spans="1:11" x14ac:dyDescent="0.2">
      <c r="A307"/>
      <c r="B307"/>
      <c r="C307">
        <v>91766</v>
      </c>
      <c r="D307">
        <v>5</v>
      </c>
      <c r="E307">
        <v>10370505</v>
      </c>
      <c r="F307" t="s">
        <v>914</v>
      </c>
      <c r="G307" t="s">
        <v>103</v>
      </c>
      <c r="H307" t="s">
        <v>113</v>
      </c>
      <c r="I307" t="s">
        <v>113</v>
      </c>
      <c r="J307" t="s">
        <v>113</v>
      </c>
      <c r="K307" t="s">
        <v>103</v>
      </c>
    </row>
    <row r="308" spans="1:11" x14ac:dyDescent="0.2">
      <c r="A308"/>
      <c r="B308"/>
      <c r="C308">
        <v>91763</v>
      </c>
      <c r="D308">
        <v>5</v>
      </c>
      <c r="E308">
        <v>10346026</v>
      </c>
      <c r="F308" t="s">
        <v>914</v>
      </c>
      <c r="G308" t="s">
        <v>113</v>
      </c>
      <c r="H308" t="s">
        <v>113</v>
      </c>
      <c r="I308" t="s">
        <v>113</v>
      </c>
      <c r="J308" t="s">
        <v>113</v>
      </c>
      <c r="K308" t="s">
        <v>113</v>
      </c>
    </row>
    <row r="309" spans="1:11" x14ac:dyDescent="0.2">
      <c r="A309"/>
      <c r="B309"/>
      <c r="C309">
        <v>91750</v>
      </c>
      <c r="D309">
        <v>5</v>
      </c>
      <c r="E309">
        <v>10366782</v>
      </c>
      <c r="F309" t="s">
        <v>914</v>
      </c>
      <c r="G309" t="s">
        <v>113</v>
      </c>
      <c r="H309" t="s">
        <v>933</v>
      </c>
      <c r="I309" t="s">
        <v>933</v>
      </c>
      <c r="J309" t="s">
        <v>113</v>
      </c>
      <c r="K309" t="s">
        <v>113</v>
      </c>
    </row>
    <row r="310" spans="1:11" x14ac:dyDescent="0.2">
      <c r="A310"/>
      <c r="B310"/>
      <c r="C310">
        <v>91784</v>
      </c>
      <c r="D310">
        <v>5</v>
      </c>
      <c r="E310">
        <v>10098391</v>
      </c>
      <c r="F310" t="s">
        <v>914</v>
      </c>
      <c r="G310" t="s">
        <v>113</v>
      </c>
      <c r="H310" t="s">
        <v>113</v>
      </c>
      <c r="I310" t="s">
        <v>113</v>
      </c>
      <c r="J310" t="s">
        <v>113</v>
      </c>
      <c r="K310" t="s">
        <v>113</v>
      </c>
    </row>
    <row r="311" spans="1:11" x14ac:dyDescent="0.2">
      <c r="A311"/>
      <c r="B311"/>
      <c r="C311">
        <v>91786</v>
      </c>
      <c r="D311">
        <v>5</v>
      </c>
      <c r="E311">
        <v>10043112</v>
      </c>
      <c r="F311" t="s">
        <v>914</v>
      </c>
      <c r="G311" t="s">
        <v>113</v>
      </c>
      <c r="H311" t="s">
        <v>113</v>
      </c>
      <c r="I311" t="s">
        <v>195</v>
      </c>
      <c r="J311" t="s">
        <v>113</v>
      </c>
      <c r="K311" t="s">
        <v>113</v>
      </c>
    </row>
    <row r="312" spans="1:11" x14ac:dyDescent="0.2">
      <c r="A312"/>
      <c r="B312"/>
      <c r="C312">
        <v>91730</v>
      </c>
      <c r="D312">
        <v>5</v>
      </c>
      <c r="E312">
        <v>13713833</v>
      </c>
      <c r="F312" t="s">
        <v>914</v>
      </c>
      <c r="G312" t="s">
        <v>113</v>
      </c>
      <c r="H312" t="s">
        <v>113</v>
      </c>
      <c r="I312" t="s">
        <v>113</v>
      </c>
      <c r="J312" t="s">
        <v>113</v>
      </c>
      <c r="K312" t="s">
        <v>113</v>
      </c>
    </row>
    <row r="313" spans="1:11" x14ac:dyDescent="0.2">
      <c r="A313"/>
      <c r="B313"/>
      <c r="C313">
        <v>91762</v>
      </c>
      <c r="D313">
        <v>5</v>
      </c>
      <c r="E313">
        <v>10313201</v>
      </c>
      <c r="F313" t="s">
        <v>914</v>
      </c>
      <c r="G313" t="s">
        <v>113</v>
      </c>
      <c r="H313" t="s">
        <v>113</v>
      </c>
      <c r="I313" t="s">
        <v>113</v>
      </c>
      <c r="J313" t="s">
        <v>113</v>
      </c>
      <c r="K313" t="s">
        <v>108</v>
      </c>
    </row>
    <row r="314" spans="1:11" x14ac:dyDescent="0.2">
      <c r="A314"/>
      <c r="B314"/>
      <c r="C314">
        <v>91711</v>
      </c>
      <c r="D314">
        <v>5</v>
      </c>
      <c r="E314">
        <v>10368863</v>
      </c>
      <c r="F314" t="s">
        <v>914</v>
      </c>
      <c r="G314" t="s">
        <v>113</v>
      </c>
      <c r="H314" t="s">
        <v>113</v>
      </c>
      <c r="I314" t="s">
        <v>113</v>
      </c>
      <c r="J314" t="s">
        <v>113</v>
      </c>
      <c r="K314" t="s">
        <v>113</v>
      </c>
    </row>
    <row r="315" spans="1:11" x14ac:dyDescent="0.2">
      <c r="A315"/>
      <c r="B315"/>
      <c r="C315">
        <v>91711</v>
      </c>
      <c r="D315">
        <v>5</v>
      </c>
      <c r="E315">
        <v>10366861</v>
      </c>
      <c r="F315" t="s">
        <v>914</v>
      </c>
      <c r="G315" t="s">
        <v>113</v>
      </c>
      <c r="H315" t="s">
        <v>113</v>
      </c>
      <c r="I315" t="s">
        <v>113</v>
      </c>
      <c r="J315" t="s">
        <v>113</v>
      </c>
      <c r="K315" t="s">
        <v>113</v>
      </c>
    </row>
    <row r="316" spans="1:11" x14ac:dyDescent="0.2">
      <c r="A316"/>
      <c r="B316"/>
      <c r="C316">
        <v>91763</v>
      </c>
      <c r="D316">
        <v>5</v>
      </c>
      <c r="E316">
        <v>10144352</v>
      </c>
      <c r="F316" t="s">
        <v>914</v>
      </c>
      <c r="G316" t="s">
        <v>113</v>
      </c>
      <c r="H316" t="s">
        <v>113</v>
      </c>
      <c r="I316" t="s">
        <v>113</v>
      </c>
      <c r="J316" t="s">
        <v>113</v>
      </c>
      <c r="K316" t="s">
        <v>113</v>
      </c>
    </row>
    <row r="317" spans="1:11" x14ac:dyDescent="0.2">
      <c r="A317"/>
      <c r="B317"/>
      <c r="C317">
        <v>91763</v>
      </c>
      <c r="D317">
        <v>5</v>
      </c>
      <c r="E317">
        <v>10043604</v>
      </c>
      <c r="F317" t="s">
        <v>914</v>
      </c>
      <c r="G317" t="s">
        <v>113</v>
      </c>
      <c r="H317" t="s">
        <v>113</v>
      </c>
      <c r="I317" t="s">
        <v>113</v>
      </c>
      <c r="J317" t="s">
        <v>113</v>
      </c>
      <c r="K317" t="s">
        <v>113</v>
      </c>
    </row>
    <row r="318" spans="1:11" x14ac:dyDescent="0.2">
      <c r="A318"/>
      <c r="B318"/>
      <c r="C318">
        <v>91768</v>
      </c>
      <c r="D318">
        <v>5</v>
      </c>
      <c r="E318">
        <v>10243224</v>
      </c>
      <c r="F318" t="s">
        <v>914</v>
      </c>
      <c r="G318" t="s">
        <v>113</v>
      </c>
      <c r="H318" t="s">
        <v>113</v>
      </c>
      <c r="I318" t="s">
        <v>113</v>
      </c>
      <c r="J318" t="s">
        <v>113</v>
      </c>
      <c r="K318" t="s">
        <v>113</v>
      </c>
    </row>
    <row r="319" spans="1:11" x14ac:dyDescent="0.2">
      <c r="A319"/>
      <c r="B319"/>
      <c r="C319">
        <v>91763</v>
      </c>
      <c r="D319">
        <v>5</v>
      </c>
      <c r="E319">
        <v>10366752</v>
      </c>
      <c r="F319" t="s">
        <v>914</v>
      </c>
      <c r="G319" t="s">
        <v>113</v>
      </c>
      <c r="H319" t="s">
        <v>113</v>
      </c>
      <c r="I319" t="s">
        <v>113</v>
      </c>
      <c r="J319" t="s">
        <v>113</v>
      </c>
      <c r="K319" t="s">
        <v>113</v>
      </c>
    </row>
    <row r="320" spans="1:11" x14ac:dyDescent="0.2">
      <c r="A320"/>
      <c r="B320"/>
      <c r="C320">
        <v>91764</v>
      </c>
      <c r="D320">
        <v>5</v>
      </c>
      <c r="E320">
        <v>10112055</v>
      </c>
      <c r="F320" t="s">
        <v>914</v>
      </c>
      <c r="G320" t="s">
        <v>113</v>
      </c>
      <c r="H320" t="s">
        <v>113</v>
      </c>
      <c r="I320" t="s">
        <v>113</v>
      </c>
      <c r="J320" t="s">
        <v>113</v>
      </c>
      <c r="K320" t="s">
        <v>113</v>
      </c>
    </row>
    <row r="321" spans="1:11" x14ac:dyDescent="0.2">
      <c r="A321"/>
      <c r="B321"/>
      <c r="C321">
        <v>91750</v>
      </c>
      <c r="D321">
        <v>5</v>
      </c>
      <c r="E321">
        <v>10371627</v>
      </c>
      <c r="F321" t="s">
        <v>919</v>
      </c>
      <c r="G321" t="s">
        <v>113</v>
      </c>
      <c r="H321" t="s">
        <v>113</v>
      </c>
      <c r="I321" t="s">
        <v>113</v>
      </c>
      <c r="J321" t="s">
        <v>113</v>
      </c>
      <c r="K321" t="s">
        <v>113</v>
      </c>
    </row>
    <row r="322" spans="1:11" x14ac:dyDescent="0.2">
      <c r="A322"/>
      <c r="B322"/>
      <c r="C322">
        <v>91750</v>
      </c>
      <c r="D322">
        <v>5</v>
      </c>
      <c r="E322">
        <v>10143393</v>
      </c>
      <c r="F322" t="s">
        <v>919</v>
      </c>
      <c r="G322" t="s">
        <v>113</v>
      </c>
      <c r="H322" t="s">
        <v>113</v>
      </c>
      <c r="I322" t="s">
        <v>113</v>
      </c>
      <c r="J322" t="s">
        <v>113</v>
      </c>
      <c r="K322" t="s">
        <v>113</v>
      </c>
    </row>
    <row r="323" spans="1:11" x14ac:dyDescent="0.2">
      <c r="A323"/>
      <c r="B323"/>
      <c r="C323">
        <v>91711</v>
      </c>
      <c r="D323">
        <v>4</v>
      </c>
      <c r="E323">
        <v>10289769</v>
      </c>
      <c r="F323" t="s">
        <v>914</v>
      </c>
      <c r="G323" t="s">
        <v>933</v>
      </c>
      <c r="H323" t="s">
        <v>103</v>
      </c>
      <c r="I323" t="s">
        <v>113</v>
      </c>
      <c r="J323" t="s">
        <v>113</v>
      </c>
      <c r="K323" t="s">
        <v>113</v>
      </c>
    </row>
    <row r="324" spans="1:11" x14ac:dyDescent="0.2">
      <c r="A324"/>
      <c r="B324"/>
      <c r="C324">
        <v>91768</v>
      </c>
      <c r="D324">
        <v>4</v>
      </c>
      <c r="E324">
        <v>10370217</v>
      </c>
      <c r="F324" t="s">
        <v>914</v>
      </c>
      <c r="G324" t="s">
        <v>933</v>
      </c>
      <c r="H324" t="s">
        <v>933</v>
      </c>
      <c r="I324" t="s">
        <v>933</v>
      </c>
      <c r="J324" t="s">
        <v>933</v>
      </c>
      <c r="K324" t="s">
        <v>933</v>
      </c>
    </row>
    <row r="325" spans="1:11" x14ac:dyDescent="0.2">
      <c r="A325"/>
      <c r="B325"/>
      <c r="C325">
        <v>91784</v>
      </c>
      <c r="D325">
        <v>4</v>
      </c>
      <c r="E325">
        <v>10346032</v>
      </c>
      <c r="F325" t="s">
        <v>914</v>
      </c>
      <c r="G325" t="s">
        <v>113</v>
      </c>
      <c r="H325" t="s">
        <v>113</v>
      </c>
      <c r="I325" t="s">
        <v>113</v>
      </c>
      <c r="J325" t="s">
        <v>103</v>
      </c>
      <c r="K325" t="s">
        <v>191</v>
      </c>
    </row>
    <row r="326" spans="1:11" x14ac:dyDescent="0.2">
      <c r="A326"/>
      <c r="B326"/>
      <c r="C326">
        <v>91767</v>
      </c>
      <c r="D326">
        <v>4</v>
      </c>
      <c r="E326">
        <v>10369723</v>
      </c>
      <c r="F326" t="s">
        <v>914</v>
      </c>
      <c r="G326" t="s">
        <v>113</v>
      </c>
      <c r="H326" t="s">
        <v>113</v>
      </c>
      <c r="I326" t="s">
        <v>113</v>
      </c>
      <c r="J326" t="s">
        <v>113</v>
      </c>
      <c r="K326" t="s">
        <v>113</v>
      </c>
    </row>
    <row r="327" spans="1:11" x14ac:dyDescent="0.2">
      <c r="A327"/>
      <c r="B327"/>
      <c r="C327">
        <v>91786</v>
      </c>
      <c r="D327">
        <v>4</v>
      </c>
      <c r="E327">
        <v>10109481</v>
      </c>
      <c r="F327" t="s">
        <v>914</v>
      </c>
      <c r="G327" t="s">
        <v>113</v>
      </c>
      <c r="H327" t="s">
        <v>113</v>
      </c>
      <c r="I327" t="s">
        <v>103</v>
      </c>
      <c r="J327" t="s">
        <v>195</v>
      </c>
      <c r="K327" t="s">
        <v>103</v>
      </c>
    </row>
    <row r="328" spans="1:11" x14ac:dyDescent="0.2">
      <c r="A328"/>
      <c r="B328"/>
      <c r="C328">
        <v>91750</v>
      </c>
      <c r="D328">
        <v>4</v>
      </c>
      <c r="E328">
        <v>10193210</v>
      </c>
      <c r="F328" t="s">
        <v>914</v>
      </c>
      <c r="G328" t="s">
        <v>113</v>
      </c>
      <c r="H328" t="s">
        <v>113</v>
      </c>
      <c r="I328" t="s">
        <v>113</v>
      </c>
      <c r="J328" t="s">
        <v>113</v>
      </c>
      <c r="K328" t="s">
        <v>113</v>
      </c>
    </row>
    <row r="329" spans="1:11" x14ac:dyDescent="0.2">
      <c r="A329"/>
      <c r="B329"/>
      <c r="C329">
        <v>91750</v>
      </c>
      <c r="D329">
        <v>4</v>
      </c>
      <c r="E329">
        <v>10368708</v>
      </c>
      <c r="F329" t="s">
        <v>914</v>
      </c>
      <c r="G329" t="s">
        <v>113</v>
      </c>
      <c r="H329" t="s">
        <v>113</v>
      </c>
      <c r="I329" t="s">
        <v>113</v>
      </c>
      <c r="J329" t="s">
        <v>113</v>
      </c>
      <c r="K329" t="s">
        <v>113</v>
      </c>
    </row>
    <row r="330" spans="1:11" x14ac:dyDescent="0.2">
      <c r="A330"/>
      <c r="B330"/>
      <c r="C330">
        <v>91763</v>
      </c>
      <c r="D330">
        <v>4</v>
      </c>
      <c r="E330">
        <v>10370556</v>
      </c>
      <c r="F330" t="s">
        <v>914</v>
      </c>
      <c r="G330" t="s">
        <v>113</v>
      </c>
      <c r="H330" t="s">
        <v>113</v>
      </c>
      <c r="I330" t="s">
        <v>108</v>
      </c>
      <c r="J330" t="s">
        <v>108</v>
      </c>
      <c r="K330" t="s">
        <v>113</v>
      </c>
    </row>
    <row r="331" spans="1:11" x14ac:dyDescent="0.2">
      <c r="A331"/>
      <c r="B331"/>
      <c r="C331">
        <v>91767</v>
      </c>
      <c r="D331">
        <v>4</v>
      </c>
      <c r="E331">
        <v>10346409</v>
      </c>
      <c r="F331" t="s">
        <v>914</v>
      </c>
      <c r="G331" t="s">
        <v>74</v>
      </c>
      <c r="H331" t="s">
        <v>74</v>
      </c>
      <c r="I331" t="s">
        <v>74</v>
      </c>
      <c r="J331" t="s">
        <v>74</v>
      </c>
      <c r="K331" t="s">
        <v>74</v>
      </c>
    </row>
    <row r="332" spans="1:11" x14ac:dyDescent="0.2">
      <c r="A332"/>
      <c r="B332"/>
      <c r="C332">
        <v>91786</v>
      </c>
      <c r="D332">
        <v>4</v>
      </c>
      <c r="E332">
        <v>10043581</v>
      </c>
      <c r="F332" t="s">
        <v>914</v>
      </c>
      <c r="G332" t="s">
        <v>113</v>
      </c>
      <c r="H332" t="s">
        <v>113</v>
      </c>
      <c r="I332" t="s">
        <v>195</v>
      </c>
      <c r="J332" t="s">
        <v>113</v>
      </c>
      <c r="K332" t="s">
        <v>113</v>
      </c>
    </row>
    <row r="333" spans="1:11" x14ac:dyDescent="0.2">
      <c r="A333"/>
      <c r="B333"/>
      <c r="C333">
        <v>91786</v>
      </c>
      <c r="D333">
        <v>4</v>
      </c>
      <c r="E333">
        <v>10289125</v>
      </c>
      <c r="F333" t="s">
        <v>914</v>
      </c>
      <c r="G333" t="s">
        <v>113</v>
      </c>
      <c r="H333" t="s">
        <v>113</v>
      </c>
      <c r="I333" t="s">
        <v>113</v>
      </c>
      <c r="J333" t="s">
        <v>113</v>
      </c>
      <c r="K333" t="s">
        <v>113</v>
      </c>
    </row>
    <row r="334" spans="1:11" x14ac:dyDescent="0.2">
      <c r="A334"/>
      <c r="B334"/>
      <c r="C334">
        <v>91762</v>
      </c>
      <c r="D334">
        <v>4</v>
      </c>
      <c r="E334">
        <v>10337578</v>
      </c>
      <c r="F334" t="s">
        <v>914</v>
      </c>
      <c r="G334" t="s">
        <v>113</v>
      </c>
      <c r="H334" t="s">
        <v>113</v>
      </c>
      <c r="I334" t="s">
        <v>113</v>
      </c>
      <c r="J334" t="s">
        <v>113</v>
      </c>
      <c r="K334" t="s">
        <v>113</v>
      </c>
    </row>
    <row r="335" spans="1:11" x14ac:dyDescent="0.2">
      <c r="A335"/>
      <c r="B335"/>
      <c r="C335">
        <v>91767</v>
      </c>
      <c r="D335">
        <v>4</v>
      </c>
      <c r="E335">
        <v>10371368</v>
      </c>
      <c r="F335" t="s">
        <v>919</v>
      </c>
      <c r="G335" t="s">
        <v>113</v>
      </c>
      <c r="H335" t="s">
        <v>113</v>
      </c>
      <c r="I335" t="s">
        <v>113</v>
      </c>
      <c r="J335" t="s">
        <v>113</v>
      </c>
      <c r="K335" t="s">
        <v>113</v>
      </c>
    </row>
    <row r="336" spans="1:11" x14ac:dyDescent="0.2">
      <c r="A336"/>
      <c r="B336"/>
      <c r="C336">
        <v>92782</v>
      </c>
      <c r="D336">
        <v>4</v>
      </c>
      <c r="E336">
        <v>10370551</v>
      </c>
      <c r="F336" t="s">
        <v>919</v>
      </c>
      <c r="G336" t="s">
        <v>113</v>
      </c>
      <c r="H336" t="s">
        <v>202</v>
      </c>
      <c r="I336" t="s">
        <v>113</v>
      </c>
      <c r="J336" t="s">
        <v>202</v>
      </c>
      <c r="K336" t="s">
        <v>113</v>
      </c>
    </row>
    <row r="337" spans="1:11" x14ac:dyDescent="0.2">
      <c r="A337"/>
      <c r="B337"/>
      <c r="C337">
        <v>91786</v>
      </c>
      <c r="D337">
        <v>3.5</v>
      </c>
      <c r="E337">
        <v>10368507</v>
      </c>
      <c r="F337" t="s">
        <v>914</v>
      </c>
      <c r="G337" t="s">
        <v>113</v>
      </c>
      <c r="H337" t="s">
        <v>113</v>
      </c>
      <c r="I337" t="s">
        <v>113</v>
      </c>
      <c r="J337" t="s">
        <v>113</v>
      </c>
      <c r="K337" t="s">
        <v>113</v>
      </c>
    </row>
    <row r="338" spans="1:11" x14ac:dyDescent="0.2">
      <c r="A338"/>
      <c r="B338"/>
      <c r="C338">
        <v>91763</v>
      </c>
      <c r="D338">
        <v>3.5</v>
      </c>
      <c r="E338">
        <v>120412</v>
      </c>
      <c r="F338" t="s">
        <v>919</v>
      </c>
      <c r="G338" t="s">
        <v>113</v>
      </c>
      <c r="H338" t="s">
        <v>202</v>
      </c>
      <c r="I338" t="s">
        <v>113</v>
      </c>
      <c r="J338" t="s">
        <v>113</v>
      </c>
      <c r="K338" t="s">
        <v>113</v>
      </c>
    </row>
    <row r="339" spans="1:11" x14ac:dyDescent="0.2">
      <c r="A339"/>
      <c r="B339"/>
      <c r="C339">
        <v>91711</v>
      </c>
      <c r="D339">
        <v>3</v>
      </c>
      <c r="E339">
        <v>10370204</v>
      </c>
      <c r="F339" t="s">
        <v>914</v>
      </c>
      <c r="G339" t="s">
        <v>113</v>
      </c>
      <c r="H339" t="s">
        <v>113</v>
      </c>
      <c r="I339" t="s">
        <v>103</v>
      </c>
      <c r="J339" t="s">
        <v>113</v>
      </c>
      <c r="K339" t="s">
        <v>113</v>
      </c>
    </row>
    <row r="340" spans="1:11" x14ac:dyDescent="0.2">
      <c r="A340"/>
      <c r="B340"/>
      <c r="C340">
        <v>91711</v>
      </c>
      <c r="D340">
        <v>3</v>
      </c>
      <c r="E340">
        <v>10370661</v>
      </c>
      <c r="F340" t="s">
        <v>914</v>
      </c>
      <c r="G340" t="s">
        <v>113</v>
      </c>
      <c r="H340" t="s">
        <v>113</v>
      </c>
      <c r="I340" t="s">
        <v>113</v>
      </c>
      <c r="J340" t="s">
        <v>113</v>
      </c>
      <c r="K340" t="s">
        <v>113</v>
      </c>
    </row>
    <row r="341" spans="1:11" x14ac:dyDescent="0.2">
      <c r="A341"/>
      <c r="B341"/>
      <c r="C341">
        <v>91767</v>
      </c>
      <c r="D341">
        <v>3</v>
      </c>
      <c r="E341">
        <v>10366900</v>
      </c>
      <c r="F341" t="s">
        <v>914</v>
      </c>
      <c r="G341" t="s">
        <v>195</v>
      </c>
      <c r="H341" t="s">
        <v>98</v>
      </c>
      <c r="I341" t="s">
        <v>98</v>
      </c>
      <c r="J341" t="s">
        <v>113</v>
      </c>
      <c r="K341" t="s">
        <v>98</v>
      </c>
    </row>
    <row r="342" spans="1:11" x14ac:dyDescent="0.2">
      <c r="A342"/>
      <c r="B342"/>
      <c r="C342">
        <v>91763</v>
      </c>
      <c r="D342">
        <v>3</v>
      </c>
      <c r="E342">
        <v>10043299</v>
      </c>
      <c r="F342" t="s">
        <v>914</v>
      </c>
      <c r="G342" t="s">
        <v>113</v>
      </c>
      <c r="H342" t="s">
        <v>113</v>
      </c>
      <c r="I342" t="s">
        <v>113</v>
      </c>
      <c r="J342" t="s">
        <v>113</v>
      </c>
      <c r="K342" t="s">
        <v>113</v>
      </c>
    </row>
    <row r="343" spans="1:11" x14ac:dyDescent="0.2">
      <c r="A343"/>
      <c r="B343"/>
      <c r="C343">
        <v>91750</v>
      </c>
      <c r="D343">
        <v>3</v>
      </c>
      <c r="E343">
        <v>10366591</v>
      </c>
      <c r="F343" t="s">
        <v>914</v>
      </c>
      <c r="G343" t="s">
        <v>74</v>
      </c>
      <c r="H343" t="s">
        <v>74</v>
      </c>
      <c r="I343" t="s">
        <v>74</v>
      </c>
      <c r="J343" t="s">
        <v>74</v>
      </c>
      <c r="K343" t="s">
        <v>74</v>
      </c>
    </row>
    <row r="344" spans="1:11" x14ac:dyDescent="0.2">
      <c r="A344"/>
      <c r="B344"/>
      <c r="C344">
        <v>91711</v>
      </c>
      <c r="D344">
        <v>3</v>
      </c>
      <c r="E344">
        <v>10366617</v>
      </c>
      <c r="F344" t="s">
        <v>914</v>
      </c>
      <c r="G344" t="s">
        <v>113</v>
      </c>
      <c r="H344" t="s">
        <v>113</v>
      </c>
      <c r="I344" t="s">
        <v>113</v>
      </c>
      <c r="J344" t="s">
        <v>113</v>
      </c>
      <c r="K344" t="s">
        <v>113</v>
      </c>
    </row>
    <row r="345" spans="1:11" x14ac:dyDescent="0.2">
      <c r="A345"/>
      <c r="B345"/>
      <c r="C345">
        <v>91767</v>
      </c>
      <c r="D345">
        <v>3</v>
      </c>
      <c r="E345">
        <v>10090883</v>
      </c>
      <c r="F345" t="s">
        <v>914</v>
      </c>
      <c r="G345" t="s">
        <v>933</v>
      </c>
      <c r="H345" t="s">
        <v>933</v>
      </c>
      <c r="I345" t="s">
        <v>933</v>
      </c>
      <c r="J345" t="s">
        <v>933</v>
      </c>
      <c r="K345" t="s">
        <v>933</v>
      </c>
    </row>
    <row r="346" spans="1:11" x14ac:dyDescent="0.2">
      <c r="A346"/>
      <c r="B346"/>
      <c r="C346">
        <v>91711</v>
      </c>
      <c r="D346">
        <v>3</v>
      </c>
      <c r="E346">
        <v>10020070</v>
      </c>
      <c r="F346" t="s">
        <v>914</v>
      </c>
      <c r="G346" t="s">
        <v>74</v>
      </c>
      <c r="H346" t="s">
        <v>74</v>
      </c>
      <c r="I346" t="s">
        <v>74</v>
      </c>
      <c r="J346" t="s">
        <v>74</v>
      </c>
      <c r="K346" t="s">
        <v>74</v>
      </c>
    </row>
    <row r="347" spans="1:11" x14ac:dyDescent="0.2">
      <c r="A347"/>
      <c r="B347"/>
      <c r="C347">
        <v>91767</v>
      </c>
      <c r="D347">
        <v>3</v>
      </c>
      <c r="E347">
        <v>10211579</v>
      </c>
      <c r="F347" t="s">
        <v>914</v>
      </c>
      <c r="G347" t="s">
        <v>113</v>
      </c>
      <c r="H347" t="s">
        <v>113</v>
      </c>
      <c r="I347" t="s">
        <v>113</v>
      </c>
      <c r="J347" t="s">
        <v>113</v>
      </c>
      <c r="K347" t="s">
        <v>113</v>
      </c>
    </row>
    <row r="348" spans="1:11" x14ac:dyDescent="0.2">
      <c r="A348"/>
      <c r="B348"/>
      <c r="C348">
        <v>91763</v>
      </c>
      <c r="D348">
        <v>3</v>
      </c>
      <c r="E348">
        <v>10370777</v>
      </c>
      <c r="F348" t="s">
        <v>914</v>
      </c>
      <c r="G348" t="s">
        <v>113</v>
      </c>
      <c r="H348" t="s">
        <v>113</v>
      </c>
      <c r="I348" t="s">
        <v>113</v>
      </c>
      <c r="J348" t="s">
        <v>113</v>
      </c>
      <c r="K348" t="s">
        <v>113</v>
      </c>
    </row>
    <row r="349" spans="1:11" x14ac:dyDescent="0.2">
      <c r="A349"/>
      <c r="B349"/>
      <c r="C349">
        <v>91767</v>
      </c>
      <c r="D349">
        <v>3</v>
      </c>
      <c r="E349">
        <v>10086568</v>
      </c>
      <c r="F349" t="s">
        <v>914</v>
      </c>
      <c r="G349" t="s">
        <v>113</v>
      </c>
      <c r="H349" t="s">
        <v>933</v>
      </c>
      <c r="I349" t="s">
        <v>933</v>
      </c>
      <c r="J349" t="s">
        <v>113</v>
      </c>
      <c r="K349" t="s">
        <v>933</v>
      </c>
    </row>
    <row r="350" spans="1:11" x14ac:dyDescent="0.2">
      <c r="A350"/>
      <c r="B350"/>
      <c r="C350">
        <v>91786</v>
      </c>
      <c r="D350">
        <v>3</v>
      </c>
      <c r="E350">
        <v>10368847</v>
      </c>
      <c r="F350" t="s">
        <v>914</v>
      </c>
      <c r="G350" t="s">
        <v>113</v>
      </c>
      <c r="H350" t="s">
        <v>113</v>
      </c>
      <c r="I350" t="s">
        <v>113</v>
      </c>
      <c r="J350" t="s">
        <v>113</v>
      </c>
      <c r="K350" t="s">
        <v>113</v>
      </c>
    </row>
    <row r="351" spans="1:11" x14ac:dyDescent="0.2">
      <c r="A351"/>
      <c r="B351"/>
      <c r="C351">
        <v>91763</v>
      </c>
      <c r="D351">
        <v>3</v>
      </c>
      <c r="E351">
        <v>10042569</v>
      </c>
      <c r="F351" t="s">
        <v>914</v>
      </c>
      <c r="G351" t="s">
        <v>113</v>
      </c>
      <c r="H351" t="s">
        <v>113</v>
      </c>
      <c r="I351" t="s">
        <v>113</v>
      </c>
      <c r="J351" t="s">
        <v>113</v>
      </c>
      <c r="K351" t="s">
        <v>113</v>
      </c>
    </row>
    <row r="352" spans="1:11" x14ac:dyDescent="0.2">
      <c r="A352"/>
      <c r="B352"/>
      <c r="C352">
        <v>91711</v>
      </c>
      <c r="D352">
        <v>3</v>
      </c>
      <c r="E352">
        <v>10363885</v>
      </c>
      <c r="F352" t="s">
        <v>914</v>
      </c>
      <c r="G352" t="s">
        <v>113</v>
      </c>
      <c r="H352" t="s">
        <v>113</v>
      </c>
      <c r="I352" t="s">
        <v>113</v>
      </c>
      <c r="J352" t="s">
        <v>113</v>
      </c>
      <c r="K352" t="s">
        <v>113</v>
      </c>
    </row>
    <row r="353" spans="1:11" x14ac:dyDescent="0.2">
      <c r="A353"/>
      <c r="B353"/>
      <c r="C353">
        <v>91711</v>
      </c>
      <c r="D353">
        <v>3</v>
      </c>
      <c r="E353">
        <v>10361451</v>
      </c>
      <c r="F353" t="s">
        <v>914</v>
      </c>
      <c r="G353" t="s">
        <v>113</v>
      </c>
      <c r="H353" t="s">
        <v>113</v>
      </c>
      <c r="I353" t="s">
        <v>113</v>
      </c>
      <c r="J353" t="s">
        <v>113</v>
      </c>
      <c r="K353" t="s">
        <v>113</v>
      </c>
    </row>
    <row r="354" spans="1:11" x14ac:dyDescent="0.2">
      <c r="A354"/>
      <c r="B354"/>
      <c r="C354">
        <v>91786</v>
      </c>
      <c r="D354">
        <v>3</v>
      </c>
      <c r="E354">
        <v>10043620</v>
      </c>
      <c r="F354" t="s">
        <v>914</v>
      </c>
      <c r="G354" t="s">
        <v>113</v>
      </c>
      <c r="H354" t="s">
        <v>199</v>
      </c>
      <c r="I354" t="s">
        <v>199</v>
      </c>
      <c r="J354" t="s">
        <v>199</v>
      </c>
      <c r="K354" t="s">
        <v>113</v>
      </c>
    </row>
    <row r="355" spans="1:11" x14ac:dyDescent="0.2">
      <c r="A355"/>
      <c r="B355"/>
      <c r="C355">
        <v>91786</v>
      </c>
      <c r="D355">
        <v>3</v>
      </c>
      <c r="E355">
        <v>10358372</v>
      </c>
      <c r="F355" t="s">
        <v>914</v>
      </c>
      <c r="G355" t="s">
        <v>113</v>
      </c>
      <c r="H355" t="s">
        <v>113</v>
      </c>
      <c r="I355" t="s">
        <v>113</v>
      </c>
      <c r="J355" t="s">
        <v>113</v>
      </c>
      <c r="K355" t="s">
        <v>113</v>
      </c>
    </row>
    <row r="356" spans="1:11" x14ac:dyDescent="0.2">
      <c r="A356"/>
      <c r="B356"/>
      <c r="C356">
        <v>91763</v>
      </c>
      <c r="D356">
        <v>3</v>
      </c>
      <c r="E356">
        <v>10366711</v>
      </c>
      <c r="F356" t="s">
        <v>914</v>
      </c>
      <c r="G356" t="s">
        <v>113</v>
      </c>
      <c r="H356" t="s">
        <v>113</v>
      </c>
      <c r="I356" t="s">
        <v>113</v>
      </c>
      <c r="J356" t="s">
        <v>113</v>
      </c>
      <c r="K356" t="s">
        <v>113</v>
      </c>
    </row>
    <row r="357" spans="1:11" x14ac:dyDescent="0.2">
      <c r="A357"/>
      <c r="B357"/>
      <c r="C357">
        <v>91767</v>
      </c>
      <c r="D357">
        <v>3</v>
      </c>
      <c r="E357">
        <v>10354662</v>
      </c>
      <c r="F357" t="s">
        <v>914</v>
      </c>
      <c r="G357" t="s">
        <v>113</v>
      </c>
      <c r="H357" t="s">
        <v>113</v>
      </c>
      <c r="I357" t="s">
        <v>113</v>
      </c>
      <c r="J357" t="s">
        <v>113</v>
      </c>
      <c r="K357" t="s">
        <v>113</v>
      </c>
    </row>
    <row r="358" spans="1:11" x14ac:dyDescent="0.2">
      <c r="A358"/>
      <c r="B358"/>
      <c r="C358">
        <v>91786</v>
      </c>
      <c r="D358">
        <v>3</v>
      </c>
      <c r="E358">
        <v>10358371</v>
      </c>
      <c r="F358" t="s">
        <v>914</v>
      </c>
      <c r="G358" t="s">
        <v>98</v>
      </c>
      <c r="H358" t="s">
        <v>113</v>
      </c>
      <c r="I358" t="s">
        <v>113</v>
      </c>
      <c r="J358" t="s">
        <v>113</v>
      </c>
      <c r="K358" t="s">
        <v>113</v>
      </c>
    </row>
    <row r="359" spans="1:11" x14ac:dyDescent="0.2">
      <c r="A359"/>
      <c r="B359"/>
      <c r="C359">
        <v>91711</v>
      </c>
      <c r="D359">
        <v>3</v>
      </c>
      <c r="E359">
        <v>10370501</v>
      </c>
      <c r="F359" t="s">
        <v>914</v>
      </c>
      <c r="G359" t="s">
        <v>74</v>
      </c>
      <c r="H359" t="s">
        <v>74</v>
      </c>
      <c r="I359" t="s">
        <v>179</v>
      </c>
      <c r="J359" t="s">
        <v>179</v>
      </c>
      <c r="K359" t="s">
        <v>74</v>
      </c>
    </row>
    <row r="360" spans="1:11" x14ac:dyDescent="0.2">
      <c r="A360"/>
      <c r="B360"/>
      <c r="C360">
        <v>91786</v>
      </c>
      <c r="D360">
        <v>3</v>
      </c>
      <c r="E360">
        <v>10366717</v>
      </c>
      <c r="F360" t="s">
        <v>914</v>
      </c>
      <c r="G360" t="s">
        <v>113</v>
      </c>
      <c r="H360" t="s">
        <v>113</v>
      </c>
      <c r="I360" t="s">
        <v>113</v>
      </c>
      <c r="J360" t="s">
        <v>113</v>
      </c>
      <c r="K360" t="s">
        <v>202</v>
      </c>
    </row>
    <row r="361" spans="1:11" x14ac:dyDescent="0.2">
      <c r="A361"/>
      <c r="B361"/>
      <c r="C361">
        <v>91763</v>
      </c>
      <c r="D361">
        <v>3</v>
      </c>
      <c r="E361">
        <v>10127734</v>
      </c>
      <c r="F361" t="s">
        <v>914</v>
      </c>
      <c r="G361" t="s">
        <v>113</v>
      </c>
      <c r="H361" t="s">
        <v>113</v>
      </c>
      <c r="I361" t="s">
        <v>113</v>
      </c>
      <c r="J361" t="s">
        <v>113</v>
      </c>
      <c r="K361" t="s">
        <v>113</v>
      </c>
    </row>
    <row r="362" spans="1:11" x14ac:dyDescent="0.2">
      <c r="A362"/>
      <c r="B362"/>
      <c r="C362">
        <v>91767</v>
      </c>
      <c r="D362">
        <v>3</v>
      </c>
      <c r="E362">
        <v>10115200</v>
      </c>
      <c r="F362" t="s">
        <v>914</v>
      </c>
      <c r="G362" t="s">
        <v>81</v>
      </c>
      <c r="H362" t="s">
        <v>98</v>
      </c>
      <c r="I362" t="s">
        <v>81</v>
      </c>
      <c r="J362" t="s">
        <v>81</v>
      </c>
      <c r="K362" t="s">
        <v>98</v>
      </c>
    </row>
    <row r="363" spans="1:11" x14ac:dyDescent="0.2">
      <c r="A363"/>
      <c r="B363"/>
      <c r="C363">
        <v>91767</v>
      </c>
      <c r="D363">
        <v>3</v>
      </c>
      <c r="E363">
        <v>103703221</v>
      </c>
      <c r="F363" t="s">
        <v>914</v>
      </c>
      <c r="G363" t="s">
        <v>113</v>
      </c>
      <c r="H363" t="s">
        <v>113</v>
      </c>
      <c r="I363" t="s">
        <v>113</v>
      </c>
      <c r="J363" t="s">
        <v>113</v>
      </c>
      <c r="K363" t="s">
        <v>113</v>
      </c>
    </row>
    <row r="364" spans="1:11" x14ac:dyDescent="0.2">
      <c r="A364"/>
      <c r="B364"/>
      <c r="C364">
        <v>91786</v>
      </c>
      <c r="D364">
        <v>3</v>
      </c>
      <c r="E364">
        <v>10358994</v>
      </c>
      <c r="F364" t="s">
        <v>914</v>
      </c>
      <c r="G364" t="s">
        <v>113</v>
      </c>
      <c r="H364" t="s">
        <v>113</v>
      </c>
      <c r="I364" t="s">
        <v>113</v>
      </c>
      <c r="J364" t="s">
        <v>113</v>
      </c>
      <c r="K364" t="s">
        <v>191</v>
      </c>
    </row>
    <row r="365" spans="1:11" x14ac:dyDescent="0.2">
      <c r="A365"/>
      <c r="B365"/>
      <c r="C365">
        <v>91711</v>
      </c>
      <c r="D365">
        <v>3</v>
      </c>
      <c r="E365">
        <v>10372602</v>
      </c>
      <c r="F365" t="s">
        <v>919</v>
      </c>
      <c r="G365" t="s">
        <v>113</v>
      </c>
      <c r="H365" t="s">
        <v>113</v>
      </c>
      <c r="I365" t="s">
        <v>113</v>
      </c>
      <c r="J365" t="s">
        <v>113</v>
      </c>
      <c r="K365" t="s">
        <v>98</v>
      </c>
    </row>
    <row r="366" spans="1:11" x14ac:dyDescent="0.2">
      <c r="A366"/>
      <c r="B366"/>
      <c r="C366">
        <v>91767</v>
      </c>
      <c r="D366">
        <v>2</v>
      </c>
      <c r="E366">
        <v>10345269</v>
      </c>
      <c r="F366" t="s">
        <v>914</v>
      </c>
      <c r="G366" t="s">
        <v>113</v>
      </c>
      <c r="H366" t="s">
        <v>113</v>
      </c>
      <c r="I366" t="s">
        <v>113</v>
      </c>
      <c r="J366" t="s">
        <v>113</v>
      </c>
      <c r="K366" t="s">
        <v>113</v>
      </c>
    </row>
    <row r="367" spans="1:11" x14ac:dyDescent="0.2">
      <c r="A367"/>
      <c r="B367"/>
      <c r="C367">
        <v>91711</v>
      </c>
      <c r="D367">
        <v>2</v>
      </c>
      <c r="E367">
        <v>10358014</v>
      </c>
      <c r="F367" t="s">
        <v>914</v>
      </c>
      <c r="G367" t="s">
        <v>113</v>
      </c>
      <c r="H367" t="s">
        <v>113</v>
      </c>
      <c r="I367" t="s">
        <v>113</v>
      </c>
      <c r="J367" t="s">
        <v>113</v>
      </c>
      <c r="K367" t="s">
        <v>103</v>
      </c>
    </row>
    <row r="368" spans="1:11" x14ac:dyDescent="0.2">
      <c r="A368"/>
      <c r="B368"/>
      <c r="C368">
        <v>91711</v>
      </c>
      <c r="D368">
        <v>2</v>
      </c>
      <c r="E368">
        <v>10370479</v>
      </c>
      <c r="F368" t="s">
        <v>914</v>
      </c>
      <c r="G368" t="s">
        <v>92</v>
      </c>
      <c r="H368" t="s">
        <v>92</v>
      </c>
      <c r="I368" t="s">
        <v>92</v>
      </c>
      <c r="J368" t="s">
        <v>92</v>
      </c>
      <c r="K368" t="s">
        <v>92</v>
      </c>
    </row>
    <row r="369" spans="1:11" x14ac:dyDescent="0.2">
      <c r="A369"/>
      <c r="B369"/>
      <c r="C369">
        <v>91711</v>
      </c>
      <c r="D369">
        <v>2</v>
      </c>
      <c r="E369">
        <v>10256349</v>
      </c>
      <c r="F369" t="s">
        <v>914</v>
      </c>
      <c r="G369" t="s">
        <v>113</v>
      </c>
      <c r="H369" t="s">
        <v>933</v>
      </c>
      <c r="I369" t="s">
        <v>113</v>
      </c>
      <c r="J369" t="s">
        <v>113</v>
      </c>
      <c r="K369" t="s">
        <v>113</v>
      </c>
    </row>
    <row r="370" spans="1:11" x14ac:dyDescent="0.2">
      <c r="A370"/>
      <c r="B370"/>
      <c r="C370">
        <v>91767</v>
      </c>
      <c r="D370">
        <v>2</v>
      </c>
      <c r="E370">
        <v>10277630</v>
      </c>
      <c r="F370" t="s">
        <v>914</v>
      </c>
      <c r="G370" t="s">
        <v>113</v>
      </c>
      <c r="H370" t="s">
        <v>113</v>
      </c>
      <c r="I370" t="s">
        <v>113</v>
      </c>
      <c r="J370" t="s">
        <v>103</v>
      </c>
      <c r="K370" t="s">
        <v>113</v>
      </c>
    </row>
    <row r="371" spans="1:11" x14ac:dyDescent="0.2">
      <c r="A371"/>
      <c r="B371"/>
      <c r="C371">
        <v>91711</v>
      </c>
      <c r="D371">
        <v>2</v>
      </c>
      <c r="E371">
        <v>10290464</v>
      </c>
      <c r="F371" t="s">
        <v>914</v>
      </c>
      <c r="G371" t="s">
        <v>113</v>
      </c>
      <c r="H371" t="s">
        <v>113</v>
      </c>
      <c r="I371" t="s">
        <v>113</v>
      </c>
      <c r="J371" t="s">
        <v>113</v>
      </c>
      <c r="K371" t="s">
        <v>113</v>
      </c>
    </row>
    <row r="372" spans="1:11" x14ac:dyDescent="0.2">
      <c r="A372"/>
      <c r="B372"/>
      <c r="C372">
        <v>91711</v>
      </c>
      <c r="D372">
        <v>2</v>
      </c>
      <c r="E372">
        <v>10031840</v>
      </c>
      <c r="F372" t="s">
        <v>914</v>
      </c>
      <c r="G372" t="s">
        <v>113</v>
      </c>
      <c r="H372" t="s">
        <v>113</v>
      </c>
      <c r="I372" t="s">
        <v>113</v>
      </c>
      <c r="J372" t="s">
        <v>113</v>
      </c>
      <c r="K372" t="s">
        <v>191</v>
      </c>
    </row>
    <row r="373" spans="1:11" x14ac:dyDescent="0.2">
      <c r="A373"/>
      <c r="B373"/>
      <c r="C373">
        <v>91711</v>
      </c>
      <c r="D373">
        <v>2</v>
      </c>
      <c r="E373">
        <v>10370480</v>
      </c>
      <c r="F373" t="s">
        <v>914</v>
      </c>
      <c r="G373" t="s">
        <v>98</v>
      </c>
      <c r="H373" t="s">
        <v>98</v>
      </c>
      <c r="I373" t="s">
        <v>98</v>
      </c>
      <c r="J373" t="s">
        <v>113</v>
      </c>
      <c r="K373" t="s">
        <v>98</v>
      </c>
    </row>
    <row r="374" spans="1:11" x14ac:dyDescent="0.2">
      <c r="A374"/>
      <c r="B374"/>
      <c r="C374">
        <v>91711</v>
      </c>
      <c r="D374">
        <v>2</v>
      </c>
      <c r="E374">
        <v>10190160</v>
      </c>
      <c r="F374" t="s">
        <v>914</v>
      </c>
      <c r="G374" t="s">
        <v>113</v>
      </c>
      <c r="H374" t="s">
        <v>113</v>
      </c>
      <c r="I374" t="s">
        <v>113</v>
      </c>
      <c r="J374" t="s">
        <v>113</v>
      </c>
      <c r="K374" t="s">
        <v>113</v>
      </c>
    </row>
    <row r="375" spans="1:11" x14ac:dyDescent="0.2">
      <c r="A375"/>
      <c r="B375"/>
      <c r="C375">
        <v>91786</v>
      </c>
      <c r="D375">
        <v>2</v>
      </c>
      <c r="E375">
        <v>10370979</v>
      </c>
      <c r="F375" t="s">
        <v>914</v>
      </c>
      <c r="G375" t="s">
        <v>113</v>
      </c>
      <c r="H375" t="s">
        <v>113</v>
      </c>
      <c r="I375" t="s">
        <v>113</v>
      </c>
      <c r="J375" t="s">
        <v>113</v>
      </c>
      <c r="K375" t="s">
        <v>113</v>
      </c>
    </row>
    <row r="376" spans="1:11" x14ac:dyDescent="0.2">
      <c r="A376"/>
      <c r="B376"/>
      <c r="C376">
        <v>91711</v>
      </c>
      <c r="D376">
        <v>2</v>
      </c>
      <c r="E376">
        <v>100133</v>
      </c>
      <c r="F376" t="s">
        <v>914</v>
      </c>
      <c r="G376" t="s">
        <v>113</v>
      </c>
      <c r="H376" t="s">
        <v>113</v>
      </c>
      <c r="I376" t="s">
        <v>113</v>
      </c>
      <c r="J376" t="s">
        <v>103</v>
      </c>
      <c r="K376" t="s">
        <v>103</v>
      </c>
    </row>
    <row r="377" spans="1:11" x14ac:dyDescent="0.2">
      <c r="A377"/>
      <c r="B377"/>
      <c r="C377">
        <v>91711</v>
      </c>
      <c r="D377">
        <v>2</v>
      </c>
      <c r="E377">
        <v>10120597</v>
      </c>
      <c r="F377" t="s">
        <v>914</v>
      </c>
      <c r="G377" t="s">
        <v>113</v>
      </c>
      <c r="H377" t="s">
        <v>113</v>
      </c>
      <c r="I377" t="s">
        <v>113</v>
      </c>
      <c r="J377" t="s">
        <v>113</v>
      </c>
      <c r="K377" t="s">
        <v>113</v>
      </c>
    </row>
    <row r="378" spans="1:11" x14ac:dyDescent="0.2">
      <c r="A378"/>
      <c r="B378"/>
      <c r="C378">
        <v>91711</v>
      </c>
      <c r="D378">
        <v>2</v>
      </c>
      <c r="E378">
        <v>10358850</v>
      </c>
      <c r="F378" t="s">
        <v>914</v>
      </c>
      <c r="G378" t="s">
        <v>98</v>
      </c>
      <c r="H378" t="s">
        <v>98</v>
      </c>
      <c r="I378" t="s">
        <v>98</v>
      </c>
      <c r="J378" t="s">
        <v>98</v>
      </c>
      <c r="K378" t="s">
        <v>98</v>
      </c>
    </row>
    <row r="379" spans="1:11" ht="14.25" customHeight="1" x14ac:dyDescent="0.2">
      <c r="A379"/>
      <c r="B379"/>
      <c r="C379">
        <v>91711</v>
      </c>
      <c r="D379">
        <v>2</v>
      </c>
      <c r="E379">
        <v>355061</v>
      </c>
      <c r="F379" t="s">
        <v>914</v>
      </c>
      <c r="G379" t="s">
        <v>103</v>
      </c>
      <c r="H379" t="s">
        <v>113</v>
      </c>
      <c r="I379" t="s">
        <v>103</v>
      </c>
      <c r="J379" t="s">
        <v>113</v>
      </c>
      <c r="K379" t="s">
        <v>103</v>
      </c>
    </row>
    <row r="380" spans="1:11" x14ac:dyDescent="0.2">
      <c r="A380"/>
      <c r="B380"/>
      <c r="C380">
        <v>91711</v>
      </c>
      <c r="D380">
        <v>2</v>
      </c>
      <c r="E380">
        <v>10039954</v>
      </c>
      <c r="F380" t="s">
        <v>914</v>
      </c>
      <c r="G380" t="s">
        <v>113</v>
      </c>
      <c r="H380" t="s">
        <v>113</v>
      </c>
      <c r="I380" t="s">
        <v>113</v>
      </c>
      <c r="J380" t="s">
        <v>113</v>
      </c>
      <c r="K380" t="s">
        <v>113</v>
      </c>
    </row>
    <row r="381" spans="1:11" x14ac:dyDescent="0.2">
      <c r="A381"/>
      <c r="B381"/>
      <c r="C381">
        <v>91711</v>
      </c>
      <c r="D381">
        <v>2</v>
      </c>
      <c r="E381">
        <v>10351821</v>
      </c>
      <c r="F381" t="s">
        <v>914</v>
      </c>
      <c r="G381" t="s">
        <v>113</v>
      </c>
      <c r="H381" t="s">
        <v>113</v>
      </c>
      <c r="I381" t="s">
        <v>113</v>
      </c>
      <c r="J381" t="s">
        <v>113</v>
      </c>
      <c r="K381" t="s">
        <v>113</v>
      </c>
    </row>
    <row r="382" spans="1:11" x14ac:dyDescent="0.2">
      <c r="A382"/>
      <c r="B382"/>
      <c r="C382">
        <v>91711</v>
      </c>
      <c r="D382">
        <v>2</v>
      </c>
      <c r="E382">
        <v>10371109</v>
      </c>
      <c r="F382" t="s">
        <v>914</v>
      </c>
      <c r="G382" t="s">
        <v>113</v>
      </c>
      <c r="H382" t="s">
        <v>113</v>
      </c>
      <c r="I382" t="s">
        <v>113</v>
      </c>
      <c r="J382" t="s">
        <v>113</v>
      </c>
      <c r="K382" t="s">
        <v>113</v>
      </c>
    </row>
    <row r="383" spans="1:11" x14ac:dyDescent="0.2">
      <c r="A383"/>
      <c r="B383"/>
      <c r="C383">
        <v>91786</v>
      </c>
      <c r="D383">
        <v>2</v>
      </c>
      <c r="E383">
        <v>10305558</v>
      </c>
      <c r="F383" t="s">
        <v>914</v>
      </c>
      <c r="G383" t="s">
        <v>103</v>
      </c>
      <c r="H383" t="s">
        <v>933</v>
      </c>
      <c r="I383" t="s">
        <v>933</v>
      </c>
      <c r="J383" t="s">
        <v>933</v>
      </c>
      <c r="K383" t="s">
        <v>103</v>
      </c>
    </row>
    <row r="384" spans="1:11" x14ac:dyDescent="0.2">
      <c r="A384"/>
      <c r="B384"/>
      <c r="C384">
        <v>91767</v>
      </c>
      <c r="D384">
        <v>2</v>
      </c>
      <c r="E384">
        <v>10366521</v>
      </c>
      <c r="F384" t="s">
        <v>914</v>
      </c>
      <c r="G384" t="s">
        <v>113</v>
      </c>
      <c r="H384" t="s">
        <v>113</v>
      </c>
      <c r="I384" t="s">
        <v>113</v>
      </c>
      <c r="J384" t="s">
        <v>113</v>
      </c>
      <c r="K384" t="s">
        <v>113</v>
      </c>
    </row>
    <row r="385" spans="1:11" x14ac:dyDescent="0.2">
      <c r="A385"/>
      <c r="B385"/>
      <c r="C385">
        <v>91786</v>
      </c>
      <c r="D385">
        <v>2</v>
      </c>
      <c r="E385">
        <v>10120810</v>
      </c>
      <c r="F385" t="s">
        <v>914</v>
      </c>
      <c r="G385" t="s">
        <v>103</v>
      </c>
      <c r="H385" t="s">
        <v>113</v>
      </c>
      <c r="I385" t="s">
        <v>113</v>
      </c>
      <c r="J385" t="s">
        <v>113</v>
      </c>
      <c r="K385" t="s">
        <v>113</v>
      </c>
    </row>
    <row r="386" spans="1:11" x14ac:dyDescent="0.2">
      <c r="A386"/>
      <c r="B386"/>
      <c r="C386">
        <v>91711</v>
      </c>
      <c r="D386">
        <v>2</v>
      </c>
      <c r="E386">
        <v>10199960</v>
      </c>
      <c r="F386" t="s">
        <v>914</v>
      </c>
      <c r="G386" t="s">
        <v>113</v>
      </c>
      <c r="H386" t="s">
        <v>113</v>
      </c>
      <c r="I386" t="s">
        <v>113</v>
      </c>
      <c r="J386" t="s">
        <v>113</v>
      </c>
      <c r="K386" t="s">
        <v>113</v>
      </c>
    </row>
    <row r="387" spans="1:11" x14ac:dyDescent="0.2">
      <c r="A387"/>
      <c r="B387"/>
      <c r="C387">
        <v>91763</v>
      </c>
      <c r="D387">
        <v>2</v>
      </c>
      <c r="E387">
        <v>10361455</v>
      </c>
      <c r="F387" t="s">
        <v>914</v>
      </c>
      <c r="G387" t="s">
        <v>113</v>
      </c>
      <c r="H387" t="s">
        <v>113</v>
      </c>
      <c r="I387" t="s">
        <v>113</v>
      </c>
      <c r="J387" t="s">
        <v>113</v>
      </c>
      <c r="K387" t="s">
        <v>113</v>
      </c>
    </row>
    <row r="388" spans="1:11" x14ac:dyDescent="0.2">
      <c r="A388"/>
      <c r="B388"/>
      <c r="C388">
        <v>91711</v>
      </c>
      <c r="D388">
        <v>2</v>
      </c>
      <c r="E388">
        <v>10042424</v>
      </c>
      <c r="F388" t="s">
        <v>914</v>
      </c>
      <c r="G388" t="s">
        <v>113</v>
      </c>
      <c r="H388" t="s">
        <v>113</v>
      </c>
      <c r="I388" t="s">
        <v>113</v>
      </c>
      <c r="J388" t="s">
        <v>113</v>
      </c>
      <c r="K388" t="s">
        <v>113</v>
      </c>
    </row>
    <row r="389" spans="1:11" x14ac:dyDescent="0.2">
      <c r="A389"/>
      <c r="B389"/>
      <c r="C389">
        <v>91711</v>
      </c>
      <c r="D389">
        <v>2</v>
      </c>
      <c r="E389">
        <v>10365618</v>
      </c>
      <c r="F389" t="s">
        <v>914</v>
      </c>
      <c r="G389" t="s">
        <v>933</v>
      </c>
      <c r="H389" t="s">
        <v>98</v>
      </c>
      <c r="I389" t="s">
        <v>98</v>
      </c>
      <c r="J389" t="s">
        <v>933</v>
      </c>
      <c r="K389" t="s">
        <v>113</v>
      </c>
    </row>
    <row r="390" spans="1:11" x14ac:dyDescent="0.2">
      <c r="A390"/>
      <c r="B390"/>
      <c r="C390">
        <v>91711</v>
      </c>
      <c r="D390">
        <v>2</v>
      </c>
      <c r="E390">
        <v>10366545</v>
      </c>
      <c r="F390" t="s">
        <v>914</v>
      </c>
      <c r="G390" t="s">
        <v>202</v>
      </c>
      <c r="H390" t="s">
        <v>202</v>
      </c>
      <c r="I390" t="s">
        <v>113</v>
      </c>
      <c r="J390" t="s">
        <v>113</v>
      </c>
      <c r="K390" t="s">
        <v>202</v>
      </c>
    </row>
    <row r="391" spans="1:11" x14ac:dyDescent="0.2">
      <c r="A391"/>
      <c r="B391"/>
      <c r="C391">
        <v>91786</v>
      </c>
      <c r="D391">
        <v>2</v>
      </c>
      <c r="E391">
        <v>10361295</v>
      </c>
      <c r="F391" t="s">
        <v>914</v>
      </c>
      <c r="G391" t="s">
        <v>113</v>
      </c>
      <c r="H391" t="s">
        <v>113</v>
      </c>
      <c r="I391" t="s">
        <v>113</v>
      </c>
      <c r="J391" t="s">
        <v>113</v>
      </c>
      <c r="K391" t="s">
        <v>113</v>
      </c>
    </row>
    <row r="392" spans="1:11" x14ac:dyDescent="0.2">
      <c r="A392"/>
      <c r="B392"/>
      <c r="C392">
        <v>91711</v>
      </c>
      <c r="D392">
        <v>2</v>
      </c>
      <c r="E392">
        <v>1037257</v>
      </c>
      <c r="F392" t="s">
        <v>914</v>
      </c>
      <c r="G392" t="s">
        <v>113</v>
      </c>
      <c r="H392" t="s">
        <v>113</v>
      </c>
      <c r="I392" t="s">
        <v>113</v>
      </c>
      <c r="J392" t="s">
        <v>113</v>
      </c>
      <c r="K392" t="s">
        <v>113</v>
      </c>
    </row>
    <row r="393" spans="1:11" x14ac:dyDescent="0.2">
      <c r="A393"/>
      <c r="B393"/>
      <c r="C393">
        <v>91767</v>
      </c>
      <c r="D393">
        <v>2</v>
      </c>
      <c r="E393">
        <v>10361244</v>
      </c>
      <c r="F393" t="s">
        <v>914</v>
      </c>
      <c r="G393" t="s">
        <v>113</v>
      </c>
      <c r="H393" t="s">
        <v>113</v>
      </c>
      <c r="I393" t="s">
        <v>113</v>
      </c>
      <c r="J393" t="s">
        <v>113</v>
      </c>
      <c r="K393" t="s">
        <v>113</v>
      </c>
    </row>
    <row r="394" spans="1:11" x14ac:dyDescent="0.2">
      <c r="A394"/>
      <c r="B394"/>
      <c r="C394">
        <v>91711</v>
      </c>
      <c r="D394">
        <v>2</v>
      </c>
      <c r="E394">
        <v>10043223</v>
      </c>
      <c r="F394" t="s">
        <v>914</v>
      </c>
      <c r="G394" t="s">
        <v>113</v>
      </c>
      <c r="H394" t="s">
        <v>108</v>
      </c>
      <c r="I394" t="s">
        <v>113</v>
      </c>
      <c r="J394" t="s">
        <v>113</v>
      </c>
      <c r="K394" t="s">
        <v>108</v>
      </c>
    </row>
    <row r="395" spans="1:11" x14ac:dyDescent="0.2">
      <c r="A395"/>
      <c r="B395"/>
      <c r="C395">
        <v>91711</v>
      </c>
      <c r="D395">
        <v>2</v>
      </c>
      <c r="E395">
        <v>10354843</v>
      </c>
      <c r="F395" t="s">
        <v>914</v>
      </c>
      <c r="G395" t="s">
        <v>113</v>
      </c>
      <c r="H395" t="s">
        <v>113</v>
      </c>
      <c r="I395" t="s">
        <v>113</v>
      </c>
      <c r="J395" t="s">
        <v>113</v>
      </c>
      <c r="K395" t="s">
        <v>103</v>
      </c>
    </row>
    <row r="396" spans="1:11" x14ac:dyDescent="0.2">
      <c r="A396"/>
      <c r="B396"/>
      <c r="C396">
        <v>91767</v>
      </c>
      <c r="D396">
        <v>2</v>
      </c>
      <c r="E396">
        <v>10205309</v>
      </c>
      <c r="F396" t="s">
        <v>914</v>
      </c>
      <c r="G396" t="s">
        <v>113</v>
      </c>
      <c r="H396" t="s">
        <v>113</v>
      </c>
      <c r="I396" t="s">
        <v>113</v>
      </c>
      <c r="J396" t="s">
        <v>113</v>
      </c>
      <c r="K396" t="s">
        <v>202</v>
      </c>
    </row>
    <row r="397" spans="1:11" x14ac:dyDescent="0.2">
      <c r="A397"/>
      <c r="B397"/>
      <c r="C397">
        <v>91711</v>
      </c>
      <c r="D397">
        <v>2</v>
      </c>
      <c r="E397">
        <v>10358066</v>
      </c>
      <c r="F397" t="s">
        <v>914</v>
      </c>
      <c r="G397" t="s">
        <v>113</v>
      </c>
      <c r="H397" t="s">
        <v>113</v>
      </c>
      <c r="I397" t="s">
        <v>113</v>
      </c>
      <c r="J397" t="s">
        <v>113</v>
      </c>
      <c r="K397" t="s">
        <v>113</v>
      </c>
    </row>
    <row r="398" spans="1:11" x14ac:dyDescent="0.2">
      <c r="A398"/>
      <c r="B398"/>
      <c r="C398">
        <v>91711</v>
      </c>
      <c r="D398">
        <v>2</v>
      </c>
      <c r="E398">
        <v>10372216</v>
      </c>
      <c r="F398" t="s">
        <v>919</v>
      </c>
      <c r="G398" t="s">
        <v>113</v>
      </c>
      <c r="H398" t="s">
        <v>202</v>
      </c>
      <c r="I398" t="s">
        <v>113</v>
      </c>
      <c r="J398" t="s">
        <v>202</v>
      </c>
      <c r="K398" t="s">
        <v>113</v>
      </c>
    </row>
    <row r="399" spans="1:11" x14ac:dyDescent="0.2">
      <c r="A399"/>
      <c r="B399"/>
      <c r="C399">
        <v>91711</v>
      </c>
      <c r="D399">
        <v>2</v>
      </c>
      <c r="E399">
        <v>10370636</v>
      </c>
      <c r="F399" t="s">
        <v>919</v>
      </c>
      <c r="G399" t="s">
        <v>113</v>
      </c>
      <c r="H399" t="s">
        <v>113</v>
      </c>
      <c r="I399" t="s">
        <v>113</v>
      </c>
      <c r="J399" t="s">
        <v>113</v>
      </c>
      <c r="K399" t="s">
        <v>113</v>
      </c>
    </row>
    <row r="400" spans="1:11" x14ac:dyDescent="0.2">
      <c r="A400"/>
      <c r="B400"/>
      <c r="C400">
        <v>91763</v>
      </c>
      <c r="D400">
        <v>1.5</v>
      </c>
      <c r="E400">
        <v>10362526</v>
      </c>
      <c r="F400" t="s">
        <v>914</v>
      </c>
      <c r="G400" t="s">
        <v>74</v>
      </c>
      <c r="H400" t="s">
        <v>74</v>
      </c>
      <c r="I400" t="s">
        <v>74</v>
      </c>
      <c r="J400" t="s">
        <v>74</v>
      </c>
      <c r="K400" t="s">
        <v>74</v>
      </c>
    </row>
    <row r="401" spans="1:11" x14ac:dyDescent="0.2">
      <c r="A401"/>
      <c r="B401"/>
      <c r="C401">
        <v>91711</v>
      </c>
      <c r="D401">
        <v>1</v>
      </c>
      <c r="E401">
        <v>10370213</v>
      </c>
      <c r="F401" t="s">
        <v>914</v>
      </c>
      <c r="G401" t="s">
        <v>113</v>
      </c>
      <c r="H401" t="s">
        <v>113</v>
      </c>
      <c r="I401" t="s">
        <v>113</v>
      </c>
      <c r="J401" t="s">
        <v>113</v>
      </c>
      <c r="K401" t="s">
        <v>113</v>
      </c>
    </row>
    <row r="402" spans="1:11" x14ac:dyDescent="0.2">
      <c r="A402"/>
      <c r="B402"/>
      <c r="C402">
        <v>91786</v>
      </c>
      <c r="D402">
        <v>1</v>
      </c>
      <c r="E402">
        <v>10105644</v>
      </c>
      <c r="F402" t="s">
        <v>914</v>
      </c>
      <c r="G402" t="s">
        <v>92</v>
      </c>
      <c r="H402" t="s">
        <v>92</v>
      </c>
      <c r="I402" t="s">
        <v>92</v>
      </c>
      <c r="J402" t="s">
        <v>92</v>
      </c>
      <c r="K402" t="s">
        <v>92</v>
      </c>
    </row>
    <row r="403" spans="1:11" x14ac:dyDescent="0.2">
      <c r="A403"/>
      <c r="B403"/>
      <c r="C403">
        <v>91763</v>
      </c>
      <c r="D403">
        <v>1</v>
      </c>
      <c r="E403">
        <v>10366638</v>
      </c>
      <c r="F403" t="s">
        <v>914</v>
      </c>
      <c r="G403" t="s">
        <v>113</v>
      </c>
      <c r="H403" t="s">
        <v>103</v>
      </c>
      <c r="I403" t="s">
        <v>113</v>
      </c>
      <c r="J403" t="s">
        <v>103</v>
      </c>
      <c r="K403" t="s">
        <v>113</v>
      </c>
    </row>
    <row r="404" spans="1:11" x14ac:dyDescent="0.2">
      <c r="A404"/>
      <c r="B404"/>
      <c r="C404">
        <v>91763</v>
      </c>
      <c r="D404">
        <v>1</v>
      </c>
      <c r="E404">
        <v>10042835</v>
      </c>
      <c r="F404" t="s">
        <v>914</v>
      </c>
      <c r="G404" t="s">
        <v>113</v>
      </c>
      <c r="H404" t="s">
        <v>113</v>
      </c>
      <c r="I404" t="s">
        <v>113</v>
      </c>
      <c r="J404" t="s">
        <v>113</v>
      </c>
      <c r="K404" t="s">
        <v>113</v>
      </c>
    </row>
    <row r="405" spans="1:11" x14ac:dyDescent="0.2">
      <c r="A405"/>
      <c r="B405"/>
      <c r="C405">
        <v>91711</v>
      </c>
      <c r="D405">
        <v>1</v>
      </c>
      <c r="E405">
        <v>10366684</v>
      </c>
      <c r="F405" t="s">
        <v>919</v>
      </c>
      <c r="G405" t="s">
        <v>92</v>
      </c>
      <c r="H405" t="s">
        <v>92</v>
      </c>
      <c r="I405" t="s">
        <v>92</v>
      </c>
      <c r="J405" t="s">
        <v>92</v>
      </c>
      <c r="K405" t="s">
        <v>92</v>
      </c>
    </row>
    <row r="406" spans="1:11" x14ac:dyDescent="0.2">
      <c r="A406"/>
      <c r="B406"/>
      <c r="C406">
        <v>91711</v>
      </c>
      <c r="D406">
        <v>1</v>
      </c>
      <c r="E406">
        <v>10040539</v>
      </c>
      <c r="F406" t="s">
        <v>914</v>
      </c>
      <c r="G406" t="s">
        <v>113</v>
      </c>
      <c r="H406" t="s">
        <v>92</v>
      </c>
      <c r="I406" t="s">
        <v>113</v>
      </c>
      <c r="J406" t="s">
        <v>92</v>
      </c>
      <c r="K406" t="s">
        <v>103</v>
      </c>
    </row>
    <row r="407" spans="1:11" x14ac:dyDescent="0.2">
      <c r="A407"/>
      <c r="B407"/>
      <c r="C407">
        <v>91711</v>
      </c>
      <c r="D407">
        <v>1</v>
      </c>
      <c r="E407">
        <v>1004222</v>
      </c>
      <c r="F407" t="s">
        <v>914</v>
      </c>
      <c r="G407" t="s">
        <v>113</v>
      </c>
      <c r="H407" t="s">
        <v>113</v>
      </c>
      <c r="I407" t="s">
        <v>113</v>
      </c>
      <c r="J407" t="s">
        <v>113</v>
      </c>
      <c r="K407" t="s">
        <v>113</v>
      </c>
    </row>
    <row r="408" spans="1:11" x14ac:dyDescent="0.2">
      <c r="A408"/>
      <c r="B408"/>
      <c r="C408">
        <v>91711</v>
      </c>
      <c r="D408">
        <v>1</v>
      </c>
      <c r="E408">
        <v>10353082</v>
      </c>
      <c r="F408" t="s">
        <v>914</v>
      </c>
      <c r="G408" t="s">
        <v>113</v>
      </c>
      <c r="H408" t="s">
        <v>113</v>
      </c>
      <c r="I408" t="s">
        <v>113</v>
      </c>
      <c r="J408" t="s">
        <v>113</v>
      </c>
      <c r="K408" t="s">
        <v>113</v>
      </c>
    </row>
    <row r="409" spans="1:11" x14ac:dyDescent="0.2">
      <c r="A409"/>
      <c r="B409"/>
      <c r="C409">
        <v>91711</v>
      </c>
      <c r="D409">
        <v>1</v>
      </c>
      <c r="E409">
        <v>10363207</v>
      </c>
      <c r="F409" t="s">
        <v>914</v>
      </c>
      <c r="G409" t="s">
        <v>933</v>
      </c>
      <c r="H409" t="s">
        <v>933</v>
      </c>
      <c r="I409" t="s">
        <v>933</v>
      </c>
      <c r="J409" t="s">
        <v>103</v>
      </c>
      <c r="K409" t="s">
        <v>933</v>
      </c>
    </row>
    <row r="410" spans="1:11" x14ac:dyDescent="0.2">
      <c r="A410"/>
      <c r="B410"/>
      <c r="C410">
        <v>91711</v>
      </c>
      <c r="D410">
        <v>1</v>
      </c>
      <c r="E410">
        <v>10268700</v>
      </c>
      <c r="F410" t="s">
        <v>914</v>
      </c>
      <c r="G410" t="s">
        <v>113</v>
      </c>
      <c r="H410" t="s">
        <v>113</v>
      </c>
      <c r="I410" t="s">
        <v>113</v>
      </c>
      <c r="J410" t="s">
        <v>113</v>
      </c>
      <c r="K410" t="s">
        <v>113</v>
      </c>
    </row>
    <row r="411" spans="1:11" x14ac:dyDescent="0.2">
      <c r="A411"/>
      <c r="B411"/>
      <c r="C411">
        <v>91711</v>
      </c>
      <c r="D411">
        <v>1</v>
      </c>
      <c r="E411">
        <v>1010967</v>
      </c>
      <c r="F411" t="s">
        <v>914</v>
      </c>
      <c r="G411" t="s">
        <v>92</v>
      </c>
      <c r="H411" t="s">
        <v>113</v>
      </c>
      <c r="I411" t="s">
        <v>113</v>
      </c>
      <c r="J411" t="s">
        <v>92</v>
      </c>
      <c r="K411" t="s">
        <v>113</v>
      </c>
    </row>
    <row r="412" spans="1:11" x14ac:dyDescent="0.2">
      <c r="A412"/>
      <c r="B412"/>
      <c r="C412">
        <v>91711</v>
      </c>
      <c r="D412">
        <v>1</v>
      </c>
      <c r="E412">
        <v>10006767</v>
      </c>
      <c r="F412" t="s">
        <v>914</v>
      </c>
      <c r="G412" t="s">
        <v>191</v>
      </c>
      <c r="H412" t="s">
        <v>92</v>
      </c>
      <c r="I412" t="s">
        <v>92</v>
      </c>
      <c r="J412" t="s">
        <v>92</v>
      </c>
      <c r="K412" t="s">
        <v>92</v>
      </c>
    </row>
    <row r="413" spans="1:11" x14ac:dyDescent="0.2">
      <c r="A413"/>
      <c r="B413"/>
      <c r="C413">
        <v>91711</v>
      </c>
      <c r="D413">
        <v>1</v>
      </c>
      <c r="E413">
        <v>10366462</v>
      </c>
      <c r="F413" t="s">
        <v>914</v>
      </c>
      <c r="G413" t="s">
        <v>113</v>
      </c>
      <c r="H413" t="s">
        <v>113</v>
      </c>
      <c r="I413" t="s">
        <v>113</v>
      </c>
      <c r="J413" t="s">
        <v>113</v>
      </c>
      <c r="K413" t="s">
        <v>113</v>
      </c>
    </row>
    <row r="414" spans="1:11" x14ac:dyDescent="0.2">
      <c r="A414"/>
      <c r="B414"/>
      <c r="C414">
        <v>91786</v>
      </c>
      <c r="D414">
        <v>1</v>
      </c>
      <c r="E414">
        <v>10105644</v>
      </c>
      <c r="F414" t="s">
        <v>914</v>
      </c>
      <c r="G414" t="s">
        <v>92</v>
      </c>
      <c r="H414" t="s">
        <v>92</v>
      </c>
      <c r="I414" t="s">
        <v>92</v>
      </c>
      <c r="J414" t="s">
        <v>92</v>
      </c>
      <c r="K414" t="s">
        <v>92</v>
      </c>
    </row>
    <row r="415" spans="1:11" x14ac:dyDescent="0.2">
      <c r="A415"/>
      <c r="B415"/>
      <c r="C415">
        <v>91711</v>
      </c>
      <c r="D415">
        <v>1</v>
      </c>
      <c r="E415">
        <v>10348203</v>
      </c>
      <c r="F415" t="s">
        <v>914</v>
      </c>
      <c r="G415" t="s">
        <v>98</v>
      </c>
      <c r="H415" t="s">
        <v>98</v>
      </c>
      <c r="I415" t="s">
        <v>98</v>
      </c>
      <c r="J415" t="s">
        <v>933</v>
      </c>
      <c r="K415" t="s">
        <v>98</v>
      </c>
    </row>
    <row r="416" spans="1:11" x14ac:dyDescent="0.2">
      <c r="A416"/>
      <c r="B416"/>
      <c r="C416">
        <v>91711</v>
      </c>
      <c r="D416">
        <v>1</v>
      </c>
      <c r="E416">
        <v>10126965</v>
      </c>
      <c r="F416" t="s">
        <v>914</v>
      </c>
      <c r="G416" t="s">
        <v>92</v>
      </c>
      <c r="H416" t="s">
        <v>92</v>
      </c>
      <c r="I416" t="s">
        <v>92</v>
      </c>
      <c r="J416" t="s">
        <v>92</v>
      </c>
      <c r="K416" t="s">
        <v>92</v>
      </c>
    </row>
    <row r="417" spans="1:11" x14ac:dyDescent="0.2">
      <c r="A417"/>
      <c r="B417"/>
      <c r="C417">
        <v>91711</v>
      </c>
      <c r="D417">
        <v>1</v>
      </c>
      <c r="E417">
        <v>10341303</v>
      </c>
      <c r="F417" t="s">
        <v>914</v>
      </c>
      <c r="G417" t="s">
        <v>92</v>
      </c>
      <c r="H417" t="s">
        <v>113</v>
      </c>
      <c r="I417" t="s">
        <v>113</v>
      </c>
      <c r="J417" t="s">
        <v>92</v>
      </c>
      <c r="K417" t="s">
        <v>113</v>
      </c>
    </row>
    <row r="418" spans="1:11" x14ac:dyDescent="0.2">
      <c r="A418"/>
      <c r="B418"/>
      <c r="C418">
        <v>91711</v>
      </c>
      <c r="D418">
        <v>1</v>
      </c>
      <c r="E418">
        <v>10006767</v>
      </c>
      <c r="F418" t="s">
        <v>914</v>
      </c>
      <c r="G418" t="s">
        <v>191</v>
      </c>
      <c r="H418" t="s">
        <v>92</v>
      </c>
      <c r="I418" t="s">
        <v>92</v>
      </c>
      <c r="J418" t="s">
        <v>92</v>
      </c>
      <c r="K418" t="s">
        <v>92</v>
      </c>
    </row>
    <row r="419" spans="1:11" x14ac:dyDescent="0.2">
      <c r="A419"/>
      <c r="B419"/>
      <c r="C419">
        <v>91711</v>
      </c>
      <c r="D419">
        <v>1</v>
      </c>
      <c r="E419">
        <v>10370773</v>
      </c>
      <c r="F419" t="s">
        <v>914</v>
      </c>
      <c r="G419" t="s">
        <v>113</v>
      </c>
      <c r="H419" t="s">
        <v>92</v>
      </c>
      <c r="I419" t="s">
        <v>92</v>
      </c>
      <c r="J419" t="s">
        <v>103</v>
      </c>
      <c r="K419" t="s">
        <v>103</v>
      </c>
    </row>
    <row r="420" spans="1:11" x14ac:dyDescent="0.2">
      <c r="A420"/>
      <c r="B420"/>
      <c r="C420">
        <v>91711</v>
      </c>
      <c r="D420">
        <v>1</v>
      </c>
      <c r="E420">
        <v>10366699</v>
      </c>
      <c r="F420" t="s">
        <v>914</v>
      </c>
      <c r="G420" t="s">
        <v>92</v>
      </c>
      <c r="H420" t="s">
        <v>92</v>
      </c>
      <c r="I420" t="s">
        <v>92</v>
      </c>
      <c r="J420" t="s">
        <v>92</v>
      </c>
      <c r="K420" t="s">
        <v>92</v>
      </c>
    </row>
    <row r="421" spans="1:11" x14ac:dyDescent="0.2">
      <c r="A421"/>
      <c r="B421"/>
      <c r="C421">
        <v>91711</v>
      </c>
      <c r="D421">
        <v>1</v>
      </c>
      <c r="E421">
        <v>10366747</v>
      </c>
      <c r="F421" t="s">
        <v>914</v>
      </c>
      <c r="G421" t="s">
        <v>92</v>
      </c>
      <c r="H421" t="s">
        <v>92</v>
      </c>
      <c r="I421" t="s">
        <v>92</v>
      </c>
      <c r="J421" t="s">
        <v>92</v>
      </c>
      <c r="K421" t="s">
        <v>92</v>
      </c>
    </row>
    <row r="422" spans="1:11" x14ac:dyDescent="0.2">
      <c r="A422"/>
      <c r="B422"/>
      <c r="C422">
        <v>91711</v>
      </c>
      <c r="D422">
        <v>1</v>
      </c>
      <c r="E422">
        <v>10091830</v>
      </c>
      <c r="F422" t="s">
        <v>914</v>
      </c>
      <c r="G422" t="s">
        <v>113</v>
      </c>
      <c r="H422" t="s">
        <v>113</v>
      </c>
      <c r="I422" t="s">
        <v>113</v>
      </c>
      <c r="J422" t="s">
        <v>113</v>
      </c>
      <c r="K422" t="s">
        <v>113</v>
      </c>
    </row>
    <row r="423" spans="1:11" x14ac:dyDescent="0.2">
      <c r="A423"/>
      <c r="B423"/>
      <c r="C423">
        <v>91711</v>
      </c>
      <c r="D423">
        <v>1</v>
      </c>
      <c r="E423">
        <v>10354850</v>
      </c>
      <c r="F423" t="s">
        <v>914</v>
      </c>
      <c r="G423" t="s">
        <v>92</v>
      </c>
      <c r="H423" t="s">
        <v>92</v>
      </c>
      <c r="I423" t="s">
        <v>92</v>
      </c>
      <c r="J423" t="s">
        <v>92</v>
      </c>
      <c r="K423" t="s">
        <v>92</v>
      </c>
    </row>
    <row r="424" spans="1:11" x14ac:dyDescent="0.2">
      <c r="A424"/>
      <c r="B424"/>
      <c r="C424">
        <v>91786</v>
      </c>
      <c r="D424">
        <v>1</v>
      </c>
      <c r="E424">
        <v>10378007</v>
      </c>
      <c r="F424" t="s">
        <v>914</v>
      </c>
      <c r="G424" t="s">
        <v>113</v>
      </c>
      <c r="H424" t="s">
        <v>113</v>
      </c>
      <c r="I424" t="s">
        <v>113</v>
      </c>
      <c r="J424" t="s">
        <v>113</v>
      </c>
      <c r="K424" t="s">
        <v>113</v>
      </c>
    </row>
    <row r="425" spans="1:11" x14ac:dyDescent="0.2">
      <c r="A425"/>
      <c r="B425"/>
      <c r="C425">
        <v>91767</v>
      </c>
      <c r="D425">
        <v>1</v>
      </c>
      <c r="E425">
        <v>10148193</v>
      </c>
      <c r="F425" t="s">
        <v>914</v>
      </c>
      <c r="G425" t="s">
        <v>113</v>
      </c>
      <c r="H425" t="s">
        <v>933</v>
      </c>
      <c r="I425" t="s">
        <v>933</v>
      </c>
      <c r="J425" t="s">
        <v>113</v>
      </c>
      <c r="K425" t="s">
        <v>92</v>
      </c>
    </row>
    <row r="426" spans="1:11" x14ac:dyDescent="0.2">
      <c r="A426"/>
      <c r="B426"/>
      <c r="C426">
        <v>91711</v>
      </c>
      <c r="D426">
        <v>1</v>
      </c>
      <c r="E426">
        <v>10370225</v>
      </c>
      <c r="F426" t="s">
        <v>914</v>
      </c>
      <c r="G426" t="s">
        <v>92</v>
      </c>
      <c r="H426" t="s">
        <v>92</v>
      </c>
      <c r="I426" t="s">
        <v>92</v>
      </c>
      <c r="J426" t="s">
        <v>92</v>
      </c>
      <c r="K426" t="s">
        <v>92</v>
      </c>
    </row>
    <row r="427" spans="1:11" x14ac:dyDescent="0.2">
      <c r="A427"/>
      <c r="B427"/>
      <c r="C427">
        <v>91711</v>
      </c>
      <c r="D427">
        <v>1</v>
      </c>
      <c r="E427">
        <v>10013031</v>
      </c>
      <c r="F427" t="s">
        <v>914</v>
      </c>
      <c r="G427" t="s">
        <v>98</v>
      </c>
      <c r="H427" t="s">
        <v>98</v>
      </c>
      <c r="I427" t="s">
        <v>98</v>
      </c>
      <c r="J427" t="s">
        <v>113</v>
      </c>
      <c r="K427" t="s">
        <v>113</v>
      </c>
    </row>
    <row r="428" spans="1:11" x14ac:dyDescent="0.2">
      <c r="A428"/>
      <c r="B428"/>
      <c r="C428">
        <v>91711</v>
      </c>
      <c r="D428">
        <v>1</v>
      </c>
      <c r="E428">
        <v>10290734</v>
      </c>
      <c r="F428" t="s">
        <v>914</v>
      </c>
      <c r="G428" t="s">
        <v>113</v>
      </c>
      <c r="H428" t="s">
        <v>933</v>
      </c>
      <c r="I428" t="s">
        <v>113</v>
      </c>
      <c r="J428" t="s">
        <v>933</v>
      </c>
      <c r="K428" t="s">
        <v>933</v>
      </c>
    </row>
    <row r="429" spans="1:11" x14ac:dyDescent="0.2">
      <c r="A429"/>
      <c r="B429"/>
      <c r="C429">
        <v>91711</v>
      </c>
      <c r="D429">
        <v>1</v>
      </c>
      <c r="E429">
        <v>1010967</v>
      </c>
      <c r="F429" t="s">
        <v>914</v>
      </c>
      <c r="G429" t="s">
        <v>92</v>
      </c>
      <c r="H429" t="s">
        <v>113</v>
      </c>
      <c r="I429" t="s">
        <v>113</v>
      </c>
      <c r="J429" t="s">
        <v>92</v>
      </c>
      <c r="K429" t="s">
        <v>113</v>
      </c>
    </row>
    <row r="430" spans="1:11" x14ac:dyDescent="0.2">
      <c r="A430"/>
      <c r="B430"/>
      <c r="C430">
        <v>91711</v>
      </c>
      <c r="D430">
        <v>1</v>
      </c>
      <c r="E430">
        <v>10105699</v>
      </c>
      <c r="F430" t="s">
        <v>914</v>
      </c>
      <c r="G430" t="s">
        <v>195</v>
      </c>
      <c r="H430" t="s">
        <v>113</v>
      </c>
      <c r="I430" t="s">
        <v>195</v>
      </c>
      <c r="J430" t="s">
        <v>195</v>
      </c>
      <c r="K430" t="s">
        <v>195</v>
      </c>
    </row>
    <row r="431" spans="1:11" x14ac:dyDescent="0.2">
      <c r="A431"/>
      <c r="B431"/>
      <c r="C431">
        <v>91711</v>
      </c>
      <c r="D431">
        <v>1</v>
      </c>
      <c r="E431">
        <v>10042755</v>
      </c>
      <c r="F431" t="s">
        <v>914</v>
      </c>
      <c r="G431" t="s">
        <v>113</v>
      </c>
      <c r="H431" t="s">
        <v>113</v>
      </c>
      <c r="I431" t="s">
        <v>113</v>
      </c>
      <c r="J431" t="s">
        <v>113</v>
      </c>
      <c r="K431" t="s">
        <v>113</v>
      </c>
    </row>
    <row r="432" spans="1:11" x14ac:dyDescent="0.2">
      <c r="A432"/>
      <c r="B432"/>
      <c r="C432">
        <v>91711</v>
      </c>
      <c r="D432">
        <v>1</v>
      </c>
      <c r="E432">
        <v>10257626</v>
      </c>
      <c r="F432" t="s">
        <v>914</v>
      </c>
      <c r="G432" t="s">
        <v>103</v>
      </c>
      <c r="H432" t="s">
        <v>103</v>
      </c>
      <c r="I432" t="s">
        <v>103</v>
      </c>
      <c r="J432" t="s">
        <v>103</v>
      </c>
      <c r="K432" t="s">
        <v>103</v>
      </c>
    </row>
    <row r="433" spans="1:11" x14ac:dyDescent="0.2">
      <c r="A433"/>
      <c r="B433"/>
      <c r="C433">
        <v>91711</v>
      </c>
      <c r="D433">
        <v>1</v>
      </c>
      <c r="E433">
        <v>10257033</v>
      </c>
      <c r="F433" t="s">
        <v>914</v>
      </c>
      <c r="G433" t="s">
        <v>103</v>
      </c>
      <c r="H433" t="s">
        <v>98</v>
      </c>
      <c r="I433" t="s">
        <v>113</v>
      </c>
      <c r="J433" t="s">
        <v>191</v>
      </c>
      <c r="K433" t="s">
        <v>191</v>
      </c>
    </row>
    <row r="434" spans="1:11" x14ac:dyDescent="0.2">
      <c r="A434"/>
      <c r="B434"/>
      <c r="C434">
        <v>91711</v>
      </c>
      <c r="D434">
        <v>1</v>
      </c>
      <c r="E434">
        <v>10203982</v>
      </c>
      <c r="F434" t="s">
        <v>914</v>
      </c>
      <c r="G434" t="s">
        <v>92</v>
      </c>
      <c r="H434" t="s">
        <v>113</v>
      </c>
      <c r="I434" t="s">
        <v>92</v>
      </c>
      <c r="J434" t="s">
        <v>92</v>
      </c>
      <c r="K434" t="s">
        <v>92</v>
      </c>
    </row>
    <row r="435" spans="1:11" x14ac:dyDescent="0.2">
      <c r="A435"/>
      <c r="B435"/>
      <c r="C435">
        <v>91711</v>
      </c>
      <c r="D435">
        <v>1</v>
      </c>
      <c r="E435">
        <v>1004222</v>
      </c>
      <c r="F435" t="s">
        <v>914</v>
      </c>
      <c r="G435" t="s">
        <v>113</v>
      </c>
      <c r="H435" t="s">
        <v>113</v>
      </c>
      <c r="I435" t="s">
        <v>113</v>
      </c>
      <c r="J435" t="s">
        <v>113</v>
      </c>
      <c r="K435" t="s">
        <v>113</v>
      </c>
    </row>
    <row r="436" spans="1:11" x14ac:dyDescent="0.2">
      <c r="A436"/>
      <c r="B436"/>
      <c r="C436">
        <v>91786</v>
      </c>
      <c r="D436">
        <v>1</v>
      </c>
      <c r="E436">
        <v>10361429</v>
      </c>
      <c r="F436" t="s">
        <v>914</v>
      </c>
      <c r="G436" t="s">
        <v>92</v>
      </c>
      <c r="H436" t="s">
        <v>92</v>
      </c>
      <c r="I436" t="s">
        <v>92</v>
      </c>
      <c r="J436" t="s">
        <v>92</v>
      </c>
      <c r="K436" t="s">
        <v>92</v>
      </c>
    </row>
    <row r="437" spans="1:11" x14ac:dyDescent="0.2">
      <c r="A437"/>
      <c r="B437"/>
      <c r="C437">
        <v>91711</v>
      </c>
      <c r="D437">
        <v>1</v>
      </c>
      <c r="E437">
        <v>10040539</v>
      </c>
      <c r="F437" t="s">
        <v>914</v>
      </c>
      <c r="G437" t="s">
        <v>113</v>
      </c>
      <c r="H437" t="s">
        <v>92</v>
      </c>
      <c r="I437" t="s">
        <v>113</v>
      </c>
      <c r="J437" t="s">
        <v>92</v>
      </c>
      <c r="K437" t="s">
        <v>103</v>
      </c>
    </row>
    <row r="438" spans="1:11" x14ac:dyDescent="0.2">
      <c r="A438"/>
      <c r="B438"/>
      <c r="C438">
        <v>91711</v>
      </c>
      <c r="D438">
        <v>1</v>
      </c>
      <c r="E438">
        <v>10363207</v>
      </c>
      <c r="F438" t="s">
        <v>914</v>
      </c>
      <c r="G438" t="s">
        <v>933</v>
      </c>
      <c r="H438" t="s">
        <v>933</v>
      </c>
      <c r="I438" t="s">
        <v>933</v>
      </c>
      <c r="J438" t="s">
        <v>103</v>
      </c>
      <c r="K438" t="s">
        <v>933</v>
      </c>
    </row>
    <row r="439" spans="1:11" x14ac:dyDescent="0.2">
      <c r="A439"/>
      <c r="B439"/>
      <c r="C439">
        <v>91711</v>
      </c>
      <c r="D439">
        <v>1</v>
      </c>
      <c r="E439">
        <v>10159254</v>
      </c>
      <c r="F439" t="s">
        <v>914</v>
      </c>
      <c r="G439" t="s">
        <v>92</v>
      </c>
      <c r="H439" t="s">
        <v>92</v>
      </c>
      <c r="I439" t="s">
        <v>92</v>
      </c>
      <c r="J439" t="s">
        <v>92</v>
      </c>
      <c r="K439" t="s">
        <v>92</v>
      </c>
    </row>
    <row r="440" spans="1:11" x14ac:dyDescent="0.2">
      <c r="A440"/>
      <c r="B440"/>
      <c r="C440">
        <v>91711</v>
      </c>
      <c r="D440">
        <v>1</v>
      </c>
      <c r="E440">
        <v>10042380</v>
      </c>
      <c r="F440" t="s">
        <v>914</v>
      </c>
      <c r="G440" t="s">
        <v>92</v>
      </c>
      <c r="H440" t="s">
        <v>103</v>
      </c>
      <c r="I440" t="s">
        <v>103</v>
      </c>
      <c r="J440" t="s">
        <v>103</v>
      </c>
      <c r="K440" t="s">
        <v>103</v>
      </c>
    </row>
    <row r="441" spans="1:11" x14ac:dyDescent="0.2">
      <c r="A441"/>
      <c r="B441"/>
      <c r="C441">
        <v>91711</v>
      </c>
      <c r="D441">
        <v>1</v>
      </c>
      <c r="E441">
        <v>10043687</v>
      </c>
      <c r="F441" t="s">
        <v>914</v>
      </c>
      <c r="G441" t="s">
        <v>113</v>
      </c>
      <c r="H441" t="s">
        <v>113</v>
      </c>
      <c r="I441" t="s">
        <v>92</v>
      </c>
      <c r="J441" t="s">
        <v>92</v>
      </c>
      <c r="K441" t="s">
        <v>103</v>
      </c>
    </row>
    <row r="442" spans="1:11" x14ac:dyDescent="0.2">
      <c r="A442"/>
      <c r="B442"/>
      <c r="C442">
        <v>91763</v>
      </c>
      <c r="D442">
        <v>1</v>
      </c>
      <c r="E442">
        <v>10042609</v>
      </c>
      <c r="F442" t="s">
        <v>914</v>
      </c>
      <c r="G442" t="s">
        <v>113</v>
      </c>
      <c r="H442" t="s">
        <v>113</v>
      </c>
      <c r="I442" t="s">
        <v>113</v>
      </c>
      <c r="J442" t="s">
        <v>113</v>
      </c>
      <c r="K442" t="s">
        <v>113</v>
      </c>
    </row>
    <row r="443" spans="1:11" x14ac:dyDescent="0.2">
      <c r="A443"/>
      <c r="B443"/>
      <c r="C443">
        <v>91763</v>
      </c>
      <c r="D443">
        <v>1</v>
      </c>
      <c r="E443">
        <v>10042835</v>
      </c>
      <c r="F443" t="s">
        <v>914</v>
      </c>
      <c r="G443" t="s">
        <v>113</v>
      </c>
      <c r="H443" t="s">
        <v>113</v>
      </c>
      <c r="I443" t="s">
        <v>113</v>
      </c>
      <c r="J443" t="s">
        <v>113</v>
      </c>
      <c r="K443" t="s">
        <v>113</v>
      </c>
    </row>
    <row r="444" spans="1:11" x14ac:dyDescent="0.2">
      <c r="A444"/>
      <c r="B444"/>
      <c r="C444">
        <v>91711</v>
      </c>
      <c r="D444">
        <v>1</v>
      </c>
      <c r="E444">
        <v>10366713</v>
      </c>
      <c r="F444" t="s">
        <v>914</v>
      </c>
      <c r="G444" t="s">
        <v>103</v>
      </c>
      <c r="H444" t="s">
        <v>113</v>
      </c>
      <c r="I444" t="s">
        <v>113</v>
      </c>
      <c r="J444" t="s">
        <v>103</v>
      </c>
      <c r="K444" t="s">
        <v>113</v>
      </c>
    </row>
    <row r="445" spans="1:11" x14ac:dyDescent="0.2">
      <c r="A445"/>
      <c r="B445"/>
      <c r="C445">
        <v>91711</v>
      </c>
      <c r="D445">
        <v>1</v>
      </c>
      <c r="E445">
        <v>10368798</v>
      </c>
      <c r="F445" t="s">
        <v>914</v>
      </c>
      <c r="G445" t="s">
        <v>113</v>
      </c>
      <c r="H445" t="s">
        <v>113</v>
      </c>
      <c r="I445" t="s">
        <v>113</v>
      </c>
      <c r="J445" t="s">
        <v>113</v>
      </c>
      <c r="K445" t="s">
        <v>113</v>
      </c>
    </row>
    <row r="446" spans="1:11" x14ac:dyDescent="0.2">
      <c r="A446"/>
      <c r="B446"/>
      <c r="C446">
        <v>91786</v>
      </c>
      <c r="D446">
        <v>1</v>
      </c>
      <c r="E446">
        <v>10372340</v>
      </c>
      <c r="F446" t="s">
        <v>914</v>
      </c>
      <c r="G446" t="s">
        <v>113</v>
      </c>
      <c r="H446" t="s">
        <v>113</v>
      </c>
      <c r="I446" t="s">
        <v>113</v>
      </c>
      <c r="J446" t="s">
        <v>113</v>
      </c>
      <c r="K446" t="s">
        <v>113</v>
      </c>
    </row>
    <row r="447" spans="1:11" x14ac:dyDescent="0.2">
      <c r="A447"/>
      <c r="B447"/>
      <c r="C447">
        <v>91711</v>
      </c>
      <c r="D447">
        <v>1</v>
      </c>
      <c r="E447">
        <v>10366516</v>
      </c>
      <c r="F447" t="s">
        <v>914</v>
      </c>
      <c r="G447" t="s">
        <v>103</v>
      </c>
      <c r="H447" t="s">
        <v>103</v>
      </c>
      <c r="I447" t="s">
        <v>103</v>
      </c>
      <c r="J447" t="s">
        <v>103</v>
      </c>
      <c r="K447" t="s">
        <v>103</v>
      </c>
    </row>
    <row r="448" spans="1:11" x14ac:dyDescent="0.2">
      <c r="A448"/>
      <c r="B448"/>
      <c r="C448">
        <v>91711</v>
      </c>
      <c r="D448">
        <v>1</v>
      </c>
      <c r="E448">
        <v>10364773</v>
      </c>
      <c r="F448" t="s">
        <v>914</v>
      </c>
      <c r="G448" t="s">
        <v>933</v>
      </c>
      <c r="H448" t="s">
        <v>933</v>
      </c>
      <c r="I448" t="s">
        <v>933</v>
      </c>
      <c r="J448" t="s">
        <v>933</v>
      </c>
      <c r="K448" t="s">
        <v>933</v>
      </c>
    </row>
    <row r="449" spans="1:11" x14ac:dyDescent="0.2">
      <c r="A449"/>
      <c r="B449"/>
      <c r="C449">
        <v>91711</v>
      </c>
      <c r="D449">
        <v>1</v>
      </c>
      <c r="E449">
        <v>10353082</v>
      </c>
      <c r="F449" t="s">
        <v>914</v>
      </c>
      <c r="G449" t="s">
        <v>113</v>
      </c>
      <c r="H449" t="s">
        <v>113</v>
      </c>
      <c r="I449" t="s">
        <v>113</v>
      </c>
      <c r="J449" t="s">
        <v>113</v>
      </c>
      <c r="K449" t="s">
        <v>113</v>
      </c>
    </row>
    <row r="450" spans="1:11" x14ac:dyDescent="0.2">
      <c r="A450"/>
      <c r="B450"/>
      <c r="C450">
        <v>91750</v>
      </c>
      <c r="D450">
        <v>1</v>
      </c>
      <c r="E450">
        <v>10354797</v>
      </c>
      <c r="F450" t="s">
        <v>914</v>
      </c>
      <c r="G450" t="s">
        <v>92</v>
      </c>
      <c r="H450" t="s">
        <v>92</v>
      </c>
      <c r="I450" t="s">
        <v>92</v>
      </c>
      <c r="J450" t="s">
        <v>92</v>
      </c>
      <c r="K450" t="s">
        <v>92</v>
      </c>
    </row>
    <row r="451" spans="1:11" x14ac:dyDescent="0.2">
      <c r="A451"/>
      <c r="B451"/>
      <c r="C451">
        <v>91711</v>
      </c>
      <c r="D451">
        <v>1</v>
      </c>
      <c r="E451">
        <v>10355937</v>
      </c>
      <c r="F451" t="s">
        <v>914</v>
      </c>
      <c r="G451" t="s">
        <v>92</v>
      </c>
      <c r="H451" t="s">
        <v>92</v>
      </c>
      <c r="I451" t="s">
        <v>92</v>
      </c>
      <c r="J451" t="s">
        <v>92</v>
      </c>
      <c r="K451" t="s">
        <v>92</v>
      </c>
    </row>
    <row r="452" spans="1:11" x14ac:dyDescent="0.2">
      <c r="A452"/>
      <c r="B452"/>
      <c r="C452">
        <v>91711</v>
      </c>
      <c r="D452">
        <v>1</v>
      </c>
      <c r="E452">
        <v>10366683</v>
      </c>
      <c r="F452" t="s">
        <v>914</v>
      </c>
      <c r="G452" t="s">
        <v>92</v>
      </c>
      <c r="H452" t="s">
        <v>92</v>
      </c>
      <c r="I452" t="s">
        <v>92</v>
      </c>
      <c r="J452" t="s">
        <v>92</v>
      </c>
      <c r="K452" t="s">
        <v>92</v>
      </c>
    </row>
    <row r="453" spans="1:11" x14ac:dyDescent="0.2">
      <c r="A453"/>
      <c r="B453"/>
      <c r="C453">
        <v>91763</v>
      </c>
      <c r="D453">
        <v>1</v>
      </c>
      <c r="E453">
        <v>10366638</v>
      </c>
      <c r="F453" t="s">
        <v>914</v>
      </c>
      <c r="G453" t="s">
        <v>113</v>
      </c>
      <c r="H453" t="s">
        <v>103</v>
      </c>
      <c r="I453" t="s">
        <v>113</v>
      </c>
      <c r="J453" t="s">
        <v>103</v>
      </c>
      <c r="K453" t="s">
        <v>113</v>
      </c>
    </row>
    <row r="454" spans="1:11" x14ac:dyDescent="0.2">
      <c r="A454"/>
      <c r="B454"/>
      <c r="C454">
        <v>91762</v>
      </c>
      <c r="D454">
        <v>1</v>
      </c>
      <c r="E454">
        <v>10347862</v>
      </c>
      <c r="F454" t="s">
        <v>914</v>
      </c>
      <c r="G454" t="s">
        <v>113</v>
      </c>
      <c r="H454" t="s">
        <v>113</v>
      </c>
      <c r="I454" t="s">
        <v>113</v>
      </c>
      <c r="J454" t="s">
        <v>113</v>
      </c>
      <c r="K454" t="s">
        <v>113</v>
      </c>
    </row>
    <row r="455" spans="1:11" x14ac:dyDescent="0.2">
      <c r="A455"/>
      <c r="B455"/>
      <c r="C455">
        <v>91786</v>
      </c>
      <c r="D455">
        <v>1</v>
      </c>
      <c r="E455">
        <v>101358219</v>
      </c>
      <c r="F455" t="s">
        <v>914</v>
      </c>
      <c r="G455" t="s">
        <v>74</v>
      </c>
      <c r="H455" t="s">
        <v>74</v>
      </c>
      <c r="I455" t="s">
        <v>74</v>
      </c>
      <c r="J455" t="s">
        <v>74</v>
      </c>
      <c r="K455" t="s">
        <v>74</v>
      </c>
    </row>
    <row r="456" spans="1:11" x14ac:dyDescent="0.2">
      <c r="A456"/>
      <c r="B456"/>
      <c r="C456">
        <v>91711</v>
      </c>
      <c r="D456">
        <v>1</v>
      </c>
      <c r="E456">
        <v>10361479</v>
      </c>
      <c r="F456" t="s">
        <v>914</v>
      </c>
      <c r="G456" t="s">
        <v>933</v>
      </c>
      <c r="H456" t="s">
        <v>933</v>
      </c>
      <c r="I456" t="s">
        <v>933</v>
      </c>
      <c r="J456" t="s">
        <v>933</v>
      </c>
      <c r="K456" t="s">
        <v>933</v>
      </c>
    </row>
    <row r="457" spans="1:11" x14ac:dyDescent="0.2">
      <c r="A457"/>
      <c r="B457"/>
      <c r="C457">
        <v>91711</v>
      </c>
      <c r="D457">
        <v>1</v>
      </c>
      <c r="E457">
        <v>10268700</v>
      </c>
      <c r="F457" t="s">
        <v>914</v>
      </c>
      <c r="G457" t="s">
        <v>113</v>
      </c>
      <c r="H457" t="s">
        <v>113</v>
      </c>
      <c r="I457" t="s">
        <v>113</v>
      </c>
      <c r="J457" t="s">
        <v>113</v>
      </c>
      <c r="K457" t="s">
        <v>113</v>
      </c>
    </row>
    <row r="458" spans="1:11" x14ac:dyDescent="0.2">
      <c r="A458"/>
      <c r="B458"/>
      <c r="C458">
        <v>91711</v>
      </c>
      <c r="D458">
        <v>1</v>
      </c>
      <c r="E458">
        <v>10369871</v>
      </c>
      <c r="F458" t="s">
        <v>914</v>
      </c>
      <c r="G458" t="s">
        <v>1176</v>
      </c>
      <c r="H458" t="s">
        <v>1176</v>
      </c>
      <c r="I458" t="s">
        <v>1176</v>
      </c>
      <c r="J458" t="s">
        <v>1176</v>
      </c>
      <c r="K458" t="s">
        <v>1176</v>
      </c>
    </row>
    <row r="459" spans="1:11" x14ac:dyDescent="0.2">
      <c r="A459"/>
      <c r="B459"/>
      <c r="C459">
        <v>91711</v>
      </c>
      <c r="D459">
        <v>1</v>
      </c>
      <c r="E459">
        <v>10042947</v>
      </c>
      <c r="F459" t="s">
        <v>914</v>
      </c>
      <c r="G459" t="s">
        <v>113</v>
      </c>
      <c r="H459" t="s">
        <v>103</v>
      </c>
      <c r="I459" t="s">
        <v>113</v>
      </c>
      <c r="J459" t="s">
        <v>113</v>
      </c>
      <c r="K459" t="s">
        <v>103</v>
      </c>
    </row>
    <row r="460" spans="1:11" x14ac:dyDescent="0.2">
      <c r="A460"/>
      <c r="B460"/>
      <c r="C460">
        <v>91711</v>
      </c>
      <c r="D460">
        <v>1</v>
      </c>
      <c r="E460">
        <v>10042899</v>
      </c>
      <c r="F460" t="s">
        <v>914</v>
      </c>
      <c r="G460" t="s">
        <v>92</v>
      </c>
      <c r="H460" t="s">
        <v>92</v>
      </c>
      <c r="I460" t="s">
        <v>92</v>
      </c>
      <c r="J460" t="s">
        <v>92</v>
      </c>
      <c r="K460" t="s">
        <v>92</v>
      </c>
    </row>
    <row r="461" spans="1:11" x14ac:dyDescent="0.2">
      <c r="A461"/>
      <c r="B461"/>
      <c r="C461">
        <v>91711</v>
      </c>
      <c r="D461">
        <v>1</v>
      </c>
      <c r="E461">
        <v>10351831</v>
      </c>
      <c r="F461" t="s">
        <v>914</v>
      </c>
      <c r="G461" t="s">
        <v>98</v>
      </c>
      <c r="H461" t="s">
        <v>98</v>
      </c>
      <c r="I461" t="s">
        <v>98</v>
      </c>
      <c r="J461" t="s">
        <v>98</v>
      </c>
      <c r="K461" t="s">
        <v>98</v>
      </c>
    </row>
    <row r="462" spans="1:11" x14ac:dyDescent="0.2">
      <c r="A462"/>
      <c r="B462"/>
      <c r="C462">
        <v>91711</v>
      </c>
      <c r="D462">
        <v>1</v>
      </c>
      <c r="E462">
        <v>103703021</v>
      </c>
      <c r="F462" t="s">
        <v>919</v>
      </c>
      <c r="G462" t="s">
        <v>98</v>
      </c>
      <c r="H462" t="s">
        <v>98</v>
      </c>
      <c r="I462" t="s">
        <v>98</v>
      </c>
      <c r="J462" t="s">
        <v>98</v>
      </c>
      <c r="K462" t="s">
        <v>98</v>
      </c>
    </row>
    <row r="463" spans="1:11" x14ac:dyDescent="0.2">
      <c r="A463"/>
      <c r="B463"/>
      <c r="C463">
        <v>91711</v>
      </c>
      <c r="D463">
        <v>1</v>
      </c>
      <c r="E463">
        <v>10144776</v>
      </c>
      <c r="F463" t="s">
        <v>919</v>
      </c>
      <c r="G463" t="s">
        <v>113</v>
      </c>
      <c r="H463" t="s">
        <v>202</v>
      </c>
      <c r="I463" t="s">
        <v>113</v>
      </c>
      <c r="J463" t="s">
        <v>202</v>
      </c>
      <c r="K463" t="s">
        <v>113</v>
      </c>
    </row>
    <row r="464" spans="1:11" x14ac:dyDescent="0.2">
      <c r="A464"/>
      <c r="B464"/>
      <c r="C464">
        <v>91711</v>
      </c>
      <c r="D464">
        <v>1</v>
      </c>
      <c r="E464">
        <v>10013235</v>
      </c>
      <c r="F464" t="s">
        <v>919</v>
      </c>
      <c r="G464" t="s">
        <v>202</v>
      </c>
      <c r="H464" t="s">
        <v>202</v>
      </c>
      <c r="I464" t="s">
        <v>113</v>
      </c>
      <c r="J464" t="s">
        <v>202</v>
      </c>
      <c r="K464" t="s">
        <v>103</v>
      </c>
    </row>
    <row r="465" spans="1:11" x14ac:dyDescent="0.2">
      <c r="A465"/>
      <c r="B465"/>
      <c r="C465">
        <v>91711</v>
      </c>
      <c r="D465">
        <v>1</v>
      </c>
      <c r="E465">
        <v>10366684</v>
      </c>
      <c r="F465" t="s">
        <v>919</v>
      </c>
      <c r="G465" t="s">
        <v>92</v>
      </c>
      <c r="H465" t="s">
        <v>92</v>
      </c>
      <c r="I465" t="s">
        <v>92</v>
      </c>
      <c r="J465" t="s">
        <v>92</v>
      </c>
      <c r="K465" t="s">
        <v>92</v>
      </c>
    </row>
    <row r="466" spans="1:11" x14ac:dyDescent="0.2">
      <c r="A466"/>
      <c r="B466"/>
      <c r="C466">
        <v>91786</v>
      </c>
      <c r="D466">
        <v>1</v>
      </c>
      <c r="E466">
        <v>10356392</v>
      </c>
      <c r="F466" t="s">
        <v>919</v>
      </c>
      <c r="G466" t="s">
        <v>92</v>
      </c>
      <c r="H466" t="s">
        <v>113</v>
      </c>
      <c r="I466" t="s">
        <v>92</v>
      </c>
      <c r="J466" t="s">
        <v>113</v>
      </c>
      <c r="K466" t="s">
        <v>92</v>
      </c>
    </row>
    <row r="467" spans="1:11" x14ac:dyDescent="0.2">
      <c r="A467"/>
      <c r="B467"/>
      <c r="C467">
        <v>91711</v>
      </c>
      <c r="D467">
        <v>1</v>
      </c>
      <c r="E467">
        <v>10366686</v>
      </c>
      <c r="F467" t="s">
        <v>919</v>
      </c>
      <c r="G467" t="s">
        <v>92</v>
      </c>
      <c r="H467" t="s">
        <v>92</v>
      </c>
      <c r="I467" t="s">
        <v>92</v>
      </c>
      <c r="J467" t="s">
        <v>92</v>
      </c>
      <c r="K467" t="s">
        <v>92</v>
      </c>
    </row>
    <row r="468" spans="1:11" x14ac:dyDescent="0.2">
      <c r="A468"/>
      <c r="B468"/>
      <c r="C468">
        <v>91711</v>
      </c>
      <c r="D468">
        <v>1</v>
      </c>
      <c r="E468">
        <v>103647482</v>
      </c>
      <c r="F468" t="s">
        <v>919</v>
      </c>
      <c r="G468" t="s">
        <v>98</v>
      </c>
      <c r="H468" t="s">
        <v>98</v>
      </c>
      <c r="I468" t="s">
        <v>98</v>
      </c>
      <c r="J468" t="s">
        <v>98</v>
      </c>
      <c r="K468" t="s">
        <v>98</v>
      </c>
    </row>
    <row r="469" spans="1:11" x14ac:dyDescent="0.2">
      <c r="A469"/>
      <c r="B469"/>
      <c r="C469">
        <v>91711</v>
      </c>
      <c r="D469">
        <v>1</v>
      </c>
      <c r="E469">
        <v>10356474</v>
      </c>
      <c r="F469" t="s">
        <v>919</v>
      </c>
      <c r="G469" t="s">
        <v>113</v>
      </c>
      <c r="H469" t="s">
        <v>113</v>
      </c>
      <c r="I469" t="s">
        <v>113</v>
      </c>
      <c r="J469" t="s">
        <v>113</v>
      </c>
      <c r="K469" t="s">
        <v>103</v>
      </c>
    </row>
    <row r="470" spans="1:11" x14ac:dyDescent="0.2">
      <c r="A470"/>
      <c r="B470"/>
      <c r="C470">
        <v>91711</v>
      </c>
      <c r="D470">
        <v>1</v>
      </c>
      <c r="E470">
        <v>10365043</v>
      </c>
      <c r="F470" t="s">
        <v>919</v>
      </c>
      <c r="G470" t="s">
        <v>92</v>
      </c>
      <c r="H470" t="s">
        <v>92</v>
      </c>
      <c r="I470" t="s">
        <v>92</v>
      </c>
      <c r="J470" t="s">
        <v>92</v>
      </c>
      <c r="K470" t="s">
        <v>92</v>
      </c>
    </row>
    <row r="471" spans="1:11" x14ac:dyDescent="0.2">
      <c r="A471"/>
      <c r="B471"/>
      <c r="C471">
        <v>91711</v>
      </c>
      <c r="D471">
        <v>0</v>
      </c>
      <c r="E471">
        <v>10355979</v>
      </c>
      <c r="F471" t="s">
        <v>914</v>
      </c>
      <c r="G471" t="s">
        <v>92</v>
      </c>
      <c r="H471" t="s">
        <v>92</v>
      </c>
      <c r="I471" t="s">
        <v>92</v>
      </c>
      <c r="J471" t="s">
        <v>92</v>
      </c>
      <c r="K471" t="s">
        <v>92</v>
      </c>
    </row>
    <row r="472" spans="1:11" x14ac:dyDescent="0.2">
      <c r="A472"/>
      <c r="B472"/>
      <c r="C472">
        <v>91711</v>
      </c>
      <c r="D472">
        <v>0</v>
      </c>
      <c r="E472">
        <v>10366685</v>
      </c>
      <c r="F472" t="s">
        <v>919</v>
      </c>
      <c r="G472" t="s">
        <v>92</v>
      </c>
      <c r="H472" t="s">
        <v>92</v>
      </c>
      <c r="I472" t="s">
        <v>92</v>
      </c>
      <c r="J472" t="s">
        <v>92</v>
      </c>
      <c r="K472" t="s">
        <v>92</v>
      </c>
    </row>
    <row r="473" spans="1:11" x14ac:dyDescent="0.2">
      <c r="A473"/>
      <c r="B473"/>
      <c r="C473">
        <v>91711</v>
      </c>
      <c r="D473">
        <v>0</v>
      </c>
      <c r="E473">
        <v>10360779</v>
      </c>
      <c r="F473" t="s">
        <v>919</v>
      </c>
      <c r="G473" t="s">
        <v>92</v>
      </c>
      <c r="H473" t="s">
        <v>202</v>
      </c>
      <c r="I473" t="s">
        <v>92</v>
      </c>
      <c r="J473" t="s">
        <v>202</v>
      </c>
      <c r="K473" t="s">
        <v>202</v>
      </c>
    </row>
    <row r="474" spans="1:11" x14ac:dyDescent="0.2">
      <c r="A474"/>
      <c r="B474"/>
      <c r="C474"/>
      <c r="D474"/>
      <c r="E474"/>
      <c r="F474"/>
      <c r="G474"/>
      <c r="H474"/>
    </row>
    <row r="475" spans="1:11" x14ac:dyDescent="0.2">
      <c r="A475"/>
      <c r="B475"/>
      <c r="C475"/>
      <c r="D475"/>
      <c r="E475"/>
      <c r="F475"/>
      <c r="G475"/>
      <c r="H475"/>
    </row>
    <row r="476" spans="1:11" x14ac:dyDescent="0.2">
      <c r="A476"/>
      <c r="B476"/>
      <c r="C476"/>
      <c r="D476"/>
      <c r="E476"/>
      <c r="F476"/>
      <c r="G476"/>
      <c r="H476"/>
    </row>
    <row r="477" spans="1:11" x14ac:dyDescent="0.2">
      <c r="A477"/>
      <c r="B477"/>
      <c r="C477"/>
      <c r="D477"/>
      <c r="E477"/>
      <c r="F477"/>
      <c r="G477"/>
      <c r="H477"/>
    </row>
    <row r="478" spans="1:11" x14ac:dyDescent="0.2">
      <c r="A478"/>
      <c r="B478"/>
      <c r="C478"/>
      <c r="D478"/>
      <c r="E478"/>
      <c r="F478"/>
      <c r="G478"/>
      <c r="H478"/>
    </row>
    <row r="479" spans="1:11" x14ac:dyDescent="0.2">
      <c r="A479"/>
      <c r="B479"/>
      <c r="C479"/>
      <c r="D479"/>
      <c r="E479"/>
      <c r="F479"/>
      <c r="G479"/>
      <c r="H479"/>
    </row>
    <row r="480" spans="1:11" x14ac:dyDescent="0.2">
      <c r="A480"/>
      <c r="B480"/>
      <c r="C480"/>
      <c r="D480"/>
      <c r="E480"/>
      <c r="F480"/>
      <c r="G480"/>
      <c r="H480"/>
    </row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</sheetData>
  <mergeCells count="12">
    <mergeCell ref="M1:W1"/>
    <mergeCell ref="M8:X8"/>
    <mergeCell ref="O12:Q12"/>
    <mergeCell ref="O13:P13"/>
    <mergeCell ref="O14:P14"/>
    <mergeCell ref="O20:P20"/>
    <mergeCell ref="O21:P21"/>
    <mergeCell ref="O15:P15"/>
    <mergeCell ref="O16:P16"/>
    <mergeCell ref="O17:P17"/>
    <mergeCell ref="O18:P18"/>
    <mergeCell ref="O19:P19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9339-6752-4B5C-8F50-246EEC21CF20}">
  <dimension ref="A1:X601"/>
  <sheetViews>
    <sheetView workbookViewId="0">
      <selection activeCell="A2" sqref="A2:B457"/>
    </sheetView>
  </sheetViews>
  <sheetFormatPr baseColWidth="10" defaultColWidth="8.83203125" defaultRowHeight="15" x14ac:dyDescent="0.2"/>
  <cols>
    <col min="1" max="1" width="19.5" style="4" bestFit="1" customWidth="1"/>
    <col min="2" max="2" width="20.5" style="4" bestFit="1" customWidth="1"/>
    <col min="3" max="3" width="14.5" style="4" customWidth="1"/>
    <col min="4" max="4" width="15.5" customWidth="1"/>
    <col min="5" max="5" width="14.6640625" customWidth="1"/>
    <col min="6" max="6" width="15.5" customWidth="1"/>
    <col min="7" max="11" width="34.6640625" customWidth="1"/>
    <col min="13" max="13" width="36.6640625" customWidth="1"/>
    <col min="17" max="17" width="15.5" customWidth="1"/>
    <col min="24" max="24" width="16.1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1349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49" t="s">
        <v>11</v>
      </c>
      <c r="N1" s="50"/>
      <c r="O1" s="50"/>
      <c r="P1" s="50"/>
      <c r="Q1" s="50"/>
      <c r="R1" s="50"/>
      <c r="S1" s="50"/>
      <c r="T1" s="50"/>
      <c r="U1" s="50"/>
      <c r="V1" s="50"/>
      <c r="W1" s="51"/>
    </row>
    <row r="2" spans="1:24" ht="16.5" customHeight="1" x14ac:dyDescent="0.2">
      <c r="A2"/>
      <c r="B2"/>
      <c r="C2">
        <v>95660</v>
      </c>
      <c r="D2">
        <v>425</v>
      </c>
      <c r="E2">
        <v>112758</v>
      </c>
      <c r="F2" t="s">
        <v>919</v>
      </c>
      <c r="G2" t="s">
        <v>1351</v>
      </c>
      <c r="H2" t="s">
        <v>1351</v>
      </c>
      <c r="I2" t="s">
        <v>202</v>
      </c>
      <c r="J2" t="s">
        <v>1351</v>
      </c>
      <c r="K2" t="s">
        <v>1351</v>
      </c>
      <c r="M2" s="18"/>
      <c r="N2" s="18" t="s">
        <v>17</v>
      </c>
      <c r="O2" s="18" t="s">
        <v>18</v>
      </c>
      <c r="P2" s="18" t="s">
        <v>19</v>
      </c>
      <c r="Q2" s="18" t="s">
        <v>20</v>
      </c>
      <c r="R2" s="18" t="s">
        <v>21</v>
      </c>
      <c r="S2" s="18" t="s">
        <v>22</v>
      </c>
      <c r="T2" s="18" t="s">
        <v>23</v>
      </c>
      <c r="U2" s="18" t="s">
        <v>24</v>
      </c>
      <c r="V2" s="19" t="s">
        <v>25</v>
      </c>
      <c r="W2" s="20" t="s">
        <v>26</v>
      </c>
    </row>
    <row r="3" spans="1:24" x14ac:dyDescent="0.2">
      <c r="A3"/>
      <c r="B3"/>
      <c r="C3">
        <v>93505</v>
      </c>
      <c r="D3">
        <v>120</v>
      </c>
      <c r="E3">
        <v>100434351</v>
      </c>
      <c r="F3" t="s">
        <v>914</v>
      </c>
      <c r="G3" t="s">
        <v>1352</v>
      </c>
      <c r="H3" t="s">
        <v>1352</v>
      </c>
      <c r="I3" t="s">
        <v>1352</v>
      </c>
      <c r="J3" t="s">
        <v>1352</v>
      </c>
      <c r="K3" t="s">
        <v>1352</v>
      </c>
      <c r="M3" s="10" t="s">
        <v>32</v>
      </c>
      <c r="N3" s="24" cm="1">
        <f t="array" ref="N3">SUM(COUNTIF($G:$K,{"A.*","B.*"}))/W10</f>
        <v>0.64558898521162678</v>
      </c>
      <c r="O3" s="21">
        <f>COUNTIF($G:$K,"T.*")/W10</f>
        <v>3.8755736868944415E-2</v>
      </c>
      <c r="P3" s="21" cm="1">
        <f t="array" ref="P3">SUM(COUNTIF($G:$K,{"C.*","D.*","E.*","F.*","G.*","H.*","I.*","J.*","K.*","L.*","M.*","N.*","O.*","P.*"})/$W$10)</f>
        <v>8.7710351861295263E-2</v>
      </c>
      <c r="Q3" s="21">
        <f>COUNTIF($G:$K,"R.*")/$W$10</f>
        <v>1.5298317185109638E-2</v>
      </c>
      <c r="R3" s="21">
        <f>COUNTIF($G:$K,"U.*")/$W$10</f>
        <v>3.2126466088730238E-2</v>
      </c>
      <c r="S3" s="21">
        <v>0</v>
      </c>
      <c r="T3" s="21">
        <f>COUNTIF($G:$K,"Q.*")/$W$10</f>
        <v>2.5497195308516064E-3</v>
      </c>
      <c r="U3" s="21">
        <f>COUNTIF($G:$K,"V.*")/$W$10</f>
        <v>0.13360530341662416</v>
      </c>
      <c r="V3" s="21">
        <f>COUNTIF($G:$K,"S.*")/$W$10</f>
        <v>4.436511983681795E-2</v>
      </c>
      <c r="W3" s="21">
        <f>SUM(N3:V3)</f>
        <v>1</v>
      </c>
    </row>
    <row r="4" spans="1:24" ht="17.25" customHeight="1" x14ac:dyDescent="0.2">
      <c r="A4"/>
      <c r="B4"/>
      <c r="C4">
        <v>93505</v>
      </c>
      <c r="D4">
        <v>113</v>
      </c>
      <c r="E4">
        <v>10352724</v>
      </c>
      <c r="F4" t="s">
        <v>914</v>
      </c>
      <c r="G4" t="s">
        <v>1352</v>
      </c>
      <c r="H4" t="s">
        <v>1352</v>
      </c>
      <c r="I4" t="s">
        <v>1352</v>
      </c>
      <c r="J4" t="s">
        <v>1352</v>
      </c>
      <c r="K4" t="s">
        <v>1352</v>
      </c>
      <c r="M4" s="29" t="s">
        <v>38</v>
      </c>
      <c r="N4" s="30" cm="1">
        <f t="array" ref="N4">SUM(_xlfn.BYCOL(G:K,_xlfn.LAMBDA(_xlpm.col,SUMIF(_xlpm.col,"A.*",D:D)+SUMIF(_xlpm.col,"B.*",D:D))))/N10</f>
        <v>14.349921011058452</v>
      </c>
      <c r="O4" s="31" cm="1">
        <f t="array" ref="O4">SUM(_xlfn.BYCOL(G:K,_xlfn.LAMBDA(_xlpm.col,SUMIF(_xlpm.col,"T.*",D:D))))/O10</f>
        <v>3.7236842105263159</v>
      </c>
      <c r="P4" s="32" cm="1">
        <f t="array" ref="P4">SUM(_xlfn.BYCOL($G:$K,_xlfn.LAMBDA(_xlpm.col,SUMIF(_xlpm.col,"C.*",D:D)+SUMIF(_xlpm.col,"D.*",D:D)+SUMIF(_xlpm.col,"E.*",D:D)+SUMIF(_xlpm.col,"F.*",D:D)+SUMIF(_xlpm.col,"G.*",D:D)+SUMIF(_xlpm.col,"H.*",D:D)+SUMIF(_xlpm.col,"I.*",D:D)+SUMIF(_xlpm.col,"J.*",D:D)+SUMIF(_xlpm.col,"K.*",D:D)+SUMIF(_xlpm.col,"L.*",D:D)+SUMIF(_xlpm.col,"M.*",D:D)+SUMIF(_xlpm.col,"N.*",D:D)+SUMIF(_xlpm.col,"O.*",D:D)+SUMIF(_xlpm.col,"P.*",D:D))))/$P10</f>
        <v>17.843023255813954</v>
      </c>
      <c r="Q4" s="32" cm="1">
        <f t="array" ref="Q4">SUM(_xlfn.BYCOL(G:K,_xlfn.LAMBDA(_xlpm.col,SUMIF(_xlpm.col,"R.*",D:D))))/Q10</f>
        <v>23.5</v>
      </c>
      <c r="R4" s="32" cm="1">
        <f t="array" ref="R4">SUM(_xlfn.BYCOL(G:K,_xlfn.LAMBDA(_xlpm.col,SUMIF(_xlpm.col,"U.*",D:D))))/R10</f>
        <v>12.952380952380953</v>
      </c>
      <c r="S4" s="32"/>
      <c r="T4" s="32" cm="1">
        <f t="array" ref="T4">SUM(_xlfn.BYCOL(G:K,_xlfn.LAMBDA(_xlpm.col,SUMIF(_xlpm.col,"Q.*",D:D))))/T10</f>
        <v>14</v>
      </c>
      <c r="U4" s="32"/>
      <c r="V4" s="32" cm="1">
        <f t="array" ref="V4">SUM(_xlfn.BYCOL(G:K,_xlfn.LAMBDA(_xlpm.col,SUMIF(_xlpm.col,"S.*",D:D))))/V10</f>
        <v>0.90804597701149425</v>
      </c>
      <c r="W4" s="30">
        <f>AVERAGE(N4:V4)</f>
        <v>12.468150772398738</v>
      </c>
    </row>
    <row r="5" spans="1:24" x14ac:dyDescent="0.2">
      <c r="A5"/>
      <c r="B5"/>
      <c r="C5">
        <v>92311</v>
      </c>
      <c r="D5">
        <v>84</v>
      </c>
      <c r="E5">
        <v>10308227</v>
      </c>
      <c r="F5" t="s">
        <v>914</v>
      </c>
      <c r="G5" t="s">
        <v>1352</v>
      </c>
      <c r="H5" t="s">
        <v>1352</v>
      </c>
      <c r="I5" t="s">
        <v>1352</v>
      </c>
      <c r="J5" t="s">
        <v>1352</v>
      </c>
      <c r="K5" t="s">
        <v>199</v>
      </c>
      <c r="M5" s="33" t="s">
        <v>44</v>
      </c>
      <c r="N5" s="33"/>
      <c r="O5" s="33"/>
      <c r="P5" s="39" cm="1">
        <f t="array" ref="P5">SUM(_xlfn.BYCOL($G:$K,_xlfn.LAMBDA(_xlpm.col,SUMIF(_xlpm.col,"C.*",D:D)*2+SUMIF(_xlpm.col,"D.*",D:D)*3+SUMIF(_xlpm.col,"E.*",D:D)*4+SUMIF(_xlpm.col,"F.*",D:D)*5+SUMIF(_xlpm.col,"G.*",D:D)*6+SUMIF(_xlpm.col,"H.*",D:D)*7+SUMIF(_xlpm.col,"I.*",D:D)*8+SUMIF(_xlpm.col,"J.*",D:D)*9+SUMIF(_xlpm.col,"K.*",D:D)*10+SUMIF(_xlpm.col,"L.*",D:D)*11+SUMIF(_xlpm.col,"M.*",D:D)*12+SUMIF(_xlpm.col,"N.*",D:D)*13+SUMIF(_xlpm.col,"O.*",D:D)*14+SUMIF(_xlpm.col,"P.*",D:D)*15)))/$P10</f>
        <v>39.563953488372093</v>
      </c>
      <c r="Q5" s="33"/>
      <c r="R5" s="33"/>
      <c r="S5" s="33"/>
      <c r="T5" s="33"/>
      <c r="U5" s="33"/>
      <c r="V5" s="33"/>
      <c r="W5" s="33"/>
    </row>
    <row r="6" spans="1:24" x14ac:dyDescent="0.2">
      <c r="A6"/>
      <c r="B6"/>
      <c r="C6">
        <v>91764</v>
      </c>
      <c r="D6">
        <v>78</v>
      </c>
      <c r="E6">
        <v>10043008</v>
      </c>
      <c r="F6" t="s">
        <v>914</v>
      </c>
      <c r="G6" t="s">
        <v>1353</v>
      </c>
      <c r="H6" t="s">
        <v>1353</v>
      </c>
      <c r="I6" t="s">
        <v>1353</v>
      </c>
      <c r="J6" t="s">
        <v>1353</v>
      </c>
      <c r="K6" t="s">
        <v>1353</v>
      </c>
      <c r="M6" s="40" t="s">
        <v>47</v>
      </c>
      <c r="N6" s="40"/>
      <c r="O6" s="40"/>
      <c r="P6" s="41">
        <f>P5/P4</f>
        <v>2.2173346366894755</v>
      </c>
      <c r="Q6" s="40"/>
      <c r="R6" s="40"/>
      <c r="S6" s="40"/>
      <c r="T6" s="40"/>
      <c r="U6" s="40"/>
      <c r="V6" s="40"/>
      <c r="W6" s="40"/>
    </row>
    <row r="7" spans="1:24" x14ac:dyDescent="0.2">
      <c r="A7"/>
      <c r="B7"/>
      <c r="C7">
        <v>92011</v>
      </c>
      <c r="D7">
        <v>75</v>
      </c>
      <c r="E7">
        <v>10359175</v>
      </c>
      <c r="F7" t="s">
        <v>919</v>
      </c>
      <c r="G7" t="s">
        <v>202</v>
      </c>
      <c r="H7" t="s">
        <v>202</v>
      </c>
      <c r="I7" t="s">
        <v>202</v>
      </c>
      <c r="J7" t="s">
        <v>1353</v>
      </c>
      <c r="K7" t="s">
        <v>202</v>
      </c>
      <c r="P7" s="35"/>
    </row>
    <row r="8" spans="1:24" x14ac:dyDescent="0.2">
      <c r="A8"/>
      <c r="B8"/>
      <c r="C8">
        <v>92562</v>
      </c>
      <c r="D8">
        <v>59</v>
      </c>
      <c r="E8">
        <v>10307044</v>
      </c>
      <c r="F8" t="s">
        <v>914</v>
      </c>
      <c r="G8" t="s">
        <v>191</v>
      </c>
      <c r="H8" t="s">
        <v>191</v>
      </c>
      <c r="I8" t="s">
        <v>191</v>
      </c>
      <c r="J8" t="s">
        <v>191</v>
      </c>
      <c r="K8" t="s">
        <v>191</v>
      </c>
      <c r="M8" s="46" t="s">
        <v>54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 spans="1:24" x14ac:dyDescent="0.2">
      <c r="A9"/>
      <c r="B9"/>
      <c r="C9">
        <v>92345</v>
      </c>
      <c r="D9">
        <v>55</v>
      </c>
      <c r="E9">
        <v>100571</v>
      </c>
      <c r="F9" t="s">
        <v>914</v>
      </c>
      <c r="G9" t="s">
        <v>1353</v>
      </c>
      <c r="H9" t="s">
        <v>1353</v>
      </c>
      <c r="I9" t="s">
        <v>1353</v>
      </c>
      <c r="J9" t="s">
        <v>1353</v>
      </c>
      <c r="K9" t="s">
        <v>1353</v>
      </c>
      <c r="M9" s="36"/>
      <c r="N9" s="36" t="s">
        <v>17</v>
      </c>
      <c r="O9" s="36" t="s">
        <v>18</v>
      </c>
      <c r="P9" s="36" t="s">
        <v>19</v>
      </c>
      <c r="Q9" s="36" t="s">
        <v>20</v>
      </c>
      <c r="R9" s="36" t="s">
        <v>21</v>
      </c>
      <c r="S9" s="36" t="s">
        <v>22</v>
      </c>
      <c r="T9" s="36" t="s">
        <v>23</v>
      </c>
      <c r="U9" s="36" t="s">
        <v>24</v>
      </c>
      <c r="V9" s="36" t="s">
        <v>25</v>
      </c>
      <c r="W9" s="37" t="s">
        <v>26</v>
      </c>
      <c r="X9" s="36" t="s">
        <v>59</v>
      </c>
    </row>
    <row r="10" spans="1:24" x14ac:dyDescent="0.2">
      <c r="A10"/>
      <c r="B10"/>
      <c r="C10">
        <v>92371</v>
      </c>
      <c r="D10">
        <v>50</v>
      </c>
      <c r="E10">
        <v>10042788</v>
      </c>
      <c r="F10" t="s">
        <v>914</v>
      </c>
      <c r="G10" t="s">
        <v>1353</v>
      </c>
      <c r="H10" t="s">
        <v>1353</v>
      </c>
      <c r="I10" t="s">
        <v>1353</v>
      </c>
      <c r="J10" t="s">
        <v>1353</v>
      </c>
      <c r="K10" t="s">
        <v>1351</v>
      </c>
      <c r="M10" s="4" t="s">
        <v>63</v>
      </c>
      <c r="N10" s="4" cm="1">
        <f t="array" ref="N10">SUM(COUNTIF($G:$K,{"A.*","B.*"}))</f>
        <v>1266</v>
      </c>
      <c r="O10" s="4">
        <f>COUNTIF($G:$K,"T.*")</f>
        <v>76</v>
      </c>
      <c r="P10" s="4" cm="1">
        <f t="array" ref="P10">SUM(COUNTIF($G:$K,{"C.*","D.*","E.*","F.*","G.*","H.*","I.*","J.*","K.*","L.*","M.*","N.*","O.*","P.*"}))</f>
        <v>172</v>
      </c>
      <c r="Q10" s="23">
        <f>COUNTIF($G:$K,"R.*")</f>
        <v>30</v>
      </c>
      <c r="R10" s="4">
        <f>COUNTIF($G:$K,"U.*")</f>
        <v>63</v>
      </c>
      <c r="S10" s="4">
        <v>0</v>
      </c>
      <c r="T10" s="4">
        <f>COUNTIF($G:$K,"Q.*")</f>
        <v>5</v>
      </c>
      <c r="U10" s="4">
        <f>COUNTIF($G:$K,"V.*")</f>
        <v>262</v>
      </c>
      <c r="V10" s="4">
        <f>COUNTIF($G:$K,"S.*")</f>
        <v>87</v>
      </c>
      <c r="W10" s="14">
        <f>SUM(N10:V10)</f>
        <v>1961</v>
      </c>
      <c r="X10" s="4">
        <f>COUNTIFS($G2:$K1000,"&lt;&gt;",$G2:$K1000,"&lt;&gt;OFF.*",$G2:$K1000,"&lt;&gt;AA.*",$G2:$K1000,"&lt;&gt;BB.*",$G2:$K1000,"&lt;&gt;W.*",$G2:$K1000,"&lt;&gt;X.*",$G2:$K1000,"&lt;&gt;CC.*")</f>
        <v>1961</v>
      </c>
    </row>
    <row r="11" spans="1:24" x14ac:dyDescent="0.2">
      <c r="A11"/>
      <c r="B11"/>
      <c r="C11">
        <v>92405</v>
      </c>
      <c r="D11">
        <v>50</v>
      </c>
      <c r="E11">
        <v>10230725</v>
      </c>
      <c r="F11" t="s">
        <v>914</v>
      </c>
      <c r="G11" t="s">
        <v>1351</v>
      </c>
      <c r="H11" t="s">
        <v>1351</v>
      </c>
      <c r="I11" t="s">
        <v>1351</v>
      </c>
      <c r="J11" t="s">
        <v>1351</v>
      </c>
      <c r="K11" t="s">
        <v>1351</v>
      </c>
    </row>
    <row r="12" spans="1:24" ht="16" x14ac:dyDescent="0.2">
      <c r="A12"/>
      <c r="B12"/>
      <c r="C12">
        <v>92325</v>
      </c>
      <c r="D12">
        <v>48</v>
      </c>
      <c r="E12">
        <v>10043721</v>
      </c>
      <c r="F12" t="s">
        <v>914</v>
      </c>
      <c r="G12" t="s">
        <v>1353</v>
      </c>
      <c r="H12" t="s">
        <v>1353</v>
      </c>
      <c r="I12" t="s">
        <v>1353</v>
      </c>
      <c r="J12" t="s">
        <v>1353</v>
      </c>
      <c r="K12" t="s">
        <v>1351</v>
      </c>
      <c r="M12" s="38" t="s">
        <v>1354</v>
      </c>
      <c r="O12" s="69" t="s">
        <v>69</v>
      </c>
      <c r="P12" s="73"/>
      <c r="Q12" s="70"/>
    </row>
    <row r="13" spans="1:24" ht="16" x14ac:dyDescent="0.2">
      <c r="A13"/>
      <c r="B13"/>
      <c r="C13">
        <v>90250</v>
      </c>
      <c r="D13">
        <v>46</v>
      </c>
      <c r="E13">
        <v>10366658</v>
      </c>
      <c r="F13" t="s">
        <v>914</v>
      </c>
      <c r="G13" t="s">
        <v>1353</v>
      </c>
      <c r="H13" t="s">
        <v>1353</v>
      </c>
      <c r="I13" t="s">
        <v>1353</v>
      </c>
      <c r="J13" t="s">
        <v>1353</v>
      </c>
      <c r="K13" t="s">
        <v>202</v>
      </c>
      <c r="M13" s="5" t="s">
        <v>1353</v>
      </c>
      <c r="O13" s="74" t="s">
        <v>75</v>
      </c>
      <c r="P13" s="74"/>
      <c r="Q13" s="36" t="e">
        <f>2*W10/COUNTIFS(A:A,"&lt;&gt;",A:A,"&lt;&gt;FirstName")</f>
        <v>#DIV/0!</v>
      </c>
    </row>
    <row r="14" spans="1:24" ht="16" x14ac:dyDescent="0.2">
      <c r="A14"/>
      <c r="B14"/>
      <c r="C14">
        <v>90043</v>
      </c>
      <c r="D14">
        <v>45</v>
      </c>
      <c r="E14">
        <v>10351757</v>
      </c>
      <c r="F14" t="s">
        <v>914</v>
      </c>
      <c r="G14" t="s">
        <v>1351</v>
      </c>
      <c r="H14" t="s">
        <v>1351</v>
      </c>
      <c r="I14" t="s">
        <v>191</v>
      </c>
      <c r="J14" t="s">
        <v>1353</v>
      </c>
      <c r="K14" t="s">
        <v>1353</v>
      </c>
      <c r="M14" s="5" t="s">
        <v>1355</v>
      </c>
      <c r="O14" s="72" t="s">
        <v>82</v>
      </c>
      <c r="P14" s="72"/>
      <c r="Q14" s="4">
        <v>757</v>
      </c>
    </row>
    <row r="15" spans="1:24" ht="16" x14ac:dyDescent="0.2">
      <c r="A15"/>
      <c r="B15"/>
      <c r="C15">
        <v>91607</v>
      </c>
      <c r="D15">
        <v>45</v>
      </c>
      <c r="E15">
        <v>10023094</v>
      </c>
      <c r="F15" t="s">
        <v>914</v>
      </c>
      <c r="G15" t="s">
        <v>191</v>
      </c>
      <c r="H15" t="s">
        <v>191</v>
      </c>
      <c r="I15" t="s">
        <v>191</v>
      </c>
      <c r="J15" t="s">
        <v>191</v>
      </c>
      <c r="K15" t="s">
        <v>191</v>
      </c>
      <c r="M15" s="5" t="s">
        <v>1352</v>
      </c>
      <c r="O15" s="75" t="s">
        <v>86</v>
      </c>
      <c r="P15" s="75"/>
      <c r="Q15" s="59">
        <f>COUNTIFS(A:A,"&lt;&gt;",A:A,"&lt;&gt;FirstName")</f>
        <v>0</v>
      </c>
    </row>
    <row r="16" spans="1:24" ht="16" x14ac:dyDescent="0.2">
      <c r="A16"/>
      <c r="B16"/>
      <c r="C16">
        <v>92392</v>
      </c>
      <c r="D16">
        <v>45</v>
      </c>
      <c r="E16">
        <v>10366590</v>
      </c>
      <c r="F16" t="s">
        <v>914</v>
      </c>
      <c r="G16" t="s">
        <v>1353</v>
      </c>
      <c r="H16" t="s">
        <v>1353</v>
      </c>
      <c r="I16" t="s">
        <v>1353</v>
      </c>
      <c r="J16" t="s">
        <v>1353</v>
      </c>
      <c r="K16" t="s">
        <v>1353</v>
      </c>
      <c r="M16" s="5" t="s">
        <v>1356</v>
      </c>
      <c r="O16" s="72" t="s">
        <v>93</v>
      </c>
      <c r="P16" s="69"/>
      <c r="Q16" s="61">
        <f>Q15/Q14</f>
        <v>0</v>
      </c>
    </row>
    <row r="17" spans="1:17" ht="16" x14ac:dyDescent="0.2">
      <c r="A17"/>
      <c r="B17"/>
      <c r="C17">
        <v>92405</v>
      </c>
      <c r="D17">
        <v>45</v>
      </c>
      <c r="E17">
        <v>10354791</v>
      </c>
      <c r="F17" t="s">
        <v>914</v>
      </c>
      <c r="G17" t="s">
        <v>1353</v>
      </c>
      <c r="H17" t="s">
        <v>1353</v>
      </c>
      <c r="I17" t="s">
        <v>1353</v>
      </c>
      <c r="J17" t="s">
        <v>1353</v>
      </c>
      <c r="K17" t="s">
        <v>1353</v>
      </c>
      <c r="M17" s="5" t="s">
        <v>1357</v>
      </c>
      <c r="O17" s="77" t="s">
        <v>99</v>
      </c>
      <c r="P17" s="78"/>
      <c r="Q17" s="60">
        <v>49</v>
      </c>
    </row>
    <row r="18" spans="1:17" ht="16" x14ac:dyDescent="0.2">
      <c r="A18"/>
      <c r="B18"/>
      <c r="C18">
        <v>90814</v>
      </c>
      <c r="D18">
        <v>44</v>
      </c>
      <c r="E18">
        <v>10310504</v>
      </c>
      <c r="F18" t="s">
        <v>914</v>
      </c>
      <c r="G18" t="s">
        <v>1358</v>
      </c>
      <c r="H18" t="s">
        <v>1358</v>
      </c>
      <c r="I18" t="s">
        <v>1351</v>
      </c>
      <c r="J18" t="s">
        <v>1358</v>
      </c>
      <c r="K18" t="s">
        <v>202</v>
      </c>
      <c r="M18" s="5" t="s">
        <v>1359</v>
      </c>
      <c r="O18" s="69" t="s">
        <v>104</v>
      </c>
      <c r="P18" s="70"/>
      <c r="Q18" s="4">
        <f>AVERAGE(D2:D1000)</f>
        <v>14.87175925925926</v>
      </c>
    </row>
    <row r="19" spans="1:17" ht="16" x14ac:dyDescent="0.2">
      <c r="A19"/>
      <c r="B19"/>
      <c r="C19">
        <v>91423</v>
      </c>
      <c r="D19">
        <v>43</v>
      </c>
      <c r="E19">
        <v>10361427</v>
      </c>
      <c r="F19" t="s">
        <v>914</v>
      </c>
      <c r="G19" t="s">
        <v>1353</v>
      </c>
      <c r="H19" t="s">
        <v>1353</v>
      </c>
      <c r="I19" t="s">
        <v>1353</v>
      </c>
      <c r="J19" t="s">
        <v>1353</v>
      </c>
      <c r="K19" t="s">
        <v>1353</v>
      </c>
      <c r="M19" s="5" t="s">
        <v>1360</v>
      </c>
      <c r="O19" s="69" t="s">
        <v>109</v>
      </c>
      <c r="P19" s="70"/>
      <c r="Q19" s="4">
        <f>MEDIAN(D2:D1000)</f>
        <v>9</v>
      </c>
    </row>
    <row r="20" spans="1:17" ht="16" x14ac:dyDescent="0.2">
      <c r="A20"/>
      <c r="B20"/>
      <c r="C20">
        <v>92373</v>
      </c>
      <c r="D20">
        <v>42</v>
      </c>
      <c r="E20">
        <v>10351444</v>
      </c>
      <c r="F20" t="s">
        <v>914</v>
      </c>
      <c r="G20" t="s">
        <v>1353</v>
      </c>
      <c r="H20" t="s">
        <v>1353</v>
      </c>
      <c r="I20" t="s">
        <v>1353</v>
      </c>
      <c r="J20" t="s">
        <v>1351</v>
      </c>
      <c r="K20" t="s">
        <v>1351</v>
      </c>
      <c r="M20" s="5" t="s">
        <v>1361</v>
      </c>
      <c r="O20" s="69" t="s">
        <v>114</v>
      </c>
      <c r="P20" s="70"/>
      <c r="Q20" s="4">
        <f>SUM(D2:D1000)</f>
        <v>6424.6</v>
      </c>
    </row>
    <row r="21" spans="1:17" ht="16" x14ac:dyDescent="0.2">
      <c r="A21"/>
      <c r="B21"/>
      <c r="C21">
        <v>92646</v>
      </c>
      <c r="D21">
        <v>42</v>
      </c>
      <c r="E21">
        <v>10366439</v>
      </c>
      <c r="F21" t="s">
        <v>914</v>
      </c>
      <c r="G21" t="s">
        <v>1353</v>
      </c>
      <c r="H21" t="s">
        <v>1353</v>
      </c>
      <c r="I21" t="s">
        <v>1353</v>
      </c>
      <c r="J21" t="s">
        <v>1353</v>
      </c>
      <c r="K21" t="s">
        <v>1353</v>
      </c>
      <c r="M21" s="5" t="s">
        <v>1362</v>
      </c>
      <c r="O21" s="69" t="s">
        <v>119</v>
      </c>
      <c r="P21" s="70"/>
      <c r="Q21" s="61" t="e">
        <f>COUNTIF(D:D,"&lt;=5")/Q15</f>
        <v>#DIV/0!</v>
      </c>
    </row>
    <row r="22" spans="1:17" ht="16" x14ac:dyDescent="0.2">
      <c r="A22"/>
      <c r="B22"/>
      <c r="C22">
        <v>92627</v>
      </c>
      <c r="D22">
        <v>41</v>
      </c>
      <c r="E22">
        <v>10361512</v>
      </c>
      <c r="F22" t="s">
        <v>914</v>
      </c>
      <c r="G22" t="s">
        <v>1353</v>
      </c>
      <c r="H22" t="s">
        <v>1353</v>
      </c>
      <c r="I22" t="s">
        <v>1353</v>
      </c>
      <c r="J22" t="s">
        <v>1353</v>
      </c>
      <c r="K22" t="s">
        <v>1353</v>
      </c>
      <c r="M22" s="5" t="s">
        <v>1363</v>
      </c>
    </row>
    <row r="23" spans="1:17" ht="16" x14ac:dyDescent="0.2">
      <c r="A23"/>
      <c r="B23"/>
      <c r="C23">
        <v>92627</v>
      </c>
      <c r="D23">
        <v>41</v>
      </c>
      <c r="E23">
        <v>10355891</v>
      </c>
      <c r="F23" t="s">
        <v>914</v>
      </c>
      <c r="G23" t="s">
        <v>202</v>
      </c>
      <c r="H23" t="s">
        <v>202</v>
      </c>
      <c r="I23" t="s">
        <v>1353</v>
      </c>
      <c r="J23" t="s">
        <v>202</v>
      </c>
      <c r="K23" t="s">
        <v>1353</v>
      </c>
      <c r="M23" s="5" t="s">
        <v>1364</v>
      </c>
    </row>
    <row r="24" spans="1:17" ht="16" x14ac:dyDescent="0.2">
      <c r="A24"/>
      <c r="B24"/>
      <c r="C24">
        <v>90027</v>
      </c>
      <c r="D24">
        <v>40</v>
      </c>
      <c r="E24">
        <v>10265012</v>
      </c>
      <c r="F24" t="s">
        <v>914</v>
      </c>
      <c r="G24" t="s">
        <v>1353</v>
      </c>
      <c r="H24" t="s">
        <v>1353</v>
      </c>
      <c r="I24" t="s">
        <v>1353</v>
      </c>
      <c r="J24" t="s">
        <v>1353</v>
      </c>
      <c r="K24" t="s">
        <v>1353</v>
      </c>
      <c r="M24" s="5" t="s">
        <v>1365</v>
      </c>
    </row>
    <row r="25" spans="1:17" ht="16" x14ac:dyDescent="0.2">
      <c r="A25"/>
      <c r="B25"/>
      <c r="C25">
        <v>92407</v>
      </c>
      <c r="D25">
        <v>40</v>
      </c>
      <c r="E25">
        <v>10338974</v>
      </c>
      <c r="F25" t="s">
        <v>914</v>
      </c>
      <c r="G25" t="s">
        <v>1353</v>
      </c>
      <c r="H25" t="s">
        <v>1353</v>
      </c>
      <c r="I25" t="s">
        <v>1353</v>
      </c>
      <c r="J25" t="s">
        <v>1353</v>
      </c>
      <c r="K25" t="s">
        <v>1353</v>
      </c>
      <c r="M25" s="5" t="s">
        <v>1366</v>
      </c>
    </row>
    <row r="26" spans="1:17" ht="16" x14ac:dyDescent="0.2">
      <c r="A26"/>
      <c r="B26"/>
      <c r="C26">
        <v>92584</v>
      </c>
      <c r="D26">
        <v>40</v>
      </c>
      <c r="E26">
        <v>10361201</v>
      </c>
      <c r="F26" t="s">
        <v>914</v>
      </c>
      <c r="G26" t="s">
        <v>1367</v>
      </c>
      <c r="H26" t="s">
        <v>1367</v>
      </c>
      <c r="I26" t="s">
        <v>1367</v>
      </c>
      <c r="J26" t="s">
        <v>1367</v>
      </c>
      <c r="K26" t="s">
        <v>1367</v>
      </c>
      <c r="M26" s="5" t="s">
        <v>1368</v>
      </c>
    </row>
    <row r="27" spans="1:17" ht="16" x14ac:dyDescent="0.2">
      <c r="A27"/>
      <c r="B27"/>
      <c r="C27">
        <v>90027</v>
      </c>
      <c r="D27">
        <v>38</v>
      </c>
      <c r="E27">
        <v>10369722</v>
      </c>
      <c r="F27" t="s">
        <v>914</v>
      </c>
      <c r="G27" t="s">
        <v>1353</v>
      </c>
      <c r="H27" t="s">
        <v>1353</v>
      </c>
      <c r="I27" t="s">
        <v>1353</v>
      </c>
      <c r="J27" t="s">
        <v>1353</v>
      </c>
      <c r="K27" t="s">
        <v>202</v>
      </c>
      <c r="M27" s="5" t="s">
        <v>1369</v>
      </c>
    </row>
    <row r="28" spans="1:17" ht="16" x14ac:dyDescent="0.2">
      <c r="A28"/>
      <c r="B28"/>
      <c r="C28">
        <v>91205</v>
      </c>
      <c r="D28">
        <v>38</v>
      </c>
      <c r="E28">
        <v>800345</v>
      </c>
      <c r="F28" t="s">
        <v>919</v>
      </c>
      <c r="G28" t="s">
        <v>1351</v>
      </c>
      <c r="H28" t="s">
        <v>1351</v>
      </c>
      <c r="I28" t="s">
        <v>1351</v>
      </c>
      <c r="J28" t="s">
        <v>1351</v>
      </c>
      <c r="K28" t="s">
        <v>1351</v>
      </c>
      <c r="M28" s="5" t="s">
        <v>1370</v>
      </c>
    </row>
    <row r="29" spans="1:17" ht="16" x14ac:dyDescent="0.2">
      <c r="A29"/>
      <c r="B29"/>
      <c r="C29">
        <v>90249</v>
      </c>
      <c r="D29">
        <v>37</v>
      </c>
      <c r="E29">
        <v>10366700</v>
      </c>
      <c r="F29" t="s">
        <v>914</v>
      </c>
      <c r="G29" t="s">
        <v>1353</v>
      </c>
      <c r="H29" t="s">
        <v>1353</v>
      </c>
      <c r="I29" t="s">
        <v>1353</v>
      </c>
      <c r="J29" t="s">
        <v>1353</v>
      </c>
      <c r="K29" t="s">
        <v>1353</v>
      </c>
      <c r="M29" s="5" t="s">
        <v>1371</v>
      </c>
    </row>
    <row r="30" spans="1:17" ht="16" x14ac:dyDescent="0.2">
      <c r="A30"/>
      <c r="B30"/>
      <c r="C30">
        <v>92557</v>
      </c>
      <c r="D30">
        <v>37</v>
      </c>
      <c r="E30">
        <v>10350684</v>
      </c>
      <c r="F30" t="s">
        <v>914</v>
      </c>
      <c r="G30" t="s">
        <v>1353</v>
      </c>
      <c r="H30" t="s">
        <v>1353</v>
      </c>
      <c r="I30" t="s">
        <v>1353</v>
      </c>
      <c r="J30" t="s">
        <v>1353</v>
      </c>
      <c r="K30" t="s">
        <v>1353</v>
      </c>
      <c r="M30" s="5" t="s">
        <v>1367</v>
      </c>
    </row>
    <row r="31" spans="1:17" ht="16" x14ac:dyDescent="0.2">
      <c r="A31"/>
      <c r="B31"/>
      <c r="C31">
        <v>92404</v>
      </c>
      <c r="D31">
        <v>36</v>
      </c>
      <c r="E31">
        <v>10368864</v>
      </c>
      <c r="F31" t="s">
        <v>914</v>
      </c>
      <c r="G31" t="s">
        <v>1353</v>
      </c>
      <c r="H31" t="s">
        <v>1353</v>
      </c>
      <c r="I31" t="s">
        <v>1353</v>
      </c>
      <c r="J31" t="s">
        <v>1353</v>
      </c>
      <c r="K31" t="s">
        <v>1353</v>
      </c>
      <c r="M31" s="5" t="s">
        <v>1372</v>
      </c>
    </row>
    <row r="32" spans="1:17" ht="16" x14ac:dyDescent="0.2">
      <c r="A32"/>
      <c r="B32"/>
      <c r="C32">
        <v>90065</v>
      </c>
      <c r="D32">
        <v>35</v>
      </c>
      <c r="E32">
        <v>10240226</v>
      </c>
      <c r="F32" t="s">
        <v>914</v>
      </c>
      <c r="G32" t="s">
        <v>1351</v>
      </c>
      <c r="H32" t="s">
        <v>1358</v>
      </c>
      <c r="I32" t="s">
        <v>1358</v>
      </c>
      <c r="J32" t="s">
        <v>1358</v>
      </c>
      <c r="K32" t="s">
        <v>1358</v>
      </c>
      <c r="M32" s="5" t="s">
        <v>1373</v>
      </c>
    </row>
    <row r="33" spans="1:13" ht="16" x14ac:dyDescent="0.2">
      <c r="A33"/>
      <c r="B33"/>
      <c r="C33">
        <v>91761</v>
      </c>
      <c r="D33">
        <v>35</v>
      </c>
      <c r="E33">
        <v>10356289</v>
      </c>
      <c r="F33" t="s">
        <v>914</v>
      </c>
      <c r="G33" t="s">
        <v>1353</v>
      </c>
      <c r="H33" t="s">
        <v>1353</v>
      </c>
      <c r="I33" t="s">
        <v>1353</v>
      </c>
      <c r="J33" t="s">
        <v>1353</v>
      </c>
      <c r="K33" t="s">
        <v>1353</v>
      </c>
      <c r="M33" s="5" t="s">
        <v>1358</v>
      </c>
    </row>
    <row r="34" spans="1:13" ht="16" x14ac:dyDescent="0.2">
      <c r="A34"/>
      <c r="B34"/>
      <c r="C34">
        <v>91763</v>
      </c>
      <c r="D34">
        <v>35</v>
      </c>
      <c r="E34">
        <v>10366670</v>
      </c>
      <c r="F34" t="s">
        <v>914</v>
      </c>
      <c r="G34" t="s">
        <v>1352</v>
      </c>
      <c r="H34" t="s">
        <v>1352</v>
      </c>
      <c r="I34" t="s">
        <v>1352</v>
      </c>
      <c r="J34" t="s">
        <v>1352</v>
      </c>
      <c r="K34" t="s">
        <v>1352</v>
      </c>
      <c r="M34" s="5" t="s">
        <v>1351</v>
      </c>
    </row>
    <row r="35" spans="1:13" ht="16" x14ac:dyDescent="0.2">
      <c r="A35"/>
      <c r="B35"/>
      <c r="C35" s="7">
        <v>91801</v>
      </c>
      <c r="D35">
        <v>35</v>
      </c>
      <c r="E35">
        <v>10349257</v>
      </c>
      <c r="F35" t="s">
        <v>914</v>
      </c>
      <c r="G35" t="s">
        <v>1353</v>
      </c>
      <c r="H35" t="s">
        <v>1353</v>
      </c>
      <c r="I35" t="s">
        <v>1351</v>
      </c>
      <c r="J35" t="s">
        <v>1351</v>
      </c>
      <c r="K35" t="s">
        <v>1353</v>
      </c>
      <c r="M35" s="5" t="s">
        <v>1374</v>
      </c>
    </row>
    <row r="36" spans="1:13" ht="16" x14ac:dyDescent="0.2">
      <c r="A36"/>
      <c r="B36"/>
      <c r="C36">
        <v>92346</v>
      </c>
      <c r="D36">
        <v>35</v>
      </c>
      <c r="E36">
        <v>10163323</v>
      </c>
      <c r="F36" t="s">
        <v>914</v>
      </c>
      <c r="G36" t="s">
        <v>1353</v>
      </c>
      <c r="H36" t="s">
        <v>1353</v>
      </c>
      <c r="I36" t="s">
        <v>1353</v>
      </c>
      <c r="J36" t="s">
        <v>1353</v>
      </c>
      <c r="K36" t="s">
        <v>1353</v>
      </c>
      <c r="M36" s="5" t="s">
        <v>179</v>
      </c>
    </row>
    <row r="37" spans="1:13" ht="16" x14ac:dyDescent="0.2">
      <c r="A37"/>
      <c r="B37"/>
      <c r="C37">
        <v>92655</v>
      </c>
      <c r="D37">
        <v>35</v>
      </c>
      <c r="E37">
        <v>10349292</v>
      </c>
      <c r="F37" t="s">
        <v>914</v>
      </c>
      <c r="G37" t="s">
        <v>1353</v>
      </c>
      <c r="H37" t="s">
        <v>1353</v>
      </c>
      <c r="I37" t="s">
        <v>1353</v>
      </c>
      <c r="J37" t="s">
        <v>1353</v>
      </c>
      <c r="K37" t="s">
        <v>1353</v>
      </c>
      <c r="M37" s="5" t="s">
        <v>191</v>
      </c>
    </row>
    <row r="38" spans="1:13" ht="16" x14ac:dyDescent="0.2">
      <c r="A38"/>
      <c r="B38"/>
      <c r="C38">
        <v>90242</v>
      </c>
      <c r="D38">
        <v>34</v>
      </c>
      <c r="E38">
        <v>10240152</v>
      </c>
      <c r="F38" t="s">
        <v>914</v>
      </c>
      <c r="G38" t="s">
        <v>1353</v>
      </c>
      <c r="H38" t="s">
        <v>1353</v>
      </c>
      <c r="I38" t="s">
        <v>1353</v>
      </c>
      <c r="J38" t="s">
        <v>1353</v>
      </c>
      <c r="K38" t="s">
        <v>1353</v>
      </c>
      <c r="M38" s="5" t="s">
        <v>195</v>
      </c>
    </row>
    <row r="39" spans="1:13" ht="16" x14ac:dyDescent="0.2">
      <c r="A39"/>
      <c r="B39"/>
      <c r="C39">
        <v>92506</v>
      </c>
      <c r="D39">
        <v>34</v>
      </c>
      <c r="E39">
        <v>10358351</v>
      </c>
      <c r="F39" t="s">
        <v>914</v>
      </c>
      <c r="G39" t="s">
        <v>1352</v>
      </c>
      <c r="H39" t="s">
        <v>1352</v>
      </c>
      <c r="I39" t="s">
        <v>1352</v>
      </c>
      <c r="J39" t="s">
        <v>1352</v>
      </c>
      <c r="K39" t="s">
        <v>1352</v>
      </c>
      <c r="M39" s="5" t="s">
        <v>199</v>
      </c>
    </row>
    <row r="40" spans="1:13" ht="16" x14ac:dyDescent="0.2">
      <c r="A40"/>
      <c r="B40"/>
      <c r="C40">
        <v>92508</v>
      </c>
      <c r="D40">
        <v>34</v>
      </c>
      <c r="E40">
        <v>10368812</v>
      </c>
      <c r="F40" t="s">
        <v>914</v>
      </c>
      <c r="G40" t="s">
        <v>1356</v>
      </c>
      <c r="H40" t="s">
        <v>1357</v>
      </c>
      <c r="I40" t="s">
        <v>1356</v>
      </c>
      <c r="J40" t="s">
        <v>1356</v>
      </c>
      <c r="K40" t="s">
        <v>1356</v>
      </c>
      <c r="M40" s="6" t="s">
        <v>202</v>
      </c>
    </row>
    <row r="41" spans="1:13" x14ac:dyDescent="0.2">
      <c r="A41"/>
      <c r="B41"/>
      <c r="C41">
        <v>92373</v>
      </c>
      <c r="D41">
        <v>33</v>
      </c>
      <c r="E41">
        <v>10346405</v>
      </c>
      <c r="F41" t="s">
        <v>914</v>
      </c>
      <c r="G41" t="s">
        <v>1353</v>
      </c>
      <c r="H41" t="s">
        <v>1353</v>
      </c>
      <c r="I41" t="s">
        <v>1353</v>
      </c>
      <c r="J41" t="s">
        <v>1353</v>
      </c>
      <c r="K41" t="s">
        <v>1351</v>
      </c>
    </row>
    <row r="42" spans="1:13" x14ac:dyDescent="0.2">
      <c r="A42"/>
      <c r="B42"/>
      <c r="C42">
        <v>92506</v>
      </c>
      <c r="D42">
        <v>33</v>
      </c>
      <c r="E42">
        <v>104282</v>
      </c>
      <c r="F42" t="s">
        <v>919</v>
      </c>
      <c r="G42" t="s">
        <v>202</v>
      </c>
      <c r="H42" t="s">
        <v>1353</v>
      </c>
      <c r="I42" t="s">
        <v>202</v>
      </c>
      <c r="J42" t="s">
        <v>1353</v>
      </c>
      <c r="K42" t="s">
        <v>202</v>
      </c>
    </row>
    <row r="43" spans="1:13" x14ac:dyDescent="0.2">
      <c r="A43"/>
      <c r="B43"/>
      <c r="C43">
        <v>90247</v>
      </c>
      <c r="D43">
        <v>32</v>
      </c>
      <c r="E43">
        <v>10361238</v>
      </c>
      <c r="F43" t="s">
        <v>914</v>
      </c>
      <c r="G43" t="s">
        <v>1353</v>
      </c>
      <c r="H43" t="s">
        <v>1353</v>
      </c>
      <c r="I43" t="s">
        <v>1353</v>
      </c>
      <c r="J43" t="s">
        <v>1353</v>
      </c>
      <c r="K43" t="s">
        <v>1353</v>
      </c>
    </row>
    <row r="44" spans="1:13" x14ac:dyDescent="0.2">
      <c r="A44"/>
      <c r="B44"/>
      <c r="C44">
        <v>91101</v>
      </c>
      <c r="D44">
        <v>32</v>
      </c>
      <c r="E44">
        <v>10366519</v>
      </c>
      <c r="F44" t="s">
        <v>914</v>
      </c>
      <c r="G44" t="s">
        <v>1353</v>
      </c>
      <c r="H44" t="s">
        <v>1353</v>
      </c>
      <c r="I44" t="s">
        <v>1353</v>
      </c>
      <c r="J44" t="s">
        <v>1353</v>
      </c>
      <c r="K44" t="s">
        <v>1353</v>
      </c>
    </row>
    <row r="45" spans="1:13" x14ac:dyDescent="0.2">
      <c r="A45"/>
      <c r="B45"/>
      <c r="C45">
        <v>91767</v>
      </c>
      <c r="D45">
        <v>32</v>
      </c>
      <c r="E45">
        <v>101354662</v>
      </c>
      <c r="F45" t="s">
        <v>914</v>
      </c>
      <c r="G45" t="s">
        <v>1353</v>
      </c>
      <c r="H45" t="s">
        <v>1353</v>
      </c>
      <c r="I45" t="s">
        <v>1353</v>
      </c>
      <c r="J45" t="s">
        <v>1353</v>
      </c>
      <c r="K45" t="s">
        <v>1353</v>
      </c>
    </row>
    <row r="46" spans="1:13" x14ac:dyDescent="0.2">
      <c r="A46"/>
      <c r="B46"/>
      <c r="C46">
        <v>92376</v>
      </c>
      <c r="D46">
        <v>32</v>
      </c>
      <c r="E46">
        <v>10358197</v>
      </c>
      <c r="F46" t="s">
        <v>914</v>
      </c>
      <c r="G46" t="s">
        <v>1353</v>
      </c>
      <c r="H46" t="s">
        <v>1353</v>
      </c>
      <c r="I46" t="s">
        <v>1353</v>
      </c>
      <c r="J46" t="s">
        <v>1353</v>
      </c>
      <c r="K46" t="s">
        <v>1353</v>
      </c>
    </row>
    <row r="47" spans="1:13" x14ac:dyDescent="0.2">
      <c r="A47"/>
      <c r="B47"/>
      <c r="C47">
        <v>92507</v>
      </c>
      <c r="D47">
        <v>32</v>
      </c>
      <c r="E47">
        <v>1369956</v>
      </c>
      <c r="F47" t="s">
        <v>919</v>
      </c>
      <c r="G47" t="s">
        <v>1353</v>
      </c>
      <c r="H47" t="s">
        <v>1353</v>
      </c>
      <c r="I47" t="s">
        <v>1353</v>
      </c>
      <c r="J47" t="s">
        <v>202</v>
      </c>
      <c r="K47" t="s">
        <v>202</v>
      </c>
    </row>
    <row r="48" spans="1:13" x14ac:dyDescent="0.2">
      <c r="A48"/>
      <c r="B48"/>
      <c r="C48">
        <v>92404</v>
      </c>
      <c r="D48">
        <v>31</v>
      </c>
      <c r="E48">
        <v>10208026</v>
      </c>
      <c r="F48" t="s">
        <v>914</v>
      </c>
      <c r="G48" t="s">
        <v>1367</v>
      </c>
      <c r="H48" t="s">
        <v>1367</v>
      </c>
      <c r="I48" t="s">
        <v>1367</v>
      </c>
      <c r="J48" t="s">
        <v>1367</v>
      </c>
      <c r="K48" t="s">
        <v>1367</v>
      </c>
    </row>
    <row r="49" spans="1:11" x14ac:dyDescent="0.2">
      <c r="A49"/>
      <c r="B49"/>
      <c r="C49">
        <v>92506</v>
      </c>
      <c r="D49">
        <v>31</v>
      </c>
      <c r="E49">
        <v>10366592</v>
      </c>
      <c r="F49" t="s">
        <v>914</v>
      </c>
      <c r="G49" t="s">
        <v>1353</v>
      </c>
      <c r="H49" t="s">
        <v>1351</v>
      </c>
      <c r="I49" t="s">
        <v>1353</v>
      </c>
      <c r="J49" t="s">
        <v>1351</v>
      </c>
      <c r="K49" t="s">
        <v>1353</v>
      </c>
    </row>
    <row r="50" spans="1:11" x14ac:dyDescent="0.2">
      <c r="A50"/>
      <c r="B50"/>
      <c r="C50">
        <v>90012</v>
      </c>
      <c r="D50">
        <v>30</v>
      </c>
      <c r="E50">
        <v>10340122</v>
      </c>
      <c r="F50" t="s">
        <v>914</v>
      </c>
      <c r="G50" t="s">
        <v>1353</v>
      </c>
      <c r="H50" t="s">
        <v>1353</v>
      </c>
      <c r="I50" t="s">
        <v>1351</v>
      </c>
      <c r="J50" t="s">
        <v>1353</v>
      </c>
      <c r="K50" t="s">
        <v>1351</v>
      </c>
    </row>
    <row r="51" spans="1:11" x14ac:dyDescent="0.2">
      <c r="A51"/>
      <c r="B51"/>
      <c r="C51">
        <v>91001</v>
      </c>
      <c r="D51">
        <v>30</v>
      </c>
      <c r="E51">
        <v>10366423</v>
      </c>
      <c r="F51" t="s">
        <v>914</v>
      </c>
      <c r="G51" t="s">
        <v>1358</v>
      </c>
      <c r="H51" t="s">
        <v>1358</v>
      </c>
      <c r="I51" t="s">
        <v>1351</v>
      </c>
      <c r="J51" t="s">
        <v>1358</v>
      </c>
      <c r="K51" t="s">
        <v>1351</v>
      </c>
    </row>
    <row r="52" spans="1:11" x14ac:dyDescent="0.2">
      <c r="A52"/>
      <c r="B52"/>
      <c r="C52">
        <v>91205</v>
      </c>
      <c r="D52">
        <v>30</v>
      </c>
      <c r="E52">
        <v>10364784</v>
      </c>
      <c r="F52" t="s">
        <v>914</v>
      </c>
      <c r="G52" t="s">
        <v>1351</v>
      </c>
      <c r="H52" t="s">
        <v>1353</v>
      </c>
      <c r="I52" t="s">
        <v>1353</v>
      </c>
      <c r="J52" t="s">
        <v>1353</v>
      </c>
      <c r="K52" t="s">
        <v>1351</v>
      </c>
    </row>
    <row r="53" spans="1:11" x14ac:dyDescent="0.2">
      <c r="A53"/>
      <c r="B53"/>
      <c r="C53">
        <v>91744</v>
      </c>
      <c r="D53">
        <v>30</v>
      </c>
      <c r="E53">
        <v>10266019</v>
      </c>
      <c r="F53" t="s">
        <v>914</v>
      </c>
      <c r="G53" t="s">
        <v>1353</v>
      </c>
      <c r="H53" t="s">
        <v>1353</v>
      </c>
      <c r="I53" t="s">
        <v>1353</v>
      </c>
      <c r="J53" t="s">
        <v>1353</v>
      </c>
      <c r="K53" t="s">
        <v>1353</v>
      </c>
    </row>
    <row r="54" spans="1:11" x14ac:dyDescent="0.2">
      <c r="A54"/>
      <c r="B54"/>
      <c r="C54">
        <v>92324</v>
      </c>
      <c r="D54">
        <v>30</v>
      </c>
      <c r="E54">
        <v>10364835</v>
      </c>
      <c r="F54" t="s">
        <v>914</v>
      </c>
      <c r="G54" t="s">
        <v>1353</v>
      </c>
      <c r="H54" t="s">
        <v>1353</v>
      </c>
      <c r="I54" t="s">
        <v>1351</v>
      </c>
      <c r="J54" t="s">
        <v>1353</v>
      </c>
      <c r="K54" t="s">
        <v>1351</v>
      </c>
    </row>
    <row r="55" spans="1:11" x14ac:dyDescent="0.2">
      <c r="A55"/>
      <c r="B55"/>
      <c r="C55">
        <v>92335</v>
      </c>
      <c r="D55">
        <v>30</v>
      </c>
      <c r="E55">
        <v>10042928</v>
      </c>
      <c r="F55" t="s">
        <v>914</v>
      </c>
      <c r="G55" t="s">
        <v>1353</v>
      </c>
      <c r="H55" t="s">
        <v>1353</v>
      </c>
      <c r="I55" t="s">
        <v>1353</v>
      </c>
      <c r="J55" t="s">
        <v>1353</v>
      </c>
      <c r="K55" t="s">
        <v>1353</v>
      </c>
    </row>
    <row r="56" spans="1:11" x14ac:dyDescent="0.2">
      <c r="A56"/>
      <c r="B56"/>
      <c r="C56">
        <v>92374</v>
      </c>
      <c r="D56">
        <v>30</v>
      </c>
      <c r="E56">
        <v>103700501</v>
      </c>
      <c r="F56" t="s">
        <v>914</v>
      </c>
      <c r="G56" t="s">
        <v>1353</v>
      </c>
      <c r="H56" t="s">
        <v>1353</v>
      </c>
      <c r="I56" t="s">
        <v>1353</v>
      </c>
      <c r="J56" t="s">
        <v>1353</v>
      </c>
      <c r="K56" t="s">
        <v>1351</v>
      </c>
    </row>
    <row r="57" spans="1:11" x14ac:dyDescent="0.2">
      <c r="A57"/>
      <c r="B57"/>
      <c r="C57">
        <v>92411</v>
      </c>
      <c r="D57">
        <v>30</v>
      </c>
      <c r="E57">
        <v>10284631</v>
      </c>
      <c r="F57" t="s">
        <v>914</v>
      </c>
      <c r="G57" t="s">
        <v>1351</v>
      </c>
      <c r="H57" t="s">
        <v>1351</v>
      </c>
      <c r="I57" t="s">
        <v>1351</v>
      </c>
      <c r="J57" t="s">
        <v>1351</v>
      </c>
      <c r="K57" t="s">
        <v>1351</v>
      </c>
    </row>
    <row r="58" spans="1:11" x14ac:dyDescent="0.2">
      <c r="A58"/>
      <c r="B58"/>
      <c r="C58">
        <v>92505</v>
      </c>
      <c r="D58">
        <v>30</v>
      </c>
      <c r="E58">
        <v>10312084</v>
      </c>
      <c r="F58" t="s">
        <v>914</v>
      </c>
      <c r="G58" t="s">
        <v>1353</v>
      </c>
      <c r="H58" t="s">
        <v>1353</v>
      </c>
      <c r="I58" t="s">
        <v>1353</v>
      </c>
      <c r="J58" t="s">
        <v>1353</v>
      </c>
      <c r="K58" t="s">
        <v>1353</v>
      </c>
    </row>
    <row r="59" spans="1:11" x14ac:dyDescent="0.2">
      <c r="A59"/>
      <c r="B59"/>
      <c r="C59">
        <v>92505</v>
      </c>
      <c r="D59">
        <v>30</v>
      </c>
      <c r="E59">
        <v>10361467</v>
      </c>
      <c r="F59" t="s">
        <v>914</v>
      </c>
      <c r="G59" t="s">
        <v>1351</v>
      </c>
      <c r="H59" t="s">
        <v>1353</v>
      </c>
      <c r="I59" t="s">
        <v>1353</v>
      </c>
      <c r="J59" t="s">
        <v>1353</v>
      </c>
      <c r="K59" t="s">
        <v>1351</v>
      </c>
    </row>
    <row r="60" spans="1:11" x14ac:dyDescent="0.2">
      <c r="A60"/>
      <c r="B60"/>
      <c r="C60">
        <v>92509</v>
      </c>
      <c r="D60">
        <v>30</v>
      </c>
      <c r="E60">
        <v>10368531</v>
      </c>
      <c r="F60" t="s">
        <v>914</v>
      </c>
      <c r="G60" t="s">
        <v>1351</v>
      </c>
      <c r="H60" t="s">
        <v>202</v>
      </c>
      <c r="I60" t="s">
        <v>202</v>
      </c>
      <c r="J60" t="s">
        <v>1351</v>
      </c>
      <c r="K60" t="s">
        <v>1351</v>
      </c>
    </row>
    <row r="61" spans="1:11" x14ac:dyDescent="0.2">
      <c r="A61"/>
      <c r="B61"/>
      <c r="C61">
        <v>92886</v>
      </c>
      <c r="D61">
        <v>30</v>
      </c>
      <c r="E61">
        <v>10351649</v>
      </c>
      <c r="F61" t="s">
        <v>914</v>
      </c>
      <c r="G61" t="s">
        <v>1353</v>
      </c>
      <c r="H61" t="s">
        <v>1351</v>
      </c>
      <c r="I61" t="s">
        <v>1353</v>
      </c>
      <c r="J61" t="s">
        <v>1351</v>
      </c>
      <c r="K61" t="s">
        <v>1351</v>
      </c>
    </row>
    <row r="62" spans="1:11" x14ac:dyDescent="0.2">
      <c r="A62"/>
      <c r="B62"/>
      <c r="C62">
        <v>91105</v>
      </c>
      <c r="D62">
        <v>29</v>
      </c>
      <c r="E62">
        <v>10144513</v>
      </c>
      <c r="F62" t="s">
        <v>914</v>
      </c>
      <c r="G62" t="s">
        <v>1353</v>
      </c>
      <c r="H62" t="s">
        <v>1353</v>
      </c>
      <c r="I62" t="s">
        <v>1353</v>
      </c>
      <c r="J62" t="s">
        <v>1353</v>
      </c>
      <c r="K62" t="s">
        <v>1353</v>
      </c>
    </row>
    <row r="63" spans="1:11" x14ac:dyDescent="0.2">
      <c r="A63"/>
      <c r="B63"/>
      <c r="C63">
        <v>92404</v>
      </c>
      <c r="D63">
        <v>29</v>
      </c>
      <c r="E63">
        <v>10360807</v>
      </c>
      <c r="F63" t="s">
        <v>914</v>
      </c>
      <c r="G63" t="s">
        <v>1353</v>
      </c>
      <c r="H63" t="s">
        <v>1353</v>
      </c>
      <c r="I63" t="s">
        <v>1353</v>
      </c>
      <c r="J63" t="s">
        <v>1353</v>
      </c>
      <c r="K63" t="s">
        <v>1353</v>
      </c>
    </row>
    <row r="64" spans="1:11" x14ac:dyDescent="0.2">
      <c r="A64"/>
      <c r="B64"/>
      <c r="C64">
        <v>92404</v>
      </c>
      <c r="D64">
        <v>29</v>
      </c>
      <c r="E64">
        <v>10351762</v>
      </c>
      <c r="F64" t="s">
        <v>914</v>
      </c>
      <c r="G64" t="s">
        <v>1353</v>
      </c>
      <c r="H64" t="s">
        <v>1353</v>
      </c>
      <c r="I64" t="s">
        <v>1353</v>
      </c>
      <c r="J64" t="s">
        <v>1353</v>
      </c>
      <c r="K64" t="s">
        <v>1353</v>
      </c>
    </row>
    <row r="65" spans="1:11" x14ac:dyDescent="0.2">
      <c r="A65"/>
      <c r="B65"/>
      <c r="C65">
        <v>92507</v>
      </c>
      <c r="D65">
        <v>29</v>
      </c>
      <c r="E65">
        <v>10366723</v>
      </c>
      <c r="F65" t="s">
        <v>914</v>
      </c>
      <c r="G65" t="s">
        <v>191</v>
      </c>
      <c r="H65" t="s">
        <v>191</v>
      </c>
      <c r="I65" t="s">
        <v>191</v>
      </c>
      <c r="J65" t="s">
        <v>191</v>
      </c>
      <c r="K65" t="s">
        <v>191</v>
      </c>
    </row>
    <row r="66" spans="1:11" x14ac:dyDescent="0.2">
      <c r="A66"/>
      <c r="B66"/>
      <c r="C66">
        <v>91702</v>
      </c>
      <c r="D66">
        <v>28</v>
      </c>
      <c r="E66">
        <v>10366716</v>
      </c>
      <c r="F66" t="s">
        <v>914</v>
      </c>
      <c r="G66" t="s">
        <v>1353</v>
      </c>
      <c r="H66" t="s">
        <v>1353</v>
      </c>
      <c r="I66" t="s">
        <v>1353</v>
      </c>
      <c r="J66" t="s">
        <v>1353</v>
      </c>
      <c r="K66" t="s">
        <v>1353</v>
      </c>
    </row>
    <row r="67" spans="1:11" x14ac:dyDescent="0.2">
      <c r="A67"/>
      <c r="B67"/>
      <c r="C67">
        <v>90031</v>
      </c>
      <c r="D67">
        <v>28</v>
      </c>
      <c r="E67">
        <v>10364813</v>
      </c>
      <c r="F67" t="s">
        <v>914</v>
      </c>
      <c r="G67" t="s">
        <v>1351</v>
      </c>
      <c r="H67" t="s">
        <v>1353</v>
      </c>
      <c r="I67" t="s">
        <v>1353</v>
      </c>
      <c r="J67" t="s">
        <v>1353</v>
      </c>
      <c r="K67" t="s">
        <v>1351</v>
      </c>
    </row>
    <row r="68" spans="1:11" x14ac:dyDescent="0.2">
      <c r="A68"/>
      <c r="B68"/>
      <c r="C68">
        <v>91103</v>
      </c>
      <c r="D68">
        <v>28</v>
      </c>
      <c r="E68" t="s">
        <v>1375</v>
      </c>
      <c r="F68" t="s">
        <v>914</v>
      </c>
      <c r="G68" t="s">
        <v>1353</v>
      </c>
      <c r="H68" t="s">
        <v>1353</v>
      </c>
      <c r="I68" t="s">
        <v>1353</v>
      </c>
      <c r="J68" t="s">
        <v>1353</v>
      </c>
      <c r="K68" t="s">
        <v>1353</v>
      </c>
    </row>
    <row r="69" spans="1:11" x14ac:dyDescent="0.2">
      <c r="A69"/>
      <c r="B69"/>
      <c r="C69" s="7">
        <v>91104</v>
      </c>
      <c r="D69">
        <v>28</v>
      </c>
      <c r="E69">
        <v>116215</v>
      </c>
      <c r="F69" t="s">
        <v>914</v>
      </c>
      <c r="G69" t="s">
        <v>1353</v>
      </c>
      <c r="H69" t="s">
        <v>1353</v>
      </c>
      <c r="I69" t="s">
        <v>1353</v>
      </c>
      <c r="J69" t="s">
        <v>1353</v>
      </c>
      <c r="K69" t="s">
        <v>1353</v>
      </c>
    </row>
    <row r="70" spans="1:11" x14ac:dyDescent="0.2">
      <c r="A70"/>
      <c r="B70"/>
      <c r="C70" s="7">
        <v>91730</v>
      </c>
      <c r="D70">
        <v>28</v>
      </c>
      <c r="E70">
        <v>10369517</v>
      </c>
      <c r="F70" t="s">
        <v>914</v>
      </c>
      <c r="G70" t="s">
        <v>1353</v>
      </c>
      <c r="H70" t="s">
        <v>1353</v>
      </c>
      <c r="I70" t="s">
        <v>1353</v>
      </c>
      <c r="J70" t="s">
        <v>1353</v>
      </c>
      <c r="K70" t="s">
        <v>1353</v>
      </c>
    </row>
    <row r="71" spans="1:11" x14ac:dyDescent="0.2">
      <c r="A71"/>
      <c r="B71"/>
      <c r="C71">
        <v>92335</v>
      </c>
      <c r="D71">
        <v>28</v>
      </c>
      <c r="E71">
        <v>10043633</v>
      </c>
      <c r="F71" t="s">
        <v>914</v>
      </c>
      <c r="G71" t="s">
        <v>1353</v>
      </c>
      <c r="H71" t="s">
        <v>1353</v>
      </c>
      <c r="I71" t="s">
        <v>1353</v>
      </c>
      <c r="J71" t="s">
        <v>1353</v>
      </c>
      <c r="K71" t="s">
        <v>1353</v>
      </c>
    </row>
    <row r="72" spans="1:11" x14ac:dyDescent="0.2">
      <c r="A72"/>
      <c r="B72"/>
      <c r="C72" s="7">
        <v>92404</v>
      </c>
      <c r="D72">
        <v>28</v>
      </c>
      <c r="E72">
        <v>10353600</v>
      </c>
      <c r="F72" t="s">
        <v>914</v>
      </c>
      <c r="G72" t="s">
        <v>1353</v>
      </c>
      <c r="H72" t="s">
        <v>1353</v>
      </c>
      <c r="I72" t="s">
        <v>1353</v>
      </c>
      <c r="J72" t="s">
        <v>1353</v>
      </c>
      <c r="K72" t="s">
        <v>1353</v>
      </c>
    </row>
    <row r="73" spans="1:11" x14ac:dyDescent="0.2">
      <c r="A73"/>
      <c r="B73"/>
      <c r="C73" s="7">
        <v>92553</v>
      </c>
      <c r="D73">
        <v>28</v>
      </c>
      <c r="E73">
        <v>10352904</v>
      </c>
      <c r="F73" t="s">
        <v>914</v>
      </c>
      <c r="G73" t="s">
        <v>1353</v>
      </c>
      <c r="H73" t="s">
        <v>1351</v>
      </c>
      <c r="I73" t="s">
        <v>1353</v>
      </c>
      <c r="J73" t="s">
        <v>1351</v>
      </c>
      <c r="K73" t="s">
        <v>1351</v>
      </c>
    </row>
    <row r="74" spans="1:11" x14ac:dyDescent="0.2">
      <c r="A74"/>
      <c r="B74"/>
      <c r="C74">
        <v>90042</v>
      </c>
      <c r="D74">
        <v>27</v>
      </c>
      <c r="E74">
        <v>10369721</v>
      </c>
      <c r="F74" t="s">
        <v>919</v>
      </c>
      <c r="G74" t="s">
        <v>1353</v>
      </c>
      <c r="H74" t="s">
        <v>1353</v>
      </c>
      <c r="I74" t="s">
        <v>1353</v>
      </c>
      <c r="J74" t="s">
        <v>1353</v>
      </c>
      <c r="K74" t="s">
        <v>1353</v>
      </c>
    </row>
    <row r="75" spans="1:11" x14ac:dyDescent="0.2">
      <c r="A75"/>
      <c r="B75"/>
      <c r="C75">
        <v>90606</v>
      </c>
      <c r="D75">
        <v>27</v>
      </c>
      <c r="E75">
        <v>10192849</v>
      </c>
      <c r="F75" t="s">
        <v>914</v>
      </c>
      <c r="G75" t="s">
        <v>1353</v>
      </c>
      <c r="H75" t="s">
        <v>1353</v>
      </c>
      <c r="I75" t="s">
        <v>1353</v>
      </c>
      <c r="J75" t="s">
        <v>1353</v>
      </c>
      <c r="K75" t="s">
        <v>1353</v>
      </c>
    </row>
    <row r="76" spans="1:11" x14ac:dyDescent="0.2">
      <c r="A76"/>
      <c r="B76"/>
      <c r="C76">
        <v>90606</v>
      </c>
      <c r="D76">
        <v>27</v>
      </c>
      <c r="E76">
        <v>10278358</v>
      </c>
      <c r="F76" t="s">
        <v>914</v>
      </c>
      <c r="G76" t="s">
        <v>1352</v>
      </c>
      <c r="H76" t="s">
        <v>1352</v>
      </c>
      <c r="I76" t="s">
        <v>1352</v>
      </c>
      <c r="J76" t="s">
        <v>1352</v>
      </c>
      <c r="K76" t="s">
        <v>1352</v>
      </c>
    </row>
    <row r="77" spans="1:11" x14ac:dyDescent="0.2">
      <c r="A77"/>
      <c r="B77"/>
      <c r="C77">
        <v>91104</v>
      </c>
      <c r="D77">
        <v>27</v>
      </c>
      <c r="E77">
        <v>10353364</v>
      </c>
      <c r="F77" t="s">
        <v>914</v>
      </c>
      <c r="G77" t="s">
        <v>1353</v>
      </c>
      <c r="H77" t="s">
        <v>1353</v>
      </c>
      <c r="I77" t="s">
        <v>1353</v>
      </c>
      <c r="J77" t="s">
        <v>1353</v>
      </c>
      <c r="K77" t="s">
        <v>1353</v>
      </c>
    </row>
    <row r="78" spans="1:11" x14ac:dyDescent="0.2">
      <c r="A78"/>
      <c r="B78"/>
      <c r="C78">
        <v>92377</v>
      </c>
      <c r="D78">
        <v>27</v>
      </c>
      <c r="E78">
        <v>10357060</v>
      </c>
      <c r="F78" t="s">
        <v>914</v>
      </c>
      <c r="G78" t="s">
        <v>1353</v>
      </c>
      <c r="H78" t="s">
        <v>1353</v>
      </c>
      <c r="I78" t="s">
        <v>1353</v>
      </c>
      <c r="J78" t="s">
        <v>1353</v>
      </c>
      <c r="K78" t="s">
        <v>1353</v>
      </c>
    </row>
    <row r="79" spans="1:11" x14ac:dyDescent="0.2">
      <c r="A79"/>
      <c r="B79"/>
      <c r="C79">
        <v>92805</v>
      </c>
      <c r="D79">
        <v>27</v>
      </c>
      <c r="E79">
        <v>10369724</v>
      </c>
      <c r="F79" t="s">
        <v>914</v>
      </c>
      <c r="G79" t="s">
        <v>1358</v>
      </c>
      <c r="H79" t="s">
        <v>1358</v>
      </c>
      <c r="I79" t="s">
        <v>1358</v>
      </c>
      <c r="J79" t="s">
        <v>1358</v>
      </c>
      <c r="K79" t="s">
        <v>1358</v>
      </c>
    </row>
    <row r="80" spans="1:11" x14ac:dyDescent="0.2">
      <c r="A80"/>
      <c r="B80"/>
      <c r="C80">
        <v>91001</v>
      </c>
      <c r="D80">
        <v>26</v>
      </c>
      <c r="E80">
        <v>10023537</v>
      </c>
      <c r="F80" t="s">
        <v>914</v>
      </c>
      <c r="G80" t="s">
        <v>191</v>
      </c>
      <c r="H80" t="s">
        <v>191</v>
      </c>
      <c r="I80" t="s">
        <v>191</v>
      </c>
      <c r="J80" t="s">
        <v>1351</v>
      </c>
      <c r="K80" t="s">
        <v>1351</v>
      </c>
    </row>
    <row r="81" spans="1:11" x14ac:dyDescent="0.2">
      <c r="A81"/>
      <c r="B81"/>
      <c r="C81">
        <v>91107</v>
      </c>
      <c r="D81">
        <v>26</v>
      </c>
      <c r="E81">
        <v>10163419</v>
      </c>
      <c r="F81" t="s">
        <v>914</v>
      </c>
      <c r="G81" t="s">
        <v>1353</v>
      </c>
      <c r="H81" t="s">
        <v>1353</v>
      </c>
      <c r="I81" t="s">
        <v>1353</v>
      </c>
      <c r="J81" t="s">
        <v>1353</v>
      </c>
      <c r="K81" t="s">
        <v>1353</v>
      </c>
    </row>
    <row r="82" spans="1:11" x14ac:dyDescent="0.2">
      <c r="A82"/>
      <c r="B82"/>
      <c r="C82">
        <v>91775</v>
      </c>
      <c r="D82">
        <v>26</v>
      </c>
      <c r="E82">
        <v>10366901</v>
      </c>
      <c r="F82" t="s">
        <v>914</v>
      </c>
      <c r="G82" t="s">
        <v>191</v>
      </c>
      <c r="H82" t="s">
        <v>191</v>
      </c>
      <c r="I82" t="s">
        <v>191</v>
      </c>
      <c r="J82" t="s">
        <v>191</v>
      </c>
      <c r="K82" t="s">
        <v>191</v>
      </c>
    </row>
    <row r="83" spans="1:11" x14ac:dyDescent="0.2">
      <c r="A83"/>
      <c r="B83"/>
      <c r="C83">
        <v>92501</v>
      </c>
      <c r="D83">
        <v>26</v>
      </c>
      <c r="E83">
        <v>1087804</v>
      </c>
      <c r="F83" t="s">
        <v>914</v>
      </c>
      <c r="G83" t="s">
        <v>1367</v>
      </c>
      <c r="H83" t="s">
        <v>1367</v>
      </c>
      <c r="I83" t="s">
        <v>1367</v>
      </c>
      <c r="J83" t="s">
        <v>1367</v>
      </c>
      <c r="K83" t="s">
        <v>1367</v>
      </c>
    </row>
    <row r="84" spans="1:11" x14ac:dyDescent="0.2">
      <c r="A84"/>
      <c r="B84"/>
      <c r="C84">
        <v>90603</v>
      </c>
      <c r="D84">
        <v>25</v>
      </c>
      <c r="E84">
        <v>10042792</v>
      </c>
      <c r="F84" t="s">
        <v>914</v>
      </c>
      <c r="G84" t="s">
        <v>1353</v>
      </c>
      <c r="H84" t="s">
        <v>1353</v>
      </c>
      <c r="I84" t="s">
        <v>1353</v>
      </c>
      <c r="J84" t="s">
        <v>1353</v>
      </c>
      <c r="K84" t="s">
        <v>1353</v>
      </c>
    </row>
    <row r="85" spans="1:11" x14ac:dyDescent="0.2">
      <c r="A85"/>
      <c r="B85"/>
      <c r="C85">
        <v>91001</v>
      </c>
      <c r="D85">
        <v>25</v>
      </c>
      <c r="E85">
        <v>10364811</v>
      </c>
      <c r="F85" t="s">
        <v>914</v>
      </c>
      <c r="G85" t="s">
        <v>1353</v>
      </c>
      <c r="H85" t="s">
        <v>1353</v>
      </c>
      <c r="I85" t="s">
        <v>1353</v>
      </c>
      <c r="J85" t="s">
        <v>1353</v>
      </c>
      <c r="K85" t="s">
        <v>1353</v>
      </c>
    </row>
    <row r="86" spans="1:11" x14ac:dyDescent="0.2">
      <c r="A86"/>
      <c r="B86"/>
      <c r="C86">
        <v>91104</v>
      </c>
      <c r="D86">
        <v>25</v>
      </c>
      <c r="E86">
        <v>100614</v>
      </c>
      <c r="F86" t="s">
        <v>914</v>
      </c>
      <c r="G86" t="s">
        <v>1351</v>
      </c>
      <c r="H86" t="s">
        <v>1353</v>
      </c>
      <c r="I86" t="s">
        <v>1353</v>
      </c>
      <c r="J86" t="s">
        <v>1353</v>
      </c>
      <c r="K86" t="s">
        <v>1351</v>
      </c>
    </row>
    <row r="87" spans="1:11" x14ac:dyDescent="0.2">
      <c r="A87"/>
      <c r="B87"/>
      <c r="C87">
        <v>91104</v>
      </c>
      <c r="D87">
        <v>25</v>
      </c>
      <c r="E87">
        <v>10043346</v>
      </c>
      <c r="F87" t="s">
        <v>919</v>
      </c>
      <c r="G87" t="s">
        <v>1353</v>
      </c>
      <c r="H87" t="s">
        <v>1353</v>
      </c>
      <c r="I87" t="s">
        <v>1353</v>
      </c>
      <c r="J87" t="s">
        <v>1353</v>
      </c>
      <c r="K87" t="s">
        <v>1351</v>
      </c>
    </row>
    <row r="88" spans="1:11" x14ac:dyDescent="0.2">
      <c r="A88"/>
      <c r="B88"/>
      <c r="C88" s="42">
        <v>92882</v>
      </c>
      <c r="D88">
        <v>25</v>
      </c>
      <c r="E88">
        <v>10358332</v>
      </c>
      <c r="F88" t="s">
        <v>914</v>
      </c>
      <c r="G88" t="s">
        <v>1351</v>
      </c>
      <c r="H88" t="s">
        <v>1353</v>
      </c>
      <c r="I88" t="s">
        <v>1351</v>
      </c>
      <c r="J88" t="s">
        <v>1351</v>
      </c>
      <c r="K88" t="s">
        <v>1351</v>
      </c>
    </row>
    <row r="89" spans="1:11" x14ac:dyDescent="0.2">
      <c r="A89"/>
      <c r="B89"/>
      <c r="C89">
        <v>91780</v>
      </c>
      <c r="D89">
        <v>25</v>
      </c>
      <c r="E89">
        <v>10358117</v>
      </c>
      <c r="F89" t="s">
        <v>914</v>
      </c>
      <c r="G89" t="s">
        <v>1353</v>
      </c>
      <c r="H89" t="s">
        <v>1351</v>
      </c>
      <c r="I89" t="s">
        <v>1353</v>
      </c>
      <c r="J89" t="s">
        <v>1351</v>
      </c>
      <c r="K89" t="s">
        <v>1351</v>
      </c>
    </row>
    <row r="90" spans="1:11" x14ac:dyDescent="0.2">
      <c r="A90"/>
      <c r="B90"/>
      <c r="C90">
        <v>91786</v>
      </c>
      <c r="D90">
        <v>25</v>
      </c>
      <c r="E90">
        <v>1366717</v>
      </c>
      <c r="F90" t="s">
        <v>914</v>
      </c>
      <c r="G90" t="s">
        <v>1353</v>
      </c>
      <c r="H90" t="s">
        <v>1353</v>
      </c>
      <c r="I90" t="s">
        <v>1353</v>
      </c>
      <c r="J90" t="s">
        <v>1353</v>
      </c>
      <c r="K90" t="s">
        <v>1353</v>
      </c>
    </row>
    <row r="91" spans="1:11" x14ac:dyDescent="0.2">
      <c r="A91"/>
      <c r="B91"/>
      <c r="C91">
        <v>92316</v>
      </c>
      <c r="D91">
        <v>25</v>
      </c>
      <c r="E91">
        <v>10247799</v>
      </c>
      <c r="F91" t="s">
        <v>914</v>
      </c>
      <c r="G91" t="s">
        <v>1353</v>
      </c>
      <c r="H91" t="s">
        <v>1353</v>
      </c>
      <c r="I91" t="s">
        <v>1353</v>
      </c>
      <c r="J91" t="s">
        <v>1353</v>
      </c>
      <c r="K91" t="s">
        <v>1353</v>
      </c>
    </row>
    <row r="92" spans="1:11" x14ac:dyDescent="0.2">
      <c r="A92"/>
      <c r="B92"/>
      <c r="C92">
        <v>92376</v>
      </c>
      <c r="D92">
        <v>25</v>
      </c>
      <c r="E92">
        <v>10254071</v>
      </c>
      <c r="F92" t="s">
        <v>914</v>
      </c>
      <c r="G92" t="s">
        <v>1353</v>
      </c>
      <c r="H92" t="s">
        <v>1353</v>
      </c>
      <c r="I92" t="s">
        <v>1353</v>
      </c>
      <c r="J92" t="s">
        <v>1353</v>
      </c>
      <c r="K92" t="s">
        <v>1353</v>
      </c>
    </row>
    <row r="93" spans="1:11" x14ac:dyDescent="0.2">
      <c r="A93"/>
      <c r="B93"/>
      <c r="C93">
        <v>92408</v>
      </c>
      <c r="D93">
        <v>25</v>
      </c>
      <c r="E93">
        <v>10042335</v>
      </c>
      <c r="F93" t="s">
        <v>914</v>
      </c>
      <c r="G93" t="s">
        <v>1353</v>
      </c>
      <c r="H93" t="s">
        <v>1353</v>
      </c>
      <c r="I93" t="s">
        <v>1353</v>
      </c>
      <c r="J93" t="s">
        <v>1353</v>
      </c>
      <c r="K93" t="s">
        <v>1353</v>
      </c>
    </row>
    <row r="94" spans="1:11" x14ac:dyDescent="0.2">
      <c r="A94"/>
      <c r="B94"/>
      <c r="C94">
        <v>92408</v>
      </c>
      <c r="D94">
        <v>25</v>
      </c>
      <c r="E94">
        <v>10042523</v>
      </c>
      <c r="F94" t="s">
        <v>914</v>
      </c>
      <c r="G94" t="s">
        <v>1353</v>
      </c>
      <c r="H94" t="s">
        <v>1353</v>
      </c>
      <c r="I94" t="s">
        <v>1353</v>
      </c>
      <c r="J94" t="s">
        <v>1353</v>
      </c>
      <c r="K94" t="s">
        <v>1353</v>
      </c>
    </row>
    <row r="95" spans="1:11" x14ac:dyDescent="0.2">
      <c r="A95"/>
      <c r="B95"/>
      <c r="C95">
        <v>92509</v>
      </c>
      <c r="D95">
        <v>25</v>
      </c>
      <c r="E95">
        <v>10357882</v>
      </c>
      <c r="F95" t="s">
        <v>914</v>
      </c>
      <c r="G95" t="s">
        <v>1357</v>
      </c>
      <c r="H95" t="s">
        <v>1357</v>
      </c>
      <c r="I95" t="s">
        <v>1357</v>
      </c>
      <c r="J95" t="s">
        <v>1357</v>
      </c>
      <c r="K95" t="s">
        <v>1357</v>
      </c>
    </row>
    <row r="96" spans="1:11" x14ac:dyDescent="0.2">
      <c r="A96"/>
      <c r="B96"/>
      <c r="C96">
        <v>93316</v>
      </c>
      <c r="D96">
        <v>25</v>
      </c>
      <c r="E96">
        <v>10151953</v>
      </c>
      <c r="F96" t="s">
        <v>914</v>
      </c>
      <c r="G96" t="s">
        <v>1353</v>
      </c>
      <c r="H96" t="s">
        <v>1353</v>
      </c>
      <c r="I96" t="s">
        <v>1353</v>
      </c>
      <c r="J96" t="s">
        <v>1353</v>
      </c>
      <c r="K96" t="s">
        <v>1353</v>
      </c>
    </row>
    <row r="97" spans="1:11" ht="0.75" customHeight="1" x14ac:dyDescent="0.2">
      <c r="A97"/>
      <c r="B97"/>
      <c r="C97">
        <v>92376</v>
      </c>
      <c r="D97">
        <v>24</v>
      </c>
      <c r="E97">
        <v>10133064</v>
      </c>
      <c r="F97" t="s">
        <v>914</v>
      </c>
      <c r="G97" t="s">
        <v>1367</v>
      </c>
      <c r="H97" t="s">
        <v>1367</v>
      </c>
      <c r="I97" t="s">
        <v>1367</v>
      </c>
      <c r="J97" t="s">
        <v>1367</v>
      </c>
      <c r="K97" t="s">
        <v>1367</v>
      </c>
    </row>
    <row r="98" spans="1:11" x14ac:dyDescent="0.2">
      <c r="A98"/>
      <c r="B98"/>
      <c r="C98">
        <v>92376</v>
      </c>
      <c r="D98">
        <v>24</v>
      </c>
      <c r="E98">
        <v>10177226</v>
      </c>
      <c r="F98" t="s">
        <v>914</v>
      </c>
      <c r="G98" t="s">
        <v>1356</v>
      </c>
      <c r="H98" t="s">
        <v>1356</v>
      </c>
      <c r="I98" t="s">
        <v>1351</v>
      </c>
      <c r="J98" t="s">
        <v>191</v>
      </c>
      <c r="K98" t="s">
        <v>191</v>
      </c>
    </row>
    <row r="99" spans="1:11" x14ac:dyDescent="0.2">
      <c r="A99"/>
      <c r="B99"/>
      <c r="C99">
        <v>92377</v>
      </c>
      <c r="D99">
        <v>24</v>
      </c>
      <c r="E99">
        <v>10234495</v>
      </c>
      <c r="F99" t="s">
        <v>914</v>
      </c>
      <c r="G99" t="s">
        <v>195</v>
      </c>
      <c r="H99" t="s">
        <v>1353</v>
      </c>
      <c r="I99" t="s">
        <v>1353</v>
      </c>
      <c r="J99" t="s">
        <v>1353</v>
      </c>
      <c r="K99" t="s">
        <v>1353</v>
      </c>
    </row>
    <row r="100" spans="1:11" x14ac:dyDescent="0.2">
      <c r="A100"/>
      <c r="B100"/>
      <c r="C100">
        <v>92378</v>
      </c>
      <c r="D100">
        <v>24</v>
      </c>
      <c r="E100">
        <v>10344423</v>
      </c>
      <c r="F100" t="s">
        <v>914</v>
      </c>
      <c r="G100" t="s">
        <v>1353</v>
      </c>
      <c r="H100" t="s">
        <v>1353</v>
      </c>
      <c r="I100" t="s">
        <v>1353</v>
      </c>
      <c r="J100" t="s">
        <v>1353</v>
      </c>
      <c r="K100" t="s">
        <v>1353</v>
      </c>
    </row>
    <row r="101" spans="1:11" x14ac:dyDescent="0.2">
      <c r="A101"/>
      <c r="B101"/>
      <c r="C101">
        <v>91024</v>
      </c>
      <c r="D101">
        <v>23</v>
      </c>
      <c r="E101">
        <v>10308742</v>
      </c>
      <c r="F101" t="s">
        <v>914</v>
      </c>
      <c r="G101" t="s">
        <v>1351</v>
      </c>
      <c r="H101" t="s">
        <v>1351</v>
      </c>
      <c r="I101" t="s">
        <v>1353</v>
      </c>
      <c r="J101" t="s">
        <v>1353</v>
      </c>
      <c r="K101" t="s">
        <v>1353</v>
      </c>
    </row>
    <row r="102" spans="1:11" x14ac:dyDescent="0.2">
      <c r="A102"/>
      <c r="B102"/>
      <c r="C102">
        <v>92337</v>
      </c>
      <c r="D102">
        <v>23</v>
      </c>
      <c r="E102">
        <v>10349685</v>
      </c>
      <c r="F102" t="s">
        <v>914</v>
      </c>
      <c r="G102" t="s">
        <v>1356</v>
      </c>
      <c r="H102" t="s">
        <v>1351</v>
      </c>
      <c r="I102" t="s">
        <v>1351</v>
      </c>
      <c r="J102" t="s">
        <v>1351</v>
      </c>
      <c r="K102" t="s">
        <v>202</v>
      </c>
    </row>
    <row r="103" spans="1:11" x14ac:dyDescent="0.2">
      <c r="A103"/>
      <c r="B103"/>
      <c r="C103">
        <v>92376</v>
      </c>
      <c r="D103">
        <v>23</v>
      </c>
      <c r="E103">
        <v>10364310</v>
      </c>
      <c r="F103" t="s">
        <v>914</v>
      </c>
      <c r="G103" t="s">
        <v>1353</v>
      </c>
      <c r="H103" t="s">
        <v>1353</v>
      </c>
      <c r="I103" t="s">
        <v>1353</v>
      </c>
      <c r="J103" t="s">
        <v>1353</v>
      </c>
      <c r="K103" t="s">
        <v>1353</v>
      </c>
    </row>
    <row r="104" spans="1:11" x14ac:dyDescent="0.2">
      <c r="A104"/>
      <c r="B104"/>
      <c r="C104">
        <v>91007</v>
      </c>
      <c r="D104">
        <v>22</v>
      </c>
      <c r="E104">
        <v>10347849</v>
      </c>
      <c r="F104" t="s">
        <v>914</v>
      </c>
      <c r="G104" t="s">
        <v>1353</v>
      </c>
      <c r="H104" t="s">
        <v>1353</v>
      </c>
      <c r="I104" t="s">
        <v>1353</v>
      </c>
      <c r="J104" t="s">
        <v>1353</v>
      </c>
      <c r="K104" t="s">
        <v>1353</v>
      </c>
    </row>
    <row r="105" spans="1:11" x14ac:dyDescent="0.2">
      <c r="A105"/>
      <c r="B105"/>
      <c r="C105">
        <v>92335</v>
      </c>
      <c r="D105">
        <v>22</v>
      </c>
      <c r="E105">
        <v>10043613</v>
      </c>
      <c r="F105" t="s">
        <v>914</v>
      </c>
      <c r="G105" t="s">
        <v>1353</v>
      </c>
      <c r="H105" t="s">
        <v>1353</v>
      </c>
      <c r="I105" t="s">
        <v>1353</v>
      </c>
      <c r="J105" t="s">
        <v>1353</v>
      </c>
      <c r="K105" t="s">
        <v>1353</v>
      </c>
    </row>
    <row r="106" spans="1:11" x14ac:dyDescent="0.2">
      <c r="A106"/>
      <c r="B106"/>
      <c r="C106">
        <v>92376</v>
      </c>
      <c r="D106">
        <v>22</v>
      </c>
      <c r="E106">
        <v>10292177</v>
      </c>
      <c r="F106" t="s">
        <v>914</v>
      </c>
      <c r="G106" t="s">
        <v>1353</v>
      </c>
      <c r="H106" t="s">
        <v>1353</v>
      </c>
      <c r="I106" t="s">
        <v>1353</v>
      </c>
      <c r="J106" t="s">
        <v>1353</v>
      </c>
      <c r="K106" t="s">
        <v>1353</v>
      </c>
    </row>
    <row r="107" spans="1:11" x14ac:dyDescent="0.2">
      <c r="A107"/>
      <c r="B107"/>
      <c r="C107">
        <v>92835</v>
      </c>
      <c r="D107">
        <v>21</v>
      </c>
      <c r="E107">
        <v>10186276</v>
      </c>
      <c r="F107" t="s">
        <v>914</v>
      </c>
      <c r="G107" t="s">
        <v>1353</v>
      </c>
      <c r="H107" t="s">
        <v>1351</v>
      </c>
      <c r="I107" t="s">
        <v>1353</v>
      </c>
      <c r="J107" t="s">
        <v>1353</v>
      </c>
      <c r="K107" t="s">
        <v>1353</v>
      </c>
    </row>
    <row r="108" spans="1:11" x14ac:dyDescent="0.2">
      <c r="A108"/>
      <c r="B108"/>
      <c r="C108">
        <v>92878</v>
      </c>
      <c r="D108">
        <v>21</v>
      </c>
      <c r="E108">
        <v>10043248</v>
      </c>
      <c r="F108" t="s">
        <v>914</v>
      </c>
      <c r="G108" t="s">
        <v>1353</v>
      </c>
      <c r="H108" t="s">
        <v>1351</v>
      </c>
      <c r="I108" t="s">
        <v>1351</v>
      </c>
      <c r="J108" t="s">
        <v>1351</v>
      </c>
      <c r="K108" t="s">
        <v>1351</v>
      </c>
    </row>
    <row r="109" spans="1:11" x14ac:dyDescent="0.2">
      <c r="A109"/>
      <c r="B109"/>
      <c r="C109">
        <v>92880</v>
      </c>
      <c r="D109">
        <v>21</v>
      </c>
      <c r="E109">
        <v>10222913</v>
      </c>
      <c r="F109" t="s">
        <v>914</v>
      </c>
      <c r="G109" t="s">
        <v>1353</v>
      </c>
      <c r="H109" t="s">
        <v>1353</v>
      </c>
      <c r="I109" t="s">
        <v>1353</v>
      </c>
      <c r="J109" t="s">
        <v>1353</v>
      </c>
      <c r="K109" t="s">
        <v>1353</v>
      </c>
    </row>
    <row r="110" spans="1:11" x14ac:dyDescent="0.2">
      <c r="A110"/>
      <c r="B110"/>
      <c r="C110">
        <v>90022</v>
      </c>
      <c r="D110">
        <v>20</v>
      </c>
      <c r="E110">
        <v>10358315</v>
      </c>
      <c r="F110" t="s">
        <v>914</v>
      </c>
      <c r="G110" t="s">
        <v>1353</v>
      </c>
      <c r="H110" t="s">
        <v>1353</v>
      </c>
      <c r="I110" t="s">
        <v>1353</v>
      </c>
      <c r="J110" t="s">
        <v>1353</v>
      </c>
      <c r="K110" t="s">
        <v>1353</v>
      </c>
    </row>
    <row r="111" spans="1:11" x14ac:dyDescent="0.2">
      <c r="A111"/>
      <c r="B111"/>
      <c r="C111">
        <v>91001</v>
      </c>
      <c r="D111">
        <v>20</v>
      </c>
      <c r="E111">
        <v>10035840</v>
      </c>
      <c r="F111" t="s">
        <v>914</v>
      </c>
      <c r="G111" t="s">
        <v>1353</v>
      </c>
      <c r="H111" t="s">
        <v>1353</v>
      </c>
      <c r="I111" t="s">
        <v>1353</v>
      </c>
      <c r="J111" t="s">
        <v>1353</v>
      </c>
      <c r="K111" t="s">
        <v>1353</v>
      </c>
    </row>
    <row r="112" spans="1:11" x14ac:dyDescent="0.2">
      <c r="A112"/>
      <c r="B112"/>
      <c r="C112">
        <v>91016</v>
      </c>
      <c r="D112">
        <v>20</v>
      </c>
      <c r="E112">
        <v>10364720</v>
      </c>
      <c r="F112" t="s">
        <v>914</v>
      </c>
      <c r="G112" t="s">
        <v>1358</v>
      </c>
      <c r="H112" t="s">
        <v>1351</v>
      </c>
      <c r="I112" t="s">
        <v>1358</v>
      </c>
      <c r="J112" t="s">
        <v>1351</v>
      </c>
      <c r="K112" t="s">
        <v>1351</v>
      </c>
    </row>
    <row r="113" spans="1:11" x14ac:dyDescent="0.2">
      <c r="A113"/>
      <c r="B113"/>
      <c r="C113">
        <v>91701</v>
      </c>
      <c r="D113">
        <v>20</v>
      </c>
      <c r="E113">
        <v>10284832</v>
      </c>
      <c r="F113" t="s">
        <v>914</v>
      </c>
      <c r="G113" t="s">
        <v>1353</v>
      </c>
      <c r="H113" t="s">
        <v>1353</v>
      </c>
      <c r="I113" t="s">
        <v>1353</v>
      </c>
      <c r="J113" t="s">
        <v>1353</v>
      </c>
      <c r="K113" t="s">
        <v>1353</v>
      </c>
    </row>
    <row r="114" spans="1:11" x14ac:dyDescent="0.2">
      <c r="A114"/>
      <c r="B114"/>
      <c r="C114">
        <v>91730</v>
      </c>
      <c r="D114">
        <v>20</v>
      </c>
      <c r="E114">
        <v>10042917</v>
      </c>
      <c r="F114" t="s">
        <v>914</v>
      </c>
      <c r="G114" t="s">
        <v>1353</v>
      </c>
      <c r="H114" t="s">
        <v>1353</v>
      </c>
      <c r="I114" t="s">
        <v>1353</v>
      </c>
      <c r="J114" t="s">
        <v>1353</v>
      </c>
      <c r="K114" t="s">
        <v>1353</v>
      </c>
    </row>
    <row r="115" spans="1:11" x14ac:dyDescent="0.2">
      <c r="A115"/>
      <c r="B115"/>
      <c r="C115">
        <v>91764</v>
      </c>
      <c r="D115">
        <v>20</v>
      </c>
      <c r="E115">
        <v>10090700</v>
      </c>
      <c r="F115" t="s">
        <v>914</v>
      </c>
      <c r="G115" t="s">
        <v>1353</v>
      </c>
      <c r="H115" t="s">
        <v>1353</v>
      </c>
      <c r="I115" t="s">
        <v>1353</v>
      </c>
      <c r="J115" t="s">
        <v>1353</v>
      </c>
      <c r="K115" t="s">
        <v>1353</v>
      </c>
    </row>
    <row r="116" spans="1:11" x14ac:dyDescent="0.2">
      <c r="A116"/>
      <c r="B116"/>
      <c r="C116">
        <v>91790</v>
      </c>
      <c r="D116">
        <v>20</v>
      </c>
      <c r="E116">
        <v>10361331</v>
      </c>
      <c r="F116" t="s">
        <v>914</v>
      </c>
      <c r="G116" t="s">
        <v>1353</v>
      </c>
      <c r="H116" t="s">
        <v>1353</v>
      </c>
      <c r="I116" t="s">
        <v>1353</v>
      </c>
      <c r="J116" t="s">
        <v>1353</v>
      </c>
      <c r="K116" t="s">
        <v>1353</v>
      </c>
    </row>
    <row r="117" spans="1:11" x14ac:dyDescent="0.2">
      <c r="A117"/>
      <c r="B117"/>
      <c r="C117">
        <v>92316</v>
      </c>
      <c r="D117">
        <v>20</v>
      </c>
      <c r="E117">
        <v>10197150</v>
      </c>
      <c r="F117" t="s">
        <v>914</v>
      </c>
      <c r="G117" t="s">
        <v>191</v>
      </c>
      <c r="H117" t="s">
        <v>191</v>
      </c>
      <c r="I117" t="s">
        <v>191</v>
      </c>
      <c r="J117" t="s">
        <v>191</v>
      </c>
      <c r="K117" t="s">
        <v>191</v>
      </c>
    </row>
    <row r="118" spans="1:11" x14ac:dyDescent="0.2">
      <c r="A118"/>
      <c r="B118"/>
      <c r="C118">
        <v>92335</v>
      </c>
      <c r="D118">
        <v>20</v>
      </c>
      <c r="E118">
        <v>1043096</v>
      </c>
      <c r="F118" t="s">
        <v>914</v>
      </c>
      <c r="G118" t="s">
        <v>1373</v>
      </c>
      <c r="H118" t="s">
        <v>1373</v>
      </c>
      <c r="I118" t="s">
        <v>1373</v>
      </c>
      <c r="J118" t="s">
        <v>1373</v>
      </c>
      <c r="K118" t="s">
        <v>1373</v>
      </c>
    </row>
    <row r="119" spans="1:11" x14ac:dyDescent="0.2">
      <c r="A119"/>
      <c r="B119"/>
      <c r="C119">
        <v>92336</v>
      </c>
      <c r="D119">
        <v>20</v>
      </c>
      <c r="E119">
        <v>10042857</v>
      </c>
      <c r="F119" t="s">
        <v>914</v>
      </c>
      <c r="G119" t="s">
        <v>195</v>
      </c>
      <c r="H119" t="s">
        <v>1353</v>
      </c>
      <c r="I119" t="s">
        <v>1353</v>
      </c>
      <c r="J119" t="s">
        <v>1353</v>
      </c>
      <c r="K119" t="s">
        <v>1353</v>
      </c>
    </row>
    <row r="120" spans="1:11" x14ac:dyDescent="0.2">
      <c r="A120"/>
      <c r="B120"/>
      <c r="C120">
        <v>92337</v>
      </c>
      <c r="D120">
        <v>20</v>
      </c>
      <c r="E120">
        <v>10359053</v>
      </c>
      <c r="F120" t="s">
        <v>914</v>
      </c>
      <c r="G120" t="s">
        <v>199</v>
      </c>
      <c r="H120" t="s">
        <v>1353</v>
      </c>
      <c r="I120" t="s">
        <v>1353</v>
      </c>
      <c r="J120" t="s">
        <v>1353</v>
      </c>
      <c r="K120" t="s">
        <v>1353</v>
      </c>
    </row>
    <row r="121" spans="1:11" x14ac:dyDescent="0.2">
      <c r="A121"/>
      <c r="B121"/>
      <c r="C121">
        <v>92376</v>
      </c>
      <c r="D121">
        <v>20</v>
      </c>
      <c r="E121">
        <v>10043586</v>
      </c>
      <c r="F121" t="s">
        <v>914</v>
      </c>
      <c r="G121" t="s">
        <v>1353</v>
      </c>
      <c r="H121" t="s">
        <v>1353</v>
      </c>
      <c r="I121" t="s">
        <v>1353</v>
      </c>
      <c r="J121" t="s">
        <v>1353</v>
      </c>
      <c r="K121" t="s">
        <v>1353</v>
      </c>
    </row>
    <row r="122" spans="1:11" x14ac:dyDescent="0.2">
      <c r="A122"/>
      <c r="B122"/>
      <c r="C122">
        <v>92377</v>
      </c>
      <c r="D122">
        <v>20</v>
      </c>
      <c r="E122">
        <v>10368811</v>
      </c>
      <c r="F122" t="s">
        <v>919</v>
      </c>
      <c r="G122" t="s">
        <v>1353</v>
      </c>
      <c r="H122" t="s">
        <v>1353</v>
      </c>
      <c r="I122" t="s">
        <v>1353</v>
      </c>
      <c r="J122" t="s">
        <v>1353</v>
      </c>
      <c r="K122" t="s">
        <v>1353</v>
      </c>
    </row>
    <row r="123" spans="1:11" x14ac:dyDescent="0.2">
      <c r="A123"/>
      <c r="B123"/>
      <c r="C123">
        <v>92509</v>
      </c>
      <c r="D123">
        <v>20</v>
      </c>
      <c r="E123">
        <v>10351331</v>
      </c>
      <c r="F123" t="s">
        <v>914</v>
      </c>
      <c r="G123" t="s">
        <v>1353</v>
      </c>
      <c r="H123" t="s">
        <v>1353</v>
      </c>
      <c r="I123" t="s">
        <v>1353</v>
      </c>
      <c r="J123" t="s">
        <v>1353</v>
      </c>
      <c r="K123" t="s">
        <v>1353</v>
      </c>
    </row>
    <row r="124" spans="1:11" x14ac:dyDescent="0.2">
      <c r="A124"/>
      <c r="B124"/>
      <c r="C124">
        <v>92821</v>
      </c>
      <c r="D124">
        <v>20</v>
      </c>
      <c r="E124">
        <v>10364834</v>
      </c>
      <c r="F124" t="s">
        <v>914</v>
      </c>
      <c r="G124" t="s">
        <v>1353</v>
      </c>
      <c r="H124" t="s">
        <v>1353</v>
      </c>
      <c r="I124" t="s">
        <v>1351</v>
      </c>
      <c r="J124" t="s">
        <v>1353</v>
      </c>
      <c r="K124" t="s">
        <v>1351</v>
      </c>
    </row>
    <row r="125" spans="1:11" x14ac:dyDescent="0.2">
      <c r="A125"/>
      <c r="B125"/>
      <c r="C125">
        <v>92880</v>
      </c>
      <c r="D125">
        <v>20</v>
      </c>
      <c r="E125">
        <v>10368799</v>
      </c>
      <c r="F125" t="s">
        <v>914</v>
      </c>
      <c r="G125" t="s">
        <v>1353</v>
      </c>
      <c r="H125" t="s">
        <v>1351</v>
      </c>
      <c r="I125" t="s">
        <v>1353</v>
      </c>
      <c r="J125" t="s">
        <v>1351</v>
      </c>
      <c r="K125" t="s">
        <v>1351</v>
      </c>
    </row>
    <row r="126" spans="1:11" x14ac:dyDescent="0.2">
      <c r="A126"/>
      <c r="B126"/>
      <c r="C126">
        <v>92337</v>
      </c>
      <c r="D126">
        <v>19</v>
      </c>
      <c r="E126">
        <v>10092419</v>
      </c>
      <c r="F126" t="s">
        <v>914</v>
      </c>
      <c r="G126" t="s">
        <v>202</v>
      </c>
      <c r="H126" t="s">
        <v>1353</v>
      </c>
      <c r="I126" t="s">
        <v>1353</v>
      </c>
      <c r="J126" t="s">
        <v>1353</v>
      </c>
      <c r="K126" t="s">
        <v>1353</v>
      </c>
    </row>
    <row r="127" spans="1:11" x14ac:dyDescent="0.2">
      <c r="A127"/>
      <c r="B127"/>
      <c r="C127">
        <v>91016</v>
      </c>
      <c r="D127">
        <v>18</v>
      </c>
      <c r="E127">
        <v>10364831</v>
      </c>
      <c r="F127" t="s">
        <v>914</v>
      </c>
      <c r="G127" t="s">
        <v>1353</v>
      </c>
      <c r="H127" t="s">
        <v>1351</v>
      </c>
      <c r="I127" t="s">
        <v>1351</v>
      </c>
      <c r="J127" t="s">
        <v>1352</v>
      </c>
      <c r="K127" t="s">
        <v>191</v>
      </c>
    </row>
    <row r="128" spans="1:11" x14ac:dyDescent="0.2">
      <c r="A128"/>
      <c r="B128"/>
      <c r="C128">
        <v>91706</v>
      </c>
      <c r="D128">
        <v>18</v>
      </c>
      <c r="E128">
        <v>10118280</v>
      </c>
      <c r="F128" t="s">
        <v>914</v>
      </c>
      <c r="G128" t="s">
        <v>1352</v>
      </c>
      <c r="H128" t="s">
        <v>1352</v>
      </c>
      <c r="I128" t="s">
        <v>1352</v>
      </c>
      <c r="J128" t="s">
        <v>1352</v>
      </c>
      <c r="K128" t="s">
        <v>1353</v>
      </c>
    </row>
    <row r="129" spans="1:11" x14ac:dyDescent="0.2">
      <c r="A129"/>
      <c r="B129"/>
      <c r="C129">
        <v>91706</v>
      </c>
      <c r="D129">
        <v>18</v>
      </c>
      <c r="E129">
        <v>10347762</v>
      </c>
      <c r="F129" t="s">
        <v>914</v>
      </c>
      <c r="G129" t="s">
        <v>1351</v>
      </c>
      <c r="H129" t="s">
        <v>1353</v>
      </c>
      <c r="I129" t="s">
        <v>1353</v>
      </c>
      <c r="J129" t="s">
        <v>1353</v>
      </c>
      <c r="K129" t="s">
        <v>1351</v>
      </c>
    </row>
    <row r="130" spans="1:11" x14ac:dyDescent="0.2">
      <c r="A130"/>
      <c r="B130"/>
      <c r="C130">
        <v>91752</v>
      </c>
      <c r="D130">
        <v>18</v>
      </c>
      <c r="E130">
        <v>10354720</v>
      </c>
      <c r="F130" t="s">
        <v>914</v>
      </c>
      <c r="G130" t="s">
        <v>199</v>
      </c>
      <c r="H130" t="s">
        <v>199</v>
      </c>
      <c r="I130" t="s">
        <v>1353</v>
      </c>
      <c r="J130" t="s">
        <v>1353</v>
      </c>
      <c r="K130" t="s">
        <v>1353</v>
      </c>
    </row>
    <row r="131" spans="1:11" x14ac:dyDescent="0.2">
      <c r="A131"/>
      <c r="B131"/>
      <c r="C131">
        <v>91752</v>
      </c>
      <c r="D131">
        <v>18</v>
      </c>
      <c r="E131">
        <v>10199324</v>
      </c>
      <c r="F131" t="s">
        <v>914</v>
      </c>
      <c r="G131" t="s">
        <v>1351</v>
      </c>
      <c r="H131" t="s">
        <v>1351</v>
      </c>
      <c r="I131" t="s">
        <v>1351</v>
      </c>
      <c r="J131" t="s">
        <v>1351</v>
      </c>
      <c r="K131" t="s">
        <v>1351</v>
      </c>
    </row>
    <row r="132" spans="1:11" x14ac:dyDescent="0.2">
      <c r="A132"/>
      <c r="B132"/>
      <c r="C132">
        <v>91763</v>
      </c>
      <c r="D132">
        <v>18</v>
      </c>
      <c r="E132">
        <v>10043591</v>
      </c>
      <c r="F132" t="s">
        <v>914</v>
      </c>
      <c r="G132" t="s">
        <v>1353</v>
      </c>
      <c r="H132" t="s">
        <v>1353</v>
      </c>
      <c r="I132" t="s">
        <v>1353</v>
      </c>
      <c r="J132" t="s">
        <v>1353</v>
      </c>
      <c r="K132" t="s">
        <v>1353</v>
      </c>
    </row>
    <row r="133" spans="1:11" x14ac:dyDescent="0.2">
      <c r="A133"/>
      <c r="B133"/>
      <c r="C133">
        <v>92336</v>
      </c>
      <c r="D133">
        <v>18</v>
      </c>
      <c r="E133">
        <v>10243796</v>
      </c>
      <c r="F133" t="s">
        <v>914</v>
      </c>
      <c r="G133" t="s">
        <v>191</v>
      </c>
      <c r="H133" t="s">
        <v>191</v>
      </c>
      <c r="I133" t="s">
        <v>191</v>
      </c>
      <c r="J133" t="s">
        <v>191</v>
      </c>
      <c r="K133" t="s">
        <v>191</v>
      </c>
    </row>
    <row r="134" spans="1:11" x14ac:dyDescent="0.2">
      <c r="A134"/>
      <c r="B134"/>
      <c r="C134">
        <v>92336</v>
      </c>
      <c r="D134">
        <v>18</v>
      </c>
      <c r="E134">
        <v>10361311</v>
      </c>
      <c r="F134" t="s">
        <v>914</v>
      </c>
      <c r="G134" t="s">
        <v>1353</v>
      </c>
      <c r="H134" t="s">
        <v>1353</v>
      </c>
      <c r="I134" t="s">
        <v>1353</v>
      </c>
      <c r="J134" t="s">
        <v>1353</v>
      </c>
      <c r="K134" t="s">
        <v>1353</v>
      </c>
    </row>
    <row r="135" spans="1:11" x14ac:dyDescent="0.2">
      <c r="A135"/>
      <c r="B135"/>
      <c r="C135">
        <v>92336</v>
      </c>
      <c r="D135">
        <v>18</v>
      </c>
      <c r="E135">
        <v>10042188</v>
      </c>
      <c r="F135" t="s">
        <v>914</v>
      </c>
      <c r="G135" t="s">
        <v>195</v>
      </c>
      <c r="H135" t="s">
        <v>195</v>
      </c>
      <c r="I135" t="s">
        <v>195</v>
      </c>
      <c r="J135" t="s">
        <v>195</v>
      </c>
      <c r="K135" t="s">
        <v>195</v>
      </c>
    </row>
    <row r="136" spans="1:11" x14ac:dyDescent="0.2">
      <c r="A136"/>
      <c r="B136"/>
      <c r="C136">
        <v>92336</v>
      </c>
      <c r="D136">
        <v>18</v>
      </c>
      <c r="E136">
        <v>10289126</v>
      </c>
      <c r="F136" t="s">
        <v>914</v>
      </c>
      <c r="G136" t="s">
        <v>1353</v>
      </c>
      <c r="H136" t="s">
        <v>1353</v>
      </c>
      <c r="I136" t="s">
        <v>1353</v>
      </c>
      <c r="J136" t="s">
        <v>1353</v>
      </c>
      <c r="K136" t="s">
        <v>1353</v>
      </c>
    </row>
    <row r="137" spans="1:11" x14ac:dyDescent="0.2">
      <c r="A137"/>
      <c r="B137"/>
      <c r="C137">
        <v>92337</v>
      </c>
      <c r="D137">
        <v>18</v>
      </c>
      <c r="E137">
        <v>10026000</v>
      </c>
      <c r="F137" t="s">
        <v>914</v>
      </c>
      <c r="G137" t="s">
        <v>1352</v>
      </c>
      <c r="H137" t="s">
        <v>1352</v>
      </c>
      <c r="I137" t="s">
        <v>195</v>
      </c>
      <c r="J137" t="s">
        <v>195</v>
      </c>
      <c r="K137" t="s">
        <v>1352</v>
      </c>
    </row>
    <row r="138" spans="1:11" x14ac:dyDescent="0.2">
      <c r="A138"/>
      <c r="B138"/>
      <c r="C138">
        <v>92337</v>
      </c>
      <c r="D138">
        <v>18</v>
      </c>
      <c r="E138">
        <v>106021</v>
      </c>
      <c r="F138" t="s">
        <v>914</v>
      </c>
      <c r="G138" t="s">
        <v>1358</v>
      </c>
      <c r="H138" t="s">
        <v>1358</v>
      </c>
      <c r="I138" t="s">
        <v>1358</v>
      </c>
      <c r="J138" t="s">
        <v>1358</v>
      </c>
      <c r="K138" t="s">
        <v>1358</v>
      </c>
    </row>
    <row r="139" spans="1:11" x14ac:dyDescent="0.2">
      <c r="A139"/>
      <c r="B139"/>
      <c r="C139">
        <v>91709</v>
      </c>
      <c r="D139">
        <v>17</v>
      </c>
      <c r="E139">
        <v>10351889</v>
      </c>
      <c r="F139" t="s">
        <v>914</v>
      </c>
      <c r="G139" t="s">
        <v>1353</v>
      </c>
      <c r="H139" t="s">
        <v>1353</v>
      </c>
      <c r="I139" t="s">
        <v>1351</v>
      </c>
      <c r="J139" t="s">
        <v>1351</v>
      </c>
      <c r="K139" t="s">
        <v>1353</v>
      </c>
    </row>
    <row r="140" spans="1:11" x14ac:dyDescent="0.2">
      <c r="A140"/>
      <c r="B140"/>
      <c r="C140">
        <v>92335</v>
      </c>
      <c r="D140">
        <v>17</v>
      </c>
      <c r="E140">
        <v>10370088</v>
      </c>
      <c r="F140" t="s">
        <v>914</v>
      </c>
      <c r="G140" t="s">
        <v>1353</v>
      </c>
      <c r="H140" t="s">
        <v>1353</v>
      </c>
      <c r="I140" t="s">
        <v>1353</v>
      </c>
      <c r="J140" t="s">
        <v>1353</v>
      </c>
      <c r="K140" t="s">
        <v>1353</v>
      </c>
    </row>
    <row r="141" spans="1:11" x14ac:dyDescent="0.2">
      <c r="A141"/>
      <c r="B141"/>
      <c r="C141">
        <v>92335</v>
      </c>
      <c r="D141">
        <v>17</v>
      </c>
      <c r="E141">
        <v>10366133</v>
      </c>
      <c r="F141" t="s">
        <v>914</v>
      </c>
      <c r="G141" t="s">
        <v>1353</v>
      </c>
      <c r="H141" t="s">
        <v>1353</v>
      </c>
      <c r="I141" t="s">
        <v>1353</v>
      </c>
      <c r="J141" t="s">
        <v>1353</v>
      </c>
      <c r="K141" t="s">
        <v>1351</v>
      </c>
    </row>
    <row r="142" spans="1:11" x14ac:dyDescent="0.2">
      <c r="A142"/>
      <c r="B142"/>
      <c r="C142">
        <v>92336</v>
      </c>
      <c r="D142">
        <v>17</v>
      </c>
      <c r="E142">
        <v>10125379</v>
      </c>
      <c r="F142" t="s">
        <v>914</v>
      </c>
      <c r="G142" t="s">
        <v>1353</v>
      </c>
      <c r="H142" t="s">
        <v>1353</v>
      </c>
      <c r="I142" t="s">
        <v>1353</v>
      </c>
      <c r="J142" t="s">
        <v>1353</v>
      </c>
      <c r="K142" t="s">
        <v>1353</v>
      </c>
    </row>
    <row r="143" spans="1:11" x14ac:dyDescent="0.2">
      <c r="A143"/>
      <c r="B143"/>
      <c r="C143">
        <v>92336</v>
      </c>
      <c r="D143">
        <v>17</v>
      </c>
      <c r="E143">
        <v>10354851</v>
      </c>
      <c r="F143" t="s">
        <v>914</v>
      </c>
      <c r="G143" t="s">
        <v>1353</v>
      </c>
      <c r="H143" t="s">
        <v>1353</v>
      </c>
      <c r="I143" t="s">
        <v>1353</v>
      </c>
      <c r="J143" t="s">
        <v>1353</v>
      </c>
      <c r="K143" t="s">
        <v>1353</v>
      </c>
    </row>
    <row r="144" spans="1:11" x14ac:dyDescent="0.2">
      <c r="A144"/>
      <c r="B144"/>
      <c r="C144">
        <v>92337</v>
      </c>
      <c r="D144">
        <v>17</v>
      </c>
      <c r="E144">
        <v>10351475</v>
      </c>
      <c r="F144" t="s">
        <v>914</v>
      </c>
      <c r="G144" t="s">
        <v>199</v>
      </c>
      <c r="H144" t="s">
        <v>199</v>
      </c>
      <c r="I144" t="s">
        <v>1353</v>
      </c>
      <c r="J144" t="s">
        <v>1353</v>
      </c>
      <c r="K144" t="s">
        <v>1353</v>
      </c>
    </row>
    <row r="145" spans="1:11" x14ac:dyDescent="0.2">
      <c r="A145"/>
      <c r="B145"/>
      <c r="C145">
        <v>91710</v>
      </c>
      <c r="D145">
        <v>16</v>
      </c>
      <c r="E145">
        <v>10368759</v>
      </c>
      <c r="F145" t="s">
        <v>914</v>
      </c>
      <c r="G145" t="s">
        <v>1353</v>
      </c>
      <c r="H145" t="s">
        <v>1353</v>
      </c>
      <c r="I145" t="s">
        <v>1353</v>
      </c>
      <c r="J145" t="s">
        <v>1353</v>
      </c>
      <c r="K145" t="s">
        <v>1353</v>
      </c>
    </row>
    <row r="146" spans="1:11" x14ac:dyDescent="0.2">
      <c r="A146"/>
      <c r="B146"/>
      <c r="C146">
        <v>92336</v>
      </c>
      <c r="D146">
        <v>16</v>
      </c>
      <c r="E146">
        <v>10144676</v>
      </c>
      <c r="F146" t="s">
        <v>914</v>
      </c>
      <c r="G146" t="s">
        <v>1353</v>
      </c>
      <c r="H146" t="s">
        <v>1353</v>
      </c>
      <c r="I146" t="s">
        <v>1353</v>
      </c>
      <c r="J146" t="s">
        <v>1353</v>
      </c>
      <c r="K146" t="s">
        <v>1353</v>
      </c>
    </row>
    <row r="147" spans="1:11" x14ac:dyDescent="0.2">
      <c r="A147"/>
      <c r="B147"/>
      <c r="C147">
        <v>92336</v>
      </c>
      <c r="D147">
        <v>16</v>
      </c>
      <c r="E147">
        <v>10043226</v>
      </c>
      <c r="F147" t="s">
        <v>914</v>
      </c>
      <c r="G147" t="s">
        <v>1367</v>
      </c>
      <c r="H147" t="s">
        <v>1367</v>
      </c>
      <c r="I147" t="s">
        <v>1367</v>
      </c>
      <c r="J147" t="s">
        <v>1367</v>
      </c>
      <c r="K147" t="s">
        <v>1367</v>
      </c>
    </row>
    <row r="148" spans="1:11" x14ac:dyDescent="0.2">
      <c r="A148"/>
      <c r="B148"/>
      <c r="C148">
        <v>92336</v>
      </c>
      <c r="D148">
        <v>16</v>
      </c>
      <c r="E148">
        <v>10271730</v>
      </c>
      <c r="F148" t="s">
        <v>914</v>
      </c>
      <c r="G148" t="s">
        <v>1353</v>
      </c>
      <c r="H148" t="s">
        <v>1353</v>
      </c>
      <c r="I148" t="s">
        <v>1353</v>
      </c>
      <c r="J148" t="s">
        <v>1353</v>
      </c>
      <c r="K148" t="s">
        <v>1353</v>
      </c>
    </row>
    <row r="149" spans="1:11" x14ac:dyDescent="0.2">
      <c r="A149"/>
      <c r="B149"/>
      <c r="C149">
        <v>92337</v>
      </c>
      <c r="D149">
        <v>16</v>
      </c>
      <c r="E149">
        <v>10034729</v>
      </c>
      <c r="F149" t="s">
        <v>914</v>
      </c>
      <c r="G149" t="s">
        <v>1353</v>
      </c>
      <c r="H149" t="s">
        <v>1353</v>
      </c>
      <c r="I149" t="s">
        <v>1353</v>
      </c>
      <c r="J149" t="s">
        <v>1353</v>
      </c>
      <c r="K149" t="s">
        <v>1353</v>
      </c>
    </row>
    <row r="150" spans="1:11" x14ac:dyDescent="0.2">
      <c r="A150"/>
      <c r="B150"/>
      <c r="C150">
        <v>91706</v>
      </c>
      <c r="D150">
        <v>15</v>
      </c>
      <c r="E150">
        <v>10368862</v>
      </c>
      <c r="F150" t="s">
        <v>919</v>
      </c>
      <c r="G150" t="s">
        <v>1351</v>
      </c>
      <c r="H150" t="s">
        <v>1353</v>
      </c>
      <c r="I150" t="s">
        <v>1353</v>
      </c>
      <c r="J150" t="s">
        <v>1351</v>
      </c>
      <c r="K150" t="s">
        <v>1351</v>
      </c>
    </row>
    <row r="151" spans="1:11" x14ac:dyDescent="0.2">
      <c r="A151"/>
      <c r="B151"/>
      <c r="C151">
        <v>91708</v>
      </c>
      <c r="D151">
        <v>15</v>
      </c>
      <c r="E151">
        <v>10369516</v>
      </c>
      <c r="F151" t="s">
        <v>914</v>
      </c>
      <c r="G151" t="s">
        <v>1353</v>
      </c>
      <c r="H151" t="s">
        <v>1353</v>
      </c>
      <c r="I151" t="s">
        <v>1353</v>
      </c>
      <c r="J151" t="s">
        <v>1353</v>
      </c>
      <c r="K151" t="s">
        <v>1351</v>
      </c>
    </row>
    <row r="152" spans="1:11" x14ac:dyDescent="0.2">
      <c r="A152"/>
      <c r="B152"/>
      <c r="C152" s="42">
        <v>91744</v>
      </c>
      <c r="D152">
        <v>15</v>
      </c>
      <c r="E152">
        <v>10215439</v>
      </c>
      <c r="F152" t="s">
        <v>914</v>
      </c>
      <c r="G152" t="s">
        <v>1351</v>
      </c>
      <c r="H152" t="s">
        <v>1351</v>
      </c>
      <c r="I152" t="s">
        <v>1351</v>
      </c>
      <c r="J152" t="s">
        <v>1351</v>
      </c>
      <c r="K152" t="s">
        <v>1351</v>
      </c>
    </row>
    <row r="153" spans="1:11" x14ac:dyDescent="0.2">
      <c r="A153"/>
      <c r="B153"/>
      <c r="C153">
        <v>91723</v>
      </c>
      <c r="D153">
        <v>15</v>
      </c>
      <c r="E153">
        <v>10366635</v>
      </c>
      <c r="F153" t="s">
        <v>914</v>
      </c>
      <c r="G153" t="s">
        <v>1353</v>
      </c>
      <c r="H153" t="s">
        <v>1353</v>
      </c>
      <c r="I153" t="s">
        <v>1353</v>
      </c>
      <c r="J153" t="s">
        <v>1353</v>
      </c>
      <c r="K153" t="s">
        <v>1353</v>
      </c>
    </row>
    <row r="154" spans="1:11" x14ac:dyDescent="0.2">
      <c r="A154"/>
      <c r="B154"/>
      <c r="C154" s="4">
        <v>91761</v>
      </c>
      <c r="D154">
        <v>15</v>
      </c>
      <c r="E154">
        <v>10043655</v>
      </c>
      <c r="F154" t="s">
        <v>914</v>
      </c>
      <c r="G154" t="s">
        <v>1353</v>
      </c>
      <c r="H154" t="s">
        <v>1353</v>
      </c>
      <c r="I154" t="s">
        <v>1353</v>
      </c>
      <c r="J154" t="s">
        <v>1353</v>
      </c>
      <c r="K154" t="s">
        <v>1353</v>
      </c>
    </row>
    <row r="155" spans="1:11" x14ac:dyDescent="0.2">
      <c r="A155"/>
      <c r="B155"/>
      <c r="C155">
        <v>91762</v>
      </c>
      <c r="D155">
        <v>15</v>
      </c>
      <c r="E155">
        <v>10275665</v>
      </c>
      <c r="F155" t="s">
        <v>914</v>
      </c>
      <c r="G155" t="s">
        <v>1353</v>
      </c>
      <c r="H155" t="s">
        <v>1353</v>
      </c>
      <c r="I155" t="s">
        <v>1353</v>
      </c>
      <c r="J155" t="s">
        <v>1353</v>
      </c>
      <c r="K155" t="s">
        <v>1353</v>
      </c>
    </row>
    <row r="156" spans="1:11" x14ac:dyDescent="0.2">
      <c r="A156"/>
      <c r="B156"/>
      <c r="C156">
        <v>91764</v>
      </c>
      <c r="D156">
        <v>15</v>
      </c>
      <c r="E156">
        <v>10356044</v>
      </c>
      <c r="F156" t="s">
        <v>914</v>
      </c>
      <c r="G156" t="s">
        <v>1353</v>
      </c>
      <c r="H156" t="s">
        <v>1353</v>
      </c>
      <c r="I156" t="s">
        <v>1353</v>
      </c>
      <c r="J156" t="s">
        <v>1353</v>
      </c>
      <c r="K156" t="s">
        <v>199</v>
      </c>
    </row>
    <row r="157" spans="1:11" x14ac:dyDescent="0.2">
      <c r="A157"/>
      <c r="B157"/>
      <c r="C157">
        <v>92335</v>
      </c>
      <c r="D157">
        <v>15</v>
      </c>
      <c r="E157">
        <v>10042922</v>
      </c>
      <c r="F157" t="s">
        <v>914</v>
      </c>
      <c r="G157" t="s">
        <v>1353</v>
      </c>
      <c r="H157" t="s">
        <v>1353</v>
      </c>
      <c r="I157" t="s">
        <v>1353</v>
      </c>
      <c r="J157" t="s">
        <v>1353</v>
      </c>
      <c r="K157" t="s">
        <v>1353</v>
      </c>
    </row>
    <row r="158" spans="1:11" x14ac:dyDescent="0.2">
      <c r="A158"/>
      <c r="B158"/>
      <c r="C158">
        <v>92335</v>
      </c>
      <c r="D158">
        <v>15</v>
      </c>
      <c r="E158">
        <v>10135633</v>
      </c>
      <c r="F158" t="s">
        <v>914</v>
      </c>
      <c r="G158" t="s">
        <v>1353</v>
      </c>
      <c r="H158" t="s">
        <v>1353</v>
      </c>
      <c r="I158" t="s">
        <v>1353</v>
      </c>
      <c r="J158" t="s">
        <v>1353</v>
      </c>
      <c r="K158" t="s">
        <v>1353</v>
      </c>
    </row>
    <row r="159" spans="1:11" x14ac:dyDescent="0.2">
      <c r="A159"/>
      <c r="B159"/>
      <c r="C159">
        <v>92336</v>
      </c>
      <c r="D159">
        <v>15</v>
      </c>
      <c r="E159">
        <v>10097957</v>
      </c>
      <c r="F159" t="s">
        <v>914</v>
      </c>
      <c r="G159" t="s">
        <v>1353</v>
      </c>
      <c r="H159" t="s">
        <v>1353</v>
      </c>
      <c r="I159" t="s">
        <v>1353</v>
      </c>
      <c r="J159" t="s">
        <v>202</v>
      </c>
      <c r="K159" t="s">
        <v>202</v>
      </c>
    </row>
    <row r="160" spans="1:11" x14ac:dyDescent="0.2">
      <c r="A160"/>
      <c r="B160"/>
      <c r="C160">
        <v>90813</v>
      </c>
      <c r="D160">
        <v>14</v>
      </c>
      <c r="E160">
        <v>10115200</v>
      </c>
      <c r="F160" t="s">
        <v>914</v>
      </c>
      <c r="G160" t="s">
        <v>1371</v>
      </c>
      <c r="H160" t="s">
        <v>1371</v>
      </c>
      <c r="I160" t="s">
        <v>1371</v>
      </c>
      <c r="J160" t="s">
        <v>1371</v>
      </c>
      <c r="K160" t="s">
        <v>1371</v>
      </c>
    </row>
    <row r="161" spans="1:11" x14ac:dyDescent="0.2">
      <c r="A161"/>
      <c r="B161"/>
      <c r="C161">
        <v>91702</v>
      </c>
      <c r="D161">
        <v>14</v>
      </c>
      <c r="E161">
        <v>100810</v>
      </c>
      <c r="F161" t="s">
        <v>919</v>
      </c>
      <c r="G161" t="s">
        <v>202</v>
      </c>
      <c r="H161" t="s">
        <v>202</v>
      </c>
      <c r="I161" t="s">
        <v>202</v>
      </c>
      <c r="J161" t="s">
        <v>202</v>
      </c>
      <c r="K161" t="s">
        <v>202</v>
      </c>
    </row>
    <row r="162" spans="1:11" x14ac:dyDescent="0.2">
      <c r="A162"/>
      <c r="B162"/>
      <c r="C162">
        <v>91709</v>
      </c>
      <c r="D162">
        <v>13</v>
      </c>
      <c r="E162">
        <v>10304932</v>
      </c>
      <c r="F162" t="s">
        <v>914</v>
      </c>
      <c r="G162" t="s">
        <v>1353</v>
      </c>
      <c r="H162" t="s">
        <v>1353</v>
      </c>
      <c r="I162" t="s">
        <v>1351</v>
      </c>
      <c r="J162" t="s">
        <v>1353</v>
      </c>
      <c r="K162" t="s">
        <v>1353</v>
      </c>
    </row>
    <row r="163" spans="1:11" x14ac:dyDescent="0.2">
      <c r="A163"/>
      <c r="B163"/>
      <c r="C163">
        <v>91710</v>
      </c>
      <c r="D163">
        <v>13</v>
      </c>
      <c r="E163">
        <v>10351233</v>
      </c>
      <c r="F163" t="s">
        <v>914</v>
      </c>
      <c r="G163" t="s">
        <v>1353</v>
      </c>
      <c r="H163" t="s">
        <v>1351</v>
      </c>
      <c r="I163" t="s">
        <v>1351</v>
      </c>
      <c r="J163" t="s">
        <v>1351</v>
      </c>
      <c r="K163" t="s">
        <v>1353</v>
      </c>
    </row>
    <row r="164" spans="1:11" x14ac:dyDescent="0.2">
      <c r="A164"/>
      <c r="B164"/>
      <c r="C164">
        <v>91722</v>
      </c>
      <c r="D164">
        <v>13</v>
      </c>
      <c r="E164">
        <v>10363938</v>
      </c>
      <c r="F164" t="s">
        <v>914</v>
      </c>
      <c r="G164" t="s">
        <v>1351</v>
      </c>
      <c r="H164" t="s">
        <v>1353</v>
      </c>
      <c r="I164" t="s">
        <v>1351</v>
      </c>
      <c r="J164" t="s">
        <v>1353</v>
      </c>
      <c r="K164" t="s">
        <v>1351</v>
      </c>
    </row>
    <row r="165" spans="1:11" x14ac:dyDescent="0.2">
      <c r="A165"/>
      <c r="B165"/>
      <c r="C165">
        <v>91739</v>
      </c>
      <c r="D165">
        <v>13</v>
      </c>
      <c r="E165">
        <v>10097482</v>
      </c>
      <c r="F165" t="s">
        <v>914</v>
      </c>
      <c r="G165" t="s">
        <v>1353</v>
      </c>
      <c r="H165" t="s">
        <v>1353</v>
      </c>
      <c r="I165" t="s">
        <v>1353</v>
      </c>
      <c r="J165" t="s">
        <v>1353</v>
      </c>
      <c r="K165" t="s">
        <v>1353</v>
      </c>
    </row>
    <row r="166" spans="1:11" x14ac:dyDescent="0.2">
      <c r="A166"/>
      <c r="B166"/>
      <c r="C166">
        <v>91739</v>
      </c>
      <c r="D166">
        <v>13</v>
      </c>
      <c r="E166">
        <v>10121065</v>
      </c>
      <c r="F166" t="s">
        <v>914</v>
      </c>
      <c r="G166" t="s">
        <v>1353</v>
      </c>
      <c r="H166" t="s">
        <v>202</v>
      </c>
      <c r="I166" t="s">
        <v>202</v>
      </c>
      <c r="J166" t="s">
        <v>1353</v>
      </c>
      <c r="K166" t="s">
        <v>1353</v>
      </c>
    </row>
    <row r="167" spans="1:11" x14ac:dyDescent="0.2">
      <c r="A167"/>
      <c r="B167"/>
      <c r="C167">
        <v>91701</v>
      </c>
      <c r="D167">
        <v>12</v>
      </c>
      <c r="E167">
        <v>10358743</v>
      </c>
      <c r="F167" t="s">
        <v>914</v>
      </c>
      <c r="G167" t="s">
        <v>1351</v>
      </c>
      <c r="H167" t="s">
        <v>1351</v>
      </c>
      <c r="I167" t="s">
        <v>1351</v>
      </c>
      <c r="J167" t="s">
        <v>1353</v>
      </c>
      <c r="K167" t="s">
        <v>191</v>
      </c>
    </row>
    <row r="168" spans="1:11" x14ac:dyDescent="0.2">
      <c r="A168"/>
      <c r="B168"/>
      <c r="C168">
        <v>91701</v>
      </c>
      <c r="D168">
        <v>12</v>
      </c>
      <c r="E168">
        <v>10042683</v>
      </c>
      <c r="F168" t="s">
        <v>914</v>
      </c>
      <c r="G168" t="s">
        <v>1353</v>
      </c>
      <c r="H168" t="s">
        <v>1353</v>
      </c>
      <c r="I168" t="s">
        <v>1353</v>
      </c>
      <c r="J168" t="s">
        <v>1353</v>
      </c>
      <c r="K168" t="s">
        <v>1353</v>
      </c>
    </row>
    <row r="169" spans="1:11" x14ac:dyDescent="0.2">
      <c r="A169"/>
      <c r="B169"/>
      <c r="C169" s="42">
        <v>91709</v>
      </c>
      <c r="D169">
        <v>12</v>
      </c>
      <c r="E169">
        <v>10348107</v>
      </c>
      <c r="F169" t="s">
        <v>914</v>
      </c>
      <c r="G169" t="s">
        <v>1353</v>
      </c>
      <c r="H169" t="s">
        <v>1353</v>
      </c>
      <c r="I169" t="s">
        <v>1353</v>
      </c>
      <c r="J169" t="s">
        <v>1353</v>
      </c>
      <c r="K169" t="s">
        <v>1353</v>
      </c>
    </row>
    <row r="170" spans="1:11" x14ac:dyDescent="0.2">
      <c r="A170"/>
      <c r="B170"/>
      <c r="C170" s="42">
        <v>92346</v>
      </c>
      <c r="D170">
        <v>12</v>
      </c>
      <c r="E170">
        <v>10366601</v>
      </c>
      <c r="F170" t="s">
        <v>914</v>
      </c>
      <c r="G170" t="s">
        <v>1353</v>
      </c>
      <c r="H170" t="s">
        <v>1353</v>
      </c>
      <c r="I170" t="s">
        <v>1353</v>
      </c>
      <c r="J170" t="s">
        <v>1353</v>
      </c>
      <c r="K170" t="s">
        <v>1353</v>
      </c>
    </row>
    <row r="171" spans="1:11" x14ac:dyDescent="0.2">
      <c r="A171"/>
      <c r="B171"/>
      <c r="C171">
        <v>91722</v>
      </c>
      <c r="D171">
        <v>12</v>
      </c>
      <c r="E171">
        <v>10266238</v>
      </c>
      <c r="F171" t="s">
        <v>914</v>
      </c>
      <c r="G171" t="s">
        <v>202</v>
      </c>
      <c r="H171" t="s">
        <v>202</v>
      </c>
      <c r="I171" t="s">
        <v>202</v>
      </c>
      <c r="J171" t="s">
        <v>202</v>
      </c>
      <c r="K171" t="s">
        <v>202</v>
      </c>
    </row>
    <row r="172" spans="1:11" x14ac:dyDescent="0.2">
      <c r="A172"/>
      <c r="B172"/>
      <c r="C172">
        <v>91730</v>
      </c>
      <c r="D172">
        <v>12</v>
      </c>
      <c r="E172">
        <v>10365863</v>
      </c>
      <c r="F172" t="s">
        <v>914</v>
      </c>
      <c r="G172" t="s">
        <v>1351</v>
      </c>
      <c r="H172" t="s">
        <v>1351</v>
      </c>
      <c r="I172" t="s">
        <v>1353</v>
      </c>
      <c r="J172" t="s">
        <v>1351</v>
      </c>
      <c r="K172" t="s">
        <v>1351</v>
      </c>
    </row>
    <row r="173" spans="1:11" x14ac:dyDescent="0.2">
      <c r="A173"/>
      <c r="B173"/>
      <c r="C173">
        <v>91730</v>
      </c>
      <c r="D173">
        <v>12</v>
      </c>
      <c r="E173">
        <v>10086446</v>
      </c>
      <c r="F173" t="s">
        <v>914</v>
      </c>
      <c r="G173" t="s">
        <v>1351</v>
      </c>
      <c r="H173" t="s">
        <v>1353</v>
      </c>
      <c r="I173" t="s">
        <v>1351</v>
      </c>
      <c r="J173" t="s">
        <v>1353</v>
      </c>
      <c r="K173" t="s">
        <v>1351</v>
      </c>
    </row>
    <row r="174" spans="1:11" x14ac:dyDescent="0.2">
      <c r="A174"/>
      <c r="B174"/>
      <c r="C174">
        <v>91737</v>
      </c>
      <c r="D174">
        <v>12</v>
      </c>
      <c r="E174">
        <v>1004135</v>
      </c>
      <c r="F174" t="s">
        <v>914</v>
      </c>
      <c r="G174" t="s">
        <v>1353</v>
      </c>
      <c r="H174" t="s">
        <v>1353</v>
      </c>
      <c r="I174" t="s">
        <v>1353</v>
      </c>
      <c r="J174" t="s">
        <v>1353</v>
      </c>
      <c r="K174" t="s">
        <v>1351</v>
      </c>
    </row>
    <row r="175" spans="1:11" x14ac:dyDescent="0.2">
      <c r="A175"/>
      <c r="B175"/>
      <c r="C175">
        <v>91739</v>
      </c>
      <c r="D175">
        <v>12</v>
      </c>
      <c r="E175">
        <v>10334736</v>
      </c>
      <c r="F175" t="s">
        <v>914</v>
      </c>
      <c r="G175" t="s">
        <v>191</v>
      </c>
      <c r="H175" t="s">
        <v>191</v>
      </c>
      <c r="I175" t="s">
        <v>191</v>
      </c>
      <c r="J175" t="s">
        <v>191</v>
      </c>
      <c r="K175" t="s">
        <v>191</v>
      </c>
    </row>
    <row r="176" spans="1:11" x14ac:dyDescent="0.2">
      <c r="A176"/>
      <c r="B176"/>
      <c r="C176">
        <v>91741</v>
      </c>
      <c r="D176">
        <v>12</v>
      </c>
      <c r="F176" t="s">
        <v>914</v>
      </c>
      <c r="G176" t="s">
        <v>1351</v>
      </c>
      <c r="H176" t="s">
        <v>1351</v>
      </c>
      <c r="I176" t="s">
        <v>1351</v>
      </c>
      <c r="J176" t="s">
        <v>1351</v>
      </c>
      <c r="K176" t="s">
        <v>1351</v>
      </c>
    </row>
    <row r="177" spans="1:11" x14ac:dyDescent="0.2">
      <c r="A177"/>
      <c r="B177"/>
      <c r="C177">
        <v>91761</v>
      </c>
      <c r="D177">
        <v>12</v>
      </c>
      <c r="E177">
        <v>10308283</v>
      </c>
      <c r="F177" t="s">
        <v>914</v>
      </c>
      <c r="G177" t="s">
        <v>1353</v>
      </c>
      <c r="H177" t="s">
        <v>1353</v>
      </c>
      <c r="I177" t="s">
        <v>1353</v>
      </c>
      <c r="J177" t="s">
        <v>1353</v>
      </c>
      <c r="K177" t="s">
        <v>1353</v>
      </c>
    </row>
    <row r="178" spans="1:11" x14ac:dyDescent="0.2">
      <c r="A178"/>
      <c r="B178"/>
      <c r="C178">
        <v>91761</v>
      </c>
      <c r="D178">
        <v>12</v>
      </c>
      <c r="E178">
        <v>10043193</v>
      </c>
      <c r="F178" t="s">
        <v>914</v>
      </c>
      <c r="G178" t="s">
        <v>1358</v>
      </c>
      <c r="H178" t="s">
        <v>1358</v>
      </c>
      <c r="I178" t="s">
        <v>1358</v>
      </c>
      <c r="J178" t="s">
        <v>1358</v>
      </c>
      <c r="K178" t="s">
        <v>1358</v>
      </c>
    </row>
    <row r="179" spans="1:11" x14ac:dyDescent="0.2">
      <c r="A179"/>
      <c r="B179"/>
      <c r="C179">
        <v>91761</v>
      </c>
      <c r="D179">
        <v>12</v>
      </c>
      <c r="E179">
        <v>103562881</v>
      </c>
      <c r="F179" t="s">
        <v>914</v>
      </c>
      <c r="G179" t="s">
        <v>1352</v>
      </c>
      <c r="H179" t="s">
        <v>1352</v>
      </c>
      <c r="I179" t="s">
        <v>1352</v>
      </c>
      <c r="J179" t="s">
        <v>1352</v>
      </c>
      <c r="K179" t="s">
        <v>1352</v>
      </c>
    </row>
    <row r="180" spans="1:11" x14ac:dyDescent="0.2">
      <c r="A180"/>
      <c r="B180"/>
      <c r="C180">
        <v>91764</v>
      </c>
      <c r="D180">
        <v>12</v>
      </c>
      <c r="E180">
        <v>10042154</v>
      </c>
      <c r="F180" t="s">
        <v>914</v>
      </c>
      <c r="G180" t="s">
        <v>1353</v>
      </c>
      <c r="H180" t="s">
        <v>1353</v>
      </c>
      <c r="I180" t="s">
        <v>1353</v>
      </c>
      <c r="J180" t="s">
        <v>1353</v>
      </c>
      <c r="K180" t="s">
        <v>191</v>
      </c>
    </row>
    <row r="181" spans="1:11" x14ac:dyDescent="0.2">
      <c r="A181"/>
      <c r="B181"/>
      <c r="C181">
        <v>91765</v>
      </c>
      <c r="D181">
        <v>12</v>
      </c>
      <c r="E181">
        <v>10366558</v>
      </c>
      <c r="F181" t="s">
        <v>914</v>
      </c>
      <c r="G181" t="s">
        <v>1351</v>
      </c>
      <c r="H181" t="s">
        <v>1351</v>
      </c>
      <c r="I181" t="s">
        <v>1353</v>
      </c>
      <c r="J181" t="s">
        <v>1351</v>
      </c>
      <c r="K181" t="s">
        <v>195</v>
      </c>
    </row>
    <row r="182" spans="1:11" x14ac:dyDescent="0.2">
      <c r="A182"/>
      <c r="B182"/>
      <c r="C182">
        <v>91765</v>
      </c>
      <c r="D182">
        <v>12</v>
      </c>
      <c r="E182">
        <v>10264902</v>
      </c>
      <c r="F182" t="s">
        <v>914</v>
      </c>
      <c r="G182" t="s">
        <v>1353</v>
      </c>
      <c r="H182" t="s">
        <v>1353</v>
      </c>
      <c r="I182" t="s">
        <v>1353</v>
      </c>
      <c r="J182" t="s">
        <v>191</v>
      </c>
      <c r="K182" t="s">
        <v>191</v>
      </c>
    </row>
    <row r="183" spans="1:11" x14ac:dyDescent="0.2">
      <c r="A183"/>
      <c r="B183"/>
      <c r="C183">
        <v>91765</v>
      </c>
      <c r="D183">
        <v>12</v>
      </c>
      <c r="E183">
        <v>10351165</v>
      </c>
      <c r="F183" t="s">
        <v>914</v>
      </c>
      <c r="G183" t="s">
        <v>1351</v>
      </c>
      <c r="H183" t="s">
        <v>1351</v>
      </c>
      <c r="I183" t="s">
        <v>1351</v>
      </c>
      <c r="J183" t="s">
        <v>1351</v>
      </c>
      <c r="K183" t="s">
        <v>1351</v>
      </c>
    </row>
    <row r="184" spans="1:11" x14ac:dyDescent="0.2">
      <c r="A184"/>
      <c r="B184"/>
      <c r="C184">
        <v>91792</v>
      </c>
      <c r="D184">
        <v>12</v>
      </c>
      <c r="E184">
        <v>10370202</v>
      </c>
      <c r="F184" t="s">
        <v>914</v>
      </c>
      <c r="G184" t="s">
        <v>1353</v>
      </c>
      <c r="H184" t="s">
        <v>1353</v>
      </c>
      <c r="I184" t="s">
        <v>1353</v>
      </c>
      <c r="J184" t="s">
        <v>1353</v>
      </c>
      <c r="K184" t="s">
        <v>1353</v>
      </c>
    </row>
    <row r="185" spans="1:11" x14ac:dyDescent="0.2">
      <c r="A185"/>
      <c r="B185"/>
      <c r="C185">
        <v>91701</v>
      </c>
      <c r="D185">
        <v>11</v>
      </c>
      <c r="E185">
        <v>10099073</v>
      </c>
      <c r="F185" t="s">
        <v>914</v>
      </c>
      <c r="G185" t="s">
        <v>1353</v>
      </c>
      <c r="H185" t="s">
        <v>1353</v>
      </c>
      <c r="I185" t="s">
        <v>1353</v>
      </c>
      <c r="J185" t="s">
        <v>1353</v>
      </c>
      <c r="K185" t="s">
        <v>1353</v>
      </c>
    </row>
    <row r="186" spans="1:11" x14ac:dyDescent="0.2">
      <c r="A186"/>
      <c r="B186"/>
      <c r="C186">
        <v>91730</v>
      </c>
      <c r="D186">
        <v>11</v>
      </c>
      <c r="E186">
        <v>10354879</v>
      </c>
      <c r="F186" t="s">
        <v>914</v>
      </c>
      <c r="G186" t="s">
        <v>1353</v>
      </c>
      <c r="H186" t="s">
        <v>1353</v>
      </c>
      <c r="I186" t="s">
        <v>1353</v>
      </c>
      <c r="J186" t="s">
        <v>1353</v>
      </c>
      <c r="K186" t="s">
        <v>1353</v>
      </c>
    </row>
    <row r="187" spans="1:11" x14ac:dyDescent="0.2">
      <c r="A187"/>
      <c r="B187"/>
      <c r="C187">
        <v>91791</v>
      </c>
      <c r="D187">
        <v>11</v>
      </c>
      <c r="E187">
        <v>10271689</v>
      </c>
      <c r="F187" t="s">
        <v>914</v>
      </c>
      <c r="G187" t="s">
        <v>1353</v>
      </c>
      <c r="H187" t="s">
        <v>1353</v>
      </c>
      <c r="I187" t="s">
        <v>1353</v>
      </c>
      <c r="J187" t="s">
        <v>1353</v>
      </c>
      <c r="K187" t="s">
        <v>1353</v>
      </c>
    </row>
    <row r="188" spans="1:11" x14ac:dyDescent="0.2">
      <c r="A188"/>
      <c r="B188"/>
      <c r="C188">
        <v>91701</v>
      </c>
      <c r="D188">
        <v>10</v>
      </c>
      <c r="E188">
        <v>10203165</v>
      </c>
      <c r="F188" t="s">
        <v>914</v>
      </c>
      <c r="G188" t="s">
        <v>1353</v>
      </c>
      <c r="H188" t="s">
        <v>1353</v>
      </c>
      <c r="I188" t="s">
        <v>1353</v>
      </c>
      <c r="J188" t="s">
        <v>1353</v>
      </c>
      <c r="K188" t="s">
        <v>1353</v>
      </c>
    </row>
    <row r="189" spans="1:11" x14ac:dyDescent="0.2">
      <c r="A189"/>
      <c r="B189"/>
      <c r="C189">
        <v>91701</v>
      </c>
      <c r="D189">
        <v>10</v>
      </c>
      <c r="E189">
        <v>10165618</v>
      </c>
      <c r="F189" t="s">
        <v>914</v>
      </c>
      <c r="G189" t="s">
        <v>1353</v>
      </c>
      <c r="H189" t="s">
        <v>1351</v>
      </c>
      <c r="I189" t="s">
        <v>1353</v>
      </c>
      <c r="J189" t="s">
        <v>1353</v>
      </c>
      <c r="K189" t="s">
        <v>191</v>
      </c>
    </row>
    <row r="190" spans="1:11" x14ac:dyDescent="0.2">
      <c r="A190"/>
      <c r="B190"/>
      <c r="C190">
        <v>91701</v>
      </c>
      <c r="D190">
        <v>10</v>
      </c>
      <c r="E190">
        <v>10366518</v>
      </c>
      <c r="F190" t="s">
        <v>914</v>
      </c>
      <c r="G190" t="s">
        <v>1353</v>
      </c>
      <c r="H190" t="s">
        <v>1351</v>
      </c>
      <c r="I190" t="s">
        <v>1351</v>
      </c>
      <c r="J190" t="s">
        <v>1353</v>
      </c>
      <c r="K190" t="s">
        <v>1353</v>
      </c>
    </row>
    <row r="191" spans="1:11" x14ac:dyDescent="0.2">
      <c r="A191"/>
      <c r="B191"/>
      <c r="C191">
        <v>91701</v>
      </c>
      <c r="D191">
        <v>10</v>
      </c>
      <c r="E191">
        <v>10024942</v>
      </c>
      <c r="F191" t="s">
        <v>914</v>
      </c>
      <c r="G191" t="s">
        <v>1353</v>
      </c>
      <c r="H191" t="s">
        <v>1353</v>
      </c>
      <c r="I191" t="s">
        <v>1353</v>
      </c>
      <c r="J191" t="s">
        <v>1353</v>
      </c>
      <c r="K191" t="s">
        <v>1353</v>
      </c>
    </row>
    <row r="192" spans="1:11" x14ac:dyDescent="0.2">
      <c r="A192"/>
      <c r="B192"/>
      <c r="C192">
        <v>91701</v>
      </c>
      <c r="D192">
        <v>10</v>
      </c>
      <c r="E192">
        <v>10042980</v>
      </c>
      <c r="F192" t="s">
        <v>914</v>
      </c>
      <c r="G192" t="s">
        <v>1353</v>
      </c>
      <c r="H192" t="s">
        <v>1353</v>
      </c>
      <c r="I192" t="s">
        <v>1351</v>
      </c>
      <c r="J192" t="s">
        <v>1353</v>
      </c>
      <c r="K192" t="s">
        <v>1353</v>
      </c>
    </row>
    <row r="193" spans="1:11" x14ac:dyDescent="0.2">
      <c r="A193"/>
      <c r="B193"/>
      <c r="C193">
        <v>91730</v>
      </c>
      <c r="D193">
        <v>10</v>
      </c>
      <c r="E193">
        <v>10183233</v>
      </c>
      <c r="F193" t="s">
        <v>914</v>
      </c>
      <c r="G193" t="s">
        <v>1352</v>
      </c>
      <c r="H193" t="s">
        <v>1351</v>
      </c>
      <c r="I193" t="s">
        <v>1352</v>
      </c>
      <c r="J193" t="s">
        <v>1352</v>
      </c>
      <c r="K193" t="s">
        <v>1353</v>
      </c>
    </row>
    <row r="194" spans="1:11" x14ac:dyDescent="0.2">
      <c r="A194"/>
      <c r="B194"/>
      <c r="C194">
        <v>91739</v>
      </c>
      <c r="D194">
        <v>10</v>
      </c>
      <c r="E194">
        <v>10204035</v>
      </c>
      <c r="F194" t="s">
        <v>914</v>
      </c>
      <c r="G194" t="s">
        <v>1353</v>
      </c>
      <c r="H194" t="s">
        <v>1353</v>
      </c>
      <c r="I194" t="s">
        <v>1353</v>
      </c>
      <c r="J194" t="s">
        <v>1353</v>
      </c>
      <c r="K194" t="s">
        <v>1353</v>
      </c>
    </row>
    <row r="195" spans="1:11" x14ac:dyDescent="0.2">
      <c r="A195"/>
      <c r="B195"/>
      <c r="C195">
        <v>91740</v>
      </c>
      <c r="D195">
        <v>10</v>
      </c>
      <c r="E195">
        <v>10368973</v>
      </c>
      <c r="F195" t="s">
        <v>919</v>
      </c>
      <c r="G195" t="s">
        <v>1353</v>
      </c>
      <c r="H195" t="s">
        <v>1353</v>
      </c>
      <c r="I195" t="s">
        <v>1353</v>
      </c>
      <c r="J195" t="s">
        <v>1353</v>
      </c>
      <c r="K195" t="s">
        <v>1353</v>
      </c>
    </row>
    <row r="196" spans="1:11" x14ac:dyDescent="0.2">
      <c r="A196"/>
      <c r="B196"/>
      <c r="C196">
        <v>91750</v>
      </c>
      <c r="D196">
        <v>10</v>
      </c>
      <c r="E196">
        <v>10368510</v>
      </c>
      <c r="F196" t="s">
        <v>914</v>
      </c>
      <c r="G196" t="s">
        <v>1353</v>
      </c>
      <c r="H196" t="s">
        <v>1353</v>
      </c>
      <c r="I196" t="s">
        <v>1353</v>
      </c>
      <c r="J196" t="s">
        <v>1353</v>
      </c>
      <c r="K196" t="s">
        <v>1353</v>
      </c>
    </row>
    <row r="197" spans="1:11" x14ac:dyDescent="0.2">
      <c r="A197"/>
      <c r="B197"/>
      <c r="C197">
        <v>91764</v>
      </c>
      <c r="D197">
        <v>10</v>
      </c>
      <c r="E197">
        <v>10369849</v>
      </c>
      <c r="F197" t="s">
        <v>914</v>
      </c>
      <c r="G197" t="s">
        <v>1353</v>
      </c>
      <c r="H197" t="s">
        <v>1351</v>
      </c>
      <c r="I197" t="s">
        <v>1353</v>
      </c>
      <c r="J197" t="s">
        <v>1353</v>
      </c>
      <c r="K197" t="s">
        <v>1351</v>
      </c>
    </row>
    <row r="198" spans="1:11" x14ac:dyDescent="0.2">
      <c r="A198"/>
      <c r="B198"/>
      <c r="C198">
        <v>91764</v>
      </c>
      <c r="D198">
        <v>10</v>
      </c>
      <c r="E198">
        <v>10369586</v>
      </c>
      <c r="F198" t="s">
        <v>914</v>
      </c>
      <c r="G198" t="s">
        <v>1353</v>
      </c>
      <c r="H198" t="s">
        <v>1353</v>
      </c>
      <c r="I198" t="s">
        <v>1353</v>
      </c>
      <c r="J198" t="s">
        <v>1353</v>
      </c>
      <c r="K198" t="s">
        <v>1353</v>
      </c>
    </row>
    <row r="199" spans="1:11" x14ac:dyDescent="0.2">
      <c r="A199"/>
      <c r="B199"/>
      <c r="C199">
        <v>91764</v>
      </c>
      <c r="D199">
        <v>10</v>
      </c>
      <c r="E199">
        <v>10042458</v>
      </c>
      <c r="F199" t="s">
        <v>914</v>
      </c>
      <c r="G199" t="s">
        <v>1353</v>
      </c>
      <c r="H199" t="s">
        <v>1353</v>
      </c>
      <c r="I199" t="s">
        <v>1353</v>
      </c>
      <c r="J199" t="s">
        <v>1353</v>
      </c>
      <c r="K199" t="s">
        <v>1353</v>
      </c>
    </row>
    <row r="200" spans="1:11" x14ac:dyDescent="0.2">
      <c r="A200"/>
      <c r="B200"/>
      <c r="C200">
        <v>91764</v>
      </c>
      <c r="D200">
        <v>10</v>
      </c>
      <c r="E200">
        <v>10092409</v>
      </c>
      <c r="F200" t="s">
        <v>914</v>
      </c>
      <c r="G200" t="s">
        <v>1353</v>
      </c>
      <c r="H200" t="s">
        <v>1353</v>
      </c>
      <c r="I200" t="s">
        <v>1353</v>
      </c>
      <c r="J200" t="s">
        <v>1353</v>
      </c>
      <c r="K200" t="s">
        <v>1353</v>
      </c>
    </row>
    <row r="201" spans="1:11" x14ac:dyDescent="0.2">
      <c r="A201"/>
      <c r="B201"/>
      <c r="C201">
        <v>91764</v>
      </c>
      <c r="D201">
        <v>10</v>
      </c>
      <c r="E201">
        <v>10043568</v>
      </c>
      <c r="F201" t="s">
        <v>914</v>
      </c>
      <c r="G201" t="s">
        <v>1353</v>
      </c>
      <c r="H201" t="s">
        <v>1353</v>
      </c>
      <c r="I201" t="s">
        <v>1353</v>
      </c>
      <c r="J201" t="s">
        <v>1353</v>
      </c>
      <c r="K201" t="s">
        <v>1353</v>
      </c>
    </row>
    <row r="202" spans="1:11" x14ac:dyDescent="0.2">
      <c r="A202"/>
      <c r="B202"/>
      <c r="C202">
        <v>91764</v>
      </c>
      <c r="D202">
        <v>10</v>
      </c>
      <c r="E202">
        <v>10196492</v>
      </c>
      <c r="F202" t="s">
        <v>914</v>
      </c>
      <c r="G202" t="s">
        <v>1351</v>
      </c>
      <c r="H202" t="s">
        <v>1351</v>
      </c>
      <c r="I202" t="s">
        <v>1351</v>
      </c>
      <c r="J202" t="s">
        <v>1351</v>
      </c>
      <c r="K202" t="s">
        <v>1351</v>
      </c>
    </row>
    <row r="203" spans="1:11" x14ac:dyDescent="0.2">
      <c r="A203"/>
      <c r="B203"/>
      <c r="C203">
        <v>91765</v>
      </c>
      <c r="D203">
        <v>10</v>
      </c>
      <c r="E203">
        <v>10092556</v>
      </c>
      <c r="F203" t="s">
        <v>914</v>
      </c>
      <c r="G203" t="s">
        <v>1353</v>
      </c>
      <c r="H203" t="s">
        <v>1353</v>
      </c>
      <c r="I203" t="s">
        <v>1353</v>
      </c>
      <c r="J203" t="s">
        <v>1353</v>
      </c>
      <c r="K203" t="s">
        <v>1353</v>
      </c>
    </row>
    <row r="204" spans="1:11" x14ac:dyDescent="0.2">
      <c r="A204"/>
      <c r="B204"/>
      <c r="C204">
        <v>91766</v>
      </c>
      <c r="D204">
        <v>10</v>
      </c>
      <c r="E204">
        <v>10090606</v>
      </c>
      <c r="F204" t="s">
        <v>914</v>
      </c>
      <c r="G204" t="s">
        <v>1353</v>
      </c>
      <c r="H204" t="s">
        <v>1353</v>
      </c>
      <c r="I204" t="s">
        <v>1353</v>
      </c>
      <c r="J204" t="s">
        <v>1353</v>
      </c>
      <c r="K204" t="s">
        <v>1351</v>
      </c>
    </row>
    <row r="205" spans="1:11" x14ac:dyDescent="0.2">
      <c r="A205"/>
      <c r="B205"/>
      <c r="C205">
        <v>91766</v>
      </c>
      <c r="D205">
        <v>10</v>
      </c>
      <c r="E205">
        <v>10275594</v>
      </c>
      <c r="F205" t="s">
        <v>914</v>
      </c>
      <c r="G205" t="s">
        <v>1353</v>
      </c>
      <c r="H205" t="s">
        <v>1353</v>
      </c>
      <c r="I205" t="s">
        <v>1353</v>
      </c>
      <c r="J205" t="s">
        <v>1353</v>
      </c>
      <c r="K205" t="s">
        <v>1353</v>
      </c>
    </row>
    <row r="206" spans="1:11" x14ac:dyDescent="0.2">
      <c r="A206"/>
      <c r="B206"/>
      <c r="C206">
        <v>91767</v>
      </c>
      <c r="D206">
        <v>10</v>
      </c>
      <c r="E206">
        <v>10043304</v>
      </c>
      <c r="F206" t="s">
        <v>914</v>
      </c>
      <c r="G206" t="s">
        <v>1353</v>
      </c>
      <c r="H206" t="s">
        <v>1353</v>
      </c>
      <c r="I206" t="s">
        <v>1353</v>
      </c>
      <c r="J206" t="s">
        <v>1353</v>
      </c>
      <c r="K206" t="s">
        <v>1353</v>
      </c>
    </row>
    <row r="207" spans="1:11" x14ac:dyDescent="0.2">
      <c r="A207"/>
      <c r="B207"/>
      <c r="C207">
        <v>91767</v>
      </c>
      <c r="D207">
        <v>10</v>
      </c>
      <c r="E207">
        <v>10263134</v>
      </c>
      <c r="F207" t="s">
        <v>914</v>
      </c>
      <c r="G207" t="s">
        <v>1353</v>
      </c>
      <c r="H207" t="s">
        <v>1353</v>
      </c>
      <c r="I207" t="s">
        <v>1353</v>
      </c>
      <c r="J207" t="s">
        <v>1353</v>
      </c>
      <c r="K207" t="s">
        <v>1353</v>
      </c>
    </row>
    <row r="208" spans="1:11" x14ac:dyDescent="0.2">
      <c r="A208"/>
      <c r="B208"/>
      <c r="C208">
        <v>91768</v>
      </c>
      <c r="D208">
        <v>10</v>
      </c>
      <c r="E208">
        <v>10043585</v>
      </c>
      <c r="F208" t="s">
        <v>914</v>
      </c>
      <c r="G208" t="s">
        <v>1353</v>
      </c>
      <c r="H208" t="s">
        <v>1353</v>
      </c>
      <c r="I208" t="s">
        <v>1353</v>
      </c>
      <c r="J208" t="s">
        <v>1353</v>
      </c>
      <c r="K208" t="s">
        <v>1353</v>
      </c>
    </row>
    <row r="209" spans="1:11" x14ac:dyDescent="0.2">
      <c r="A209"/>
      <c r="B209"/>
      <c r="C209">
        <v>91773</v>
      </c>
      <c r="D209">
        <v>10</v>
      </c>
      <c r="E209">
        <v>10349500</v>
      </c>
      <c r="F209" t="s">
        <v>914</v>
      </c>
      <c r="G209" t="s">
        <v>1353</v>
      </c>
      <c r="H209" t="s">
        <v>1353</v>
      </c>
      <c r="I209" t="s">
        <v>1358</v>
      </c>
      <c r="J209" t="s">
        <v>1358</v>
      </c>
      <c r="K209" t="s">
        <v>1358</v>
      </c>
    </row>
    <row r="210" spans="1:11" x14ac:dyDescent="0.2">
      <c r="A210"/>
      <c r="B210"/>
      <c r="C210">
        <v>91786</v>
      </c>
      <c r="D210">
        <v>10</v>
      </c>
      <c r="E210">
        <v>10366662</v>
      </c>
      <c r="F210" t="s">
        <v>914</v>
      </c>
      <c r="G210" t="s">
        <v>1353</v>
      </c>
      <c r="H210" t="s">
        <v>1353</v>
      </c>
      <c r="I210" t="s">
        <v>1353</v>
      </c>
      <c r="J210" t="s">
        <v>1353</v>
      </c>
      <c r="K210" t="s">
        <v>1353</v>
      </c>
    </row>
    <row r="211" spans="1:11" x14ac:dyDescent="0.2">
      <c r="A211"/>
      <c r="B211"/>
      <c r="C211">
        <v>91786</v>
      </c>
      <c r="D211">
        <v>10</v>
      </c>
      <c r="E211">
        <v>103666631</v>
      </c>
      <c r="F211" t="s">
        <v>914</v>
      </c>
      <c r="G211" t="s">
        <v>202</v>
      </c>
      <c r="H211" t="s">
        <v>202</v>
      </c>
      <c r="I211" t="s">
        <v>1351</v>
      </c>
      <c r="J211" t="s">
        <v>1351</v>
      </c>
      <c r="K211" t="s">
        <v>1351</v>
      </c>
    </row>
    <row r="212" spans="1:11" x14ac:dyDescent="0.2">
      <c r="A212"/>
      <c r="B212"/>
      <c r="C212">
        <v>91701</v>
      </c>
      <c r="D212">
        <v>9</v>
      </c>
      <c r="E212">
        <v>10185827</v>
      </c>
      <c r="F212" t="s">
        <v>914</v>
      </c>
      <c r="G212" t="s">
        <v>1353</v>
      </c>
      <c r="H212" t="s">
        <v>1353</v>
      </c>
      <c r="I212" t="s">
        <v>1353</v>
      </c>
      <c r="J212" t="s">
        <v>1353</v>
      </c>
      <c r="K212" t="s">
        <v>1353</v>
      </c>
    </row>
    <row r="213" spans="1:11" x14ac:dyDescent="0.2">
      <c r="A213"/>
      <c r="B213"/>
      <c r="C213">
        <v>91701</v>
      </c>
      <c r="D213">
        <v>9</v>
      </c>
      <c r="E213">
        <v>10021827</v>
      </c>
      <c r="F213" t="s">
        <v>914</v>
      </c>
      <c r="G213" t="s">
        <v>1353</v>
      </c>
      <c r="H213" t="s">
        <v>1353</v>
      </c>
      <c r="I213" t="s">
        <v>1351</v>
      </c>
      <c r="J213" t="s">
        <v>1353</v>
      </c>
      <c r="K213" t="s">
        <v>1353</v>
      </c>
    </row>
    <row r="214" spans="1:11" x14ac:dyDescent="0.2">
      <c r="A214"/>
      <c r="B214"/>
      <c r="C214">
        <v>91710</v>
      </c>
      <c r="D214">
        <v>9</v>
      </c>
      <c r="E214">
        <v>10346125</v>
      </c>
      <c r="F214" t="s">
        <v>914</v>
      </c>
      <c r="G214" t="s">
        <v>1353</v>
      </c>
      <c r="H214" t="s">
        <v>1353</v>
      </c>
      <c r="I214" t="s">
        <v>1353</v>
      </c>
      <c r="J214" t="s">
        <v>1353</v>
      </c>
      <c r="K214" t="s">
        <v>1353</v>
      </c>
    </row>
    <row r="215" spans="1:11" x14ac:dyDescent="0.2">
      <c r="A215"/>
      <c r="B215"/>
      <c r="C215">
        <v>91723</v>
      </c>
      <c r="D215">
        <v>9</v>
      </c>
      <c r="E215">
        <v>10279229</v>
      </c>
      <c r="F215" t="s">
        <v>914</v>
      </c>
      <c r="G215" t="s">
        <v>1352</v>
      </c>
      <c r="H215" t="s">
        <v>1352</v>
      </c>
      <c r="I215" t="s">
        <v>1352</v>
      </c>
      <c r="J215" t="s">
        <v>1352</v>
      </c>
      <c r="K215" t="s">
        <v>1352</v>
      </c>
    </row>
    <row r="216" spans="1:11" x14ac:dyDescent="0.2">
      <c r="A216"/>
      <c r="B216"/>
      <c r="C216">
        <v>91730</v>
      </c>
      <c r="D216">
        <v>9</v>
      </c>
      <c r="E216">
        <v>10352674</v>
      </c>
      <c r="F216" t="s">
        <v>914</v>
      </c>
      <c r="G216" t="s">
        <v>1373</v>
      </c>
      <c r="H216" t="s">
        <v>1373</v>
      </c>
      <c r="I216" t="s">
        <v>1373</v>
      </c>
      <c r="J216" t="s">
        <v>1373</v>
      </c>
      <c r="K216" t="s">
        <v>1373</v>
      </c>
    </row>
    <row r="217" spans="1:11" x14ac:dyDescent="0.2">
      <c r="A217"/>
      <c r="B217"/>
      <c r="C217">
        <v>91730</v>
      </c>
      <c r="D217">
        <v>9</v>
      </c>
      <c r="E217">
        <v>10043235</v>
      </c>
      <c r="F217" t="s">
        <v>914</v>
      </c>
      <c r="G217" t="s">
        <v>1353</v>
      </c>
      <c r="H217" t="s">
        <v>1353</v>
      </c>
      <c r="I217" t="s">
        <v>1353</v>
      </c>
      <c r="J217" t="s">
        <v>1353</v>
      </c>
      <c r="K217" t="s">
        <v>1353</v>
      </c>
    </row>
    <row r="218" spans="1:11" x14ac:dyDescent="0.2">
      <c r="A218"/>
      <c r="B218"/>
      <c r="C218">
        <v>91740</v>
      </c>
      <c r="D218">
        <v>9</v>
      </c>
      <c r="E218">
        <v>10361142</v>
      </c>
      <c r="F218" t="s">
        <v>914</v>
      </c>
      <c r="G218" t="s">
        <v>1351</v>
      </c>
      <c r="H218" t="s">
        <v>1351</v>
      </c>
      <c r="I218" t="s">
        <v>1351</v>
      </c>
      <c r="J218" t="s">
        <v>1353</v>
      </c>
      <c r="K218" t="s">
        <v>1353</v>
      </c>
    </row>
    <row r="219" spans="1:11" x14ac:dyDescent="0.2">
      <c r="A219"/>
      <c r="B219"/>
      <c r="C219">
        <v>91740</v>
      </c>
      <c r="D219">
        <v>9</v>
      </c>
      <c r="E219">
        <v>10362526</v>
      </c>
      <c r="F219" t="s">
        <v>914</v>
      </c>
      <c r="G219" t="s">
        <v>1353</v>
      </c>
      <c r="H219" t="s">
        <v>1353</v>
      </c>
      <c r="I219" t="s">
        <v>1353</v>
      </c>
      <c r="J219" t="s">
        <v>1353</v>
      </c>
      <c r="K219" t="s">
        <v>1353</v>
      </c>
    </row>
    <row r="220" spans="1:11" x14ac:dyDescent="0.2">
      <c r="A220"/>
      <c r="B220"/>
      <c r="C220">
        <v>91740</v>
      </c>
      <c r="D220">
        <v>9</v>
      </c>
      <c r="E220">
        <v>10368516</v>
      </c>
      <c r="F220" t="s">
        <v>914</v>
      </c>
      <c r="G220" t="s">
        <v>202</v>
      </c>
      <c r="H220" t="s">
        <v>1353</v>
      </c>
      <c r="I220" t="s">
        <v>1353</v>
      </c>
      <c r="J220" t="s">
        <v>1353</v>
      </c>
      <c r="K220" t="s">
        <v>1353</v>
      </c>
    </row>
    <row r="221" spans="1:11" x14ac:dyDescent="0.2">
      <c r="A221"/>
      <c r="B221"/>
      <c r="C221">
        <v>91773</v>
      </c>
      <c r="D221">
        <v>9</v>
      </c>
      <c r="E221">
        <v>10366522</v>
      </c>
      <c r="F221" t="s">
        <v>914</v>
      </c>
      <c r="G221" t="s">
        <v>1356</v>
      </c>
      <c r="H221" t="s">
        <v>1356</v>
      </c>
      <c r="I221" t="s">
        <v>199</v>
      </c>
      <c r="J221" t="s">
        <v>199</v>
      </c>
      <c r="K221" t="s">
        <v>199</v>
      </c>
    </row>
    <row r="222" spans="1:11" x14ac:dyDescent="0.2">
      <c r="A222"/>
      <c r="B222"/>
      <c r="C222">
        <v>91701</v>
      </c>
      <c r="D222">
        <v>8</v>
      </c>
      <c r="E222">
        <v>10305597</v>
      </c>
      <c r="F222" t="s">
        <v>914</v>
      </c>
      <c r="G222" t="s">
        <v>1353</v>
      </c>
      <c r="H222" t="s">
        <v>1353</v>
      </c>
      <c r="I222" t="s">
        <v>1353</v>
      </c>
      <c r="J222" t="s">
        <v>1353</v>
      </c>
      <c r="K222" t="s">
        <v>1353</v>
      </c>
    </row>
    <row r="223" spans="1:11" x14ac:dyDescent="0.2">
      <c r="A223"/>
      <c r="B223"/>
      <c r="C223">
        <v>91701</v>
      </c>
      <c r="D223">
        <v>8</v>
      </c>
      <c r="E223">
        <v>10282893</v>
      </c>
      <c r="F223" t="s">
        <v>914</v>
      </c>
      <c r="G223" t="s">
        <v>1353</v>
      </c>
      <c r="H223" t="s">
        <v>1353</v>
      </c>
      <c r="I223" t="s">
        <v>1353</v>
      </c>
      <c r="J223" t="s">
        <v>1353</v>
      </c>
      <c r="K223" t="s">
        <v>1353</v>
      </c>
    </row>
    <row r="224" spans="1:11" x14ac:dyDescent="0.2">
      <c r="A224"/>
      <c r="B224"/>
      <c r="C224">
        <v>91762</v>
      </c>
      <c r="D224">
        <v>8</v>
      </c>
      <c r="E224">
        <v>10199325</v>
      </c>
      <c r="F224" t="s">
        <v>914</v>
      </c>
      <c r="G224" t="s">
        <v>1353</v>
      </c>
      <c r="H224" t="s">
        <v>1353</v>
      </c>
      <c r="I224" t="s">
        <v>1353</v>
      </c>
      <c r="J224" t="s">
        <v>1353</v>
      </c>
      <c r="K224" t="s">
        <v>1353</v>
      </c>
    </row>
    <row r="225" spans="1:11" x14ac:dyDescent="0.2">
      <c r="A225"/>
      <c r="B225"/>
      <c r="C225">
        <v>91722</v>
      </c>
      <c r="D225">
        <v>8</v>
      </c>
      <c r="E225">
        <v>10043567</v>
      </c>
      <c r="F225" t="s">
        <v>914</v>
      </c>
      <c r="G225" t="s">
        <v>1351</v>
      </c>
      <c r="H225" t="s">
        <v>1351</v>
      </c>
      <c r="I225" t="s">
        <v>1351</v>
      </c>
      <c r="J225" t="s">
        <v>1351</v>
      </c>
      <c r="K225" t="s">
        <v>1351</v>
      </c>
    </row>
    <row r="226" spans="1:11" x14ac:dyDescent="0.2">
      <c r="A226"/>
      <c r="B226"/>
      <c r="C226" s="7">
        <v>91730</v>
      </c>
      <c r="D226">
        <v>8</v>
      </c>
      <c r="E226">
        <v>10366647</v>
      </c>
      <c r="F226" t="s">
        <v>914</v>
      </c>
      <c r="G226" t="s">
        <v>202</v>
      </c>
      <c r="H226" t="s">
        <v>1353</v>
      </c>
      <c r="I226" t="s">
        <v>1353</v>
      </c>
      <c r="J226" t="s">
        <v>1353</v>
      </c>
      <c r="K226" t="s">
        <v>1353</v>
      </c>
    </row>
    <row r="227" spans="1:11" x14ac:dyDescent="0.2">
      <c r="A227"/>
      <c r="B227"/>
      <c r="C227">
        <v>91730</v>
      </c>
      <c r="D227">
        <v>8</v>
      </c>
      <c r="E227">
        <v>10357616</v>
      </c>
      <c r="F227" t="s">
        <v>919</v>
      </c>
      <c r="G227" t="s">
        <v>202</v>
      </c>
      <c r="H227" t="s">
        <v>202</v>
      </c>
      <c r="I227" t="s">
        <v>202</v>
      </c>
      <c r="J227" t="s">
        <v>202</v>
      </c>
      <c r="K227" t="s">
        <v>202</v>
      </c>
    </row>
    <row r="228" spans="1:11" x14ac:dyDescent="0.2">
      <c r="A228"/>
      <c r="B228"/>
      <c r="C228">
        <v>91740</v>
      </c>
      <c r="D228">
        <v>8</v>
      </c>
      <c r="E228">
        <v>103159382</v>
      </c>
      <c r="F228" t="s">
        <v>914</v>
      </c>
      <c r="G228" t="s">
        <v>1353</v>
      </c>
      <c r="H228" t="s">
        <v>1353</v>
      </c>
      <c r="I228" t="s">
        <v>1353</v>
      </c>
      <c r="J228" t="s">
        <v>1353</v>
      </c>
      <c r="K228" t="s">
        <v>1353</v>
      </c>
    </row>
    <row r="229" spans="1:11" x14ac:dyDescent="0.2">
      <c r="A229"/>
      <c r="B229"/>
      <c r="C229">
        <v>91750</v>
      </c>
      <c r="D229">
        <v>8</v>
      </c>
      <c r="E229">
        <v>10349972</v>
      </c>
      <c r="F229" t="s">
        <v>914</v>
      </c>
      <c r="G229" t="s">
        <v>1351</v>
      </c>
      <c r="H229" t="s">
        <v>1352</v>
      </c>
      <c r="I229" t="s">
        <v>1352</v>
      </c>
      <c r="J229" t="s">
        <v>1351</v>
      </c>
      <c r="K229" t="s">
        <v>1351</v>
      </c>
    </row>
    <row r="230" spans="1:11" x14ac:dyDescent="0.2">
      <c r="A230"/>
      <c r="B230"/>
      <c r="C230">
        <v>91761</v>
      </c>
      <c r="D230">
        <v>8</v>
      </c>
      <c r="E230">
        <v>10366654</v>
      </c>
      <c r="F230" t="s">
        <v>914</v>
      </c>
      <c r="G230" t="s">
        <v>1353</v>
      </c>
      <c r="H230" t="s">
        <v>1353</v>
      </c>
      <c r="I230" t="s">
        <v>1353</v>
      </c>
      <c r="J230" t="s">
        <v>1353</v>
      </c>
      <c r="K230" t="s">
        <v>1353</v>
      </c>
    </row>
    <row r="231" spans="1:11" x14ac:dyDescent="0.2">
      <c r="A231"/>
      <c r="B231"/>
      <c r="C231">
        <v>91762</v>
      </c>
      <c r="D231">
        <v>8</v>
      </c>
      <c r="E231">
        <v>10361257</v>
      </c>
      <c r="F231" t="s">
        <v>914</v>
      </c>
      <c r="G231" t="s">
        <v>1353</v>
      </c>
      <c r="H231" t="s">
        <v>1353</v>
      </c>
      <c r="I231" t="s">
        <v>1353</v>
      </c>
      <c r="J231" t="s">
        <v>1353</v>
      </c>
      <c r="K231" t="s">
        <v>1353</v>
      </c>
    </row>
    <row r="232" spans="1:11" x14ac:dyDescent="0.2">
      <c r="A232"/>
      <c r="B232"/>
      <c r="C232">
        <v>91763</v>
      </c>
      <c r="D232">
        <v>8</v>
      </c>
      <c r="E232">
        <v>10346026</v>
      </c>
      <c r="F232" t="s">
        <v>914</v>
      </c>
      <c r="G232" t="s">
        <v>1353</v>
      </c>
      <c r="H232" t="s">
        <v>1353</v>
      </c>
      <c r="I232" t="s">
        <v>1353</v>
      </c>
      <c r="J232" t="s">
        <v>1353</v>
      </c>
      <c r="K232" t="s">
        <v>1353</v>
      </c>
    </row>
    <row r="233" spans="1:11" x14ac:dyDescent="0.2">
      <c r="A233"/>
      <c r="B233"/>
      <c r="C233">
        <v>91764</v>
      </c>
      <c r="D233">
        <v>8</v>
      </c>
      <c r="E233">
        <v>10289462</v>
      </c>
      <c r="F233" t="s">
        <v>914</v>
      </c>
      <c r="G233" t="s">
        <v>1351</v>
      </c>
      <c r="H233" t="s">
        <v>1351</v>
      </c>
      <c r="I233" t="s">
        <v>1351</v>
      </c>
      <c r="J233" t="s">
        <v>1351</v>
      </c>
      <c r="K233" t="s">
        <v>1351</v>
      </c>
    </row>
    <row r="234" spans="1:11" x14ac:dyDescent="0.2">
      <c r="A234"/>
      <c r="B234"/>
      <c r="C234">
        <v>91773</v>
      </c>
      <c r="D234">
        <v>8</v>
      </c>
      <c r="E234">
        <v>10370051</v>
      </c>
      <c r="F234" t="s">
        <v>919</v>
      </c>
      <c r="G234" t="s">
        <v>1353</v>
      </c>
      <c r="H234" t="s">
        <v>1353</v>
      </c>
      <c r="I234" t="s">
        <v>1353</v>
      </c>
      <c r="J234" t="s">
        <v>1353</v>
      </c>
      <c r="K234" t="s">
        <v>1353</v>
      </c>
    </row>
    <row r="235" spans="1:11" x14ac:dyDescent="0.2">
      <c r="A235"/>
      <c r="B235"/>
      <c r="C235">
        <v>91784</v>
      </c>
      <c r="D235">
        <v>8</v>
      </c>
      <c r="E235">
        <v>10369828</v>
      </c>
      <c r="F235" t="s">
        <v>914</v>
      </c>
      <c r="G235" t="s">
        <v>1353</v>
      </c>
      <c r="H235" t="s">
        <v>1353</v>
      </c>
      <c r="I235" t="s">
        <v>1353</v>
      </c>
      <c r="J235" t="s">
        <v>1353</v>
      </c>
      <c r="K235" t="s">
        <v>1353</v>
      </c>
    </row>
    <row r="236" spans="1:11" x14ac:dyDescent="0.2">
      <c r="A236"/>
      <c r="B236"/>
      <c r="C236">
        <v>92377</v>
      </c>
      <c r="D236">
        <v>8</v>
      </c>
      <c r="E236">
        <v>10042242</v>
      </c>
      <c r="F236" t="s">
        <v>914</v>
      </c>
      <c r="G236" t="s">
        <v>1353</v>
      </c>
      <c r="H236" t="s">
        <v>1353</v>
      </c>
      <c r="I236" t="s">
        <v>1353</v>
      </c>
      <c r="J236" t="s">
        <v>1353</v>
      </c>
      <c r="K236" t="s">
        <v>1353</v>
      </c>
    </row>
    <row r="237" spans="1:11" x14ac:dyDescent="0.2">
      <c r="A237"/>
      <c r="B237"/>
      <c r="C237">
        <v>91701</v>
      </c>
      <c r="D237">
        <v>7</v>
      </c>
      <c r="E237">
        <v>10225528</v>
      </c>
      <c r="F237" t="s">
        <v>914</v>
      </c>
      <c r="G237" t="s">
        <v>1353</v>
      </c>
      <c r="H237" t="s">
        <v>1353</v>
      </c>
      <c r="I237" t="s">
        <v>1353</v>
      </c>
      <c r="J237" t="s">
        <v>1353</v>
      </c>
      <c r="K237" t="s">
        <v>1353</v>
      </c>
    </row>
    <row r="238" spans="1:11" x14ac:dyDescent="0.2">
      <c r="A238"/>
      <c r="B238"/>
      <c r="C238">
        <v>91710</v>
      </c>
      <c r="D238">
        <v>7</v>
      </c>
      <c r="E238">
        <v>10340111</v>
      </c>
      <c r="F238" t="s">
        <v>914</v>
      </c>
      <c r="G238" t="s">
        <v>1353</v>
      </c>
      <c r="H238" t="s">
        <v>1353</v>
      </c>
      <c r="I238" t="s">
        <v>1353</v>
      </c>
      <c r="J238" t="s">
        <v>1353</v>
      </c>
      <c r="K238" t="s">
        <v>1353</v>
      </c>
    </row>
    <row r="239" spans="1:11" x14ac:dyDescent="0.2">
      <c r="A239"/>
      <c r="B239"/>
      <c r="C239">
        <v>91730</v>
      </c>
      <c r="D239">
        <v>7</v>
      </c>
      <c r="E239">
        <v>10089053</v>
      </c>
      <c r="F239" t="s">
        <v>914</v>
      </c>
      <c r="G239" t="s">
        <v>1353</v>
      </c>
      <c r="H239" t="s">
        <v>1353</v>
      </c>
      <c r="I239" t="s">
        <v>1353</v>
      </c>
      <c r="J239" t="s">
        <v>1353</v>
      </c>
      <c r="K239" t="s">
        <v>1353</v>
      </c>
    </row>
    <row r="240" spans="1:11" x14ac:dyDescent="0.2">
      <c r="A240"/>
      <c r="B240"/>
      <c r="C240">
        <v>91750</v>
      </c>
      <c r="D240">
        <v>7</v>
      </c>
      <c r="E240">
        <v>1279896</v>
      </c>
      <c r="F240" t="s">
        <v>914</v>
      </c>
      <c r="G240" t="s">
        <v>1356</v>
      </c>
      <c r="H240" t="s">
        <v>1356</v>
      </c>
      <c r="I240" t="s">
        <v>1356</v>
      </c>
      <c r="J240" t="s">
        <v>1356</v>
      </c>
      <c r="K240" t="s">
        <v>1356</v>
      </c>
    </row>
    <row r="241" spans="1:11" x14ac:dyDescent="0.2">
      <c r="A241"/>
      <c r="B241"/>
      <c r="C241">
        <v>91750</v>
      </c>
      <c r="D241">
        <v>7</v>
      </c>
      <c r="E241">
        <v>10279896</v>
      </c>
      <c r="F241" t="s">
        <v>914</v>
      </c>
      <c r="G241" t="s">
        <v>1356</v>
      </c>
      <c r="H241" t="s">
        <v>1356</v>
      </c>
      <c r="I241" t="s">
        <v>1356</v>
      </c>
      <c r="J241" t="s">
        <v>1356</v>
      </c>
      <c r="K241" t="s">
        <v>1356</v>
      </c>
    </row>
    <row r="242" spans="1:11" x14ac:dyDescent="0.2">
      <c r="A242"/>
      <c r="B242"/>
      <c r="C242">
        <v>91762</v>
      </c>
      <c r="D242">
        <v>7</v>
      </c>
      <c r="E242">
        <v>10085156</v>
      </c>
      <c r="F242" t="s">
        <v>914</v>
      </c>
      <c r="G242" t="s">
        <v>191</v>
      </c>
      <c r="H242" t="s">
        <v>191</v>
      </c>
      <c r="I242" t="s">
        <v>191</v>
      </c>
      <c r="J242" t="s">
        <v>191</v>
      </c>
      <c r="K242" t="s">
        <v>191</v>
      </c>
    </row>
    <row r="243" spans="1:11" x14ac:dyDescent="0.2">
      <c r="A243"/>
      <c r="B243"/>
      <c r="C243">
        <v>91762</v>
      </c>
      <c r="D243">
        <v>7</v>
      </c>
      <c r="E243">
        <v>10042946</v>
      </c>
      <c r="F243" t="s">
        <v>914</v>
      </c>
      <c r="G243" t="s">
        <v>1353</v>
      </c>
      <c r="H243" t="s">
        <v>1353</v>
      </c>
      <c r="I243" t="s">
        <v>1353</v>
      </c>
      <c r="J243" t="s">
        <v>1353</v>
      </c>
      <c r="K243" t="s">
        <v>1353</v>
      </c>
    </row>
    <row r="244" spans="1:11" x14ac:dyDescent="0.2">
      <c r="A244"/>
      <c r="B244"/>
      <c r="C244">
        <v>91762</v>
      </c>
      <c r="D244">
        <v>7</v>
      </c>
      <c r="E244">
        <v>10370205</v>
      </c>
      <c r="F244" t="s">
        <v>914</v>
      </c>
      <c r="G244" t="s">
        <v>1353</v>
      </c>
      <c r="H244" t="s">
        <v>1353</v>
      </c>
      <c r="I244" t="s">
        <v>1353</v>
      </c>
      <c r="J244" t="s">
        <v>1353</v>
      </c>
      <c r="K244" t="s">
        <v>1353</v>
      </c>
    </row>
    <row r="245" spans="1:11" x14ac:dyDescent="0.2">
      <c r="A245"/>
      <c r="B245"/>
      <c r="C245">
        <v>91763</v>
      </c>
      <c r="D245">
        <v>7</v>
      </c>
      <c r="E245">
        <v>10134463</v>
      </c>
      <c r="F245" t="s">
        <v>914</v>
      </c>
      <c r="G245" t="s">
        <v>191</v>
      </c>
      <c r="H245" t="s">
        <v>191</v>
      </c>
      <c r="I245" t="s">
        <v>191</v>
      </c>
      <c r="J245" t="s">
        <v>191</v>
      </c>
      <c r="K245" t="s">
        <v>191</v>
      </c>
    </row>
    <row r="246" spans="1:11" x14ac:dyDescent="0.2">
      <c r="A246"/>
      <c r="B246"/>
      <c r="C246">
        <v>91764</v>
      </c>
      <c r="D246">
        <v>7</v>
      </c>
      <c r="E246">
        <v>10344488</v>
      </c>
      <c r="F246" t="s">
        <v>914</v>
      </c>
      <c r="G246" t="s">
        <v>1352</v>
      </c>
      <c r="H246" t="s">
        <v>1352</v>
      </c>
      <c r="I246" t="s">
        <v>1352</v>
      </c>
      <c r="J246" t="s">
        <v>1352</v>
      </c>
      <c r="K246" t="s">
        <v>1352</v>
      </c>
    </row>
    <row r="247" spans="1:11" x14ac:dyDescent="0.2">
      <c r="A247"/>
      <c r="B247"/>
      <c r="C247">
        <v>91764</v>
      </c>
      <c r="D247">
        <v>7</v>
      </c>
      <c r="E247">
        <v>116146</v>
      </c>
      <c r="F247" t="s">
        <v>914</v>
      </c>
      <c r="G247" t="s">
        <v>202</v>
      </c>
      <c r="H247" t="s">
        <v>1353</v>
      </c>
      <c r="I247" t="s">
        <v>1353</v>
      </c>
      <c r="J247" t="s">
        <v>1353</v>
      </c>
      <c r="K247" t="s">
        <v>1353</v>
      </c>
    </row>
    <row r="248" spans="1:11" x14ac:dyDescent="0.2">
      <c r="A248"/>
      <c r="B248"/>
      <c r="C248">
        <v>91764</v>
      </c>
      <c r="D248">
        <v>7</v>
      </c>
      <c r="E248">
        <v>116146</v>
      </c>
      <c r="F248" t="s">
        <v>914</v>
      </c>
      <c r="G248" t="s">
        <v>202</v>
      </c>
      <c r="H248" t="s">
        <v>202</v>
      </c>
      <c r="I248" t="s">
        <v>1353</v>
      </c>
      <c r="J248" t="s">
        <v>1353</v>
      </c>
      <c r="K248" t="s">
        <v>1353</v>
      </c>
    </row>
    <row r="249" spans="1:11" x14ac:dyDescent="0.2">
      <c r="A249"/>
      <c r="B249"/>
      <c r="C249">
        <v>91768</v>
      </c>
      <c r="D249">
        <v>7</v>
      </c>
      <c r="E249">
        <v>10168793</v>
      </c>
      <c r="F249" t="s">
        <v>914</v>
      </c>
      <c r="G249" t="s">
        <v>1353</v>
      </c>
      <c r="H249" t="s">
        <v>1353</v>
      </c>
      <c r="I249" t="s">
        <v>1353</v>
      </c>
      <c r="J249" t="s">
        <v>1353</v>
      </c>
      <c r="K249" t="s">
        <v>1353</v>
      </c>
    </row>
    <row r="250" spans="1:11" x14ac:dyDescent="0.2">
      <c r="A250"/>
      <c r="B250"/>
      <c r="C250">
        <v>91773</v>
      </c>
      <c r="D250">
        <v>7</v>
      </c>
      <c r="E250">
        <v>10366905</v>
      </c>
      <c r="F250" t="s">
        <v>914</v>
      </c>
      <c r="G250" t="s">
        <v>1353</v>
      </c>
      <c r="H250" t="s">
        <v>1351</v>
      </c>
      <c r="I250" t="s">
        <v>1353</v>
      </c>
      <c r="J250" t="s">
        <v>1351</v>
      </c>
      <c r="K250" t="s">
        <v>1353</v>
      </c>
    </row>
    <row r="251" spans="1:11" x14ac:dyDescent="0.2">
      <c r="A251"/>
      <c r="B251"/>
      <c r="C251">
        <v>91784</v>
      </c>
      <c r="D251">
        <v>7</v>
      </c>
      <c r="E251">
        <v>10361237</v>
      </c>
      <c r="F251" t="s">
        <v>914</v>
      </c>
      <c r="G251" t="s">
        <v>1353</v>
      </c>
      <c r="H251" t="s">
        <v>1353</v>
      </c>
      <c r="I251" t="s">
        <v>1353</v>
      </c>
      <c r="J251" t="s">
        <v>1353</v>
      </c>
      <c r="K251" t="s">
        <v>191</v>
      </c>
    </row>
    <row r="252" spans="1:11" x14ac:dyDescent="0.2">
      <c r="A252"/>
      <c r="B252"/>
      <c r="C252">
        <v>91784</v>
      </c>
      <c r="D252">
        <v>7</v>
      </c>
      <c r="E252">
        <v>10180504</v>
      </c>
      <c r="F252" t="s">
        <v>914</v>
      </c>
      <c r="G252" t="s">
        <v>1353</v>
      </c>
      <c r="H252" t="s">
        <v>1353</v>
      </c>
      <c r="I252" t="s">
        <v>1353</v>
      </c>
      <c r="J252" t="s">
        <v>1353</v>
      </c>
      <c r="K252" t="s">
        <v>1353</v>
      </c>
    </row>
    <row r="253" spans="1:11" x14ac:dyDescent="0.2">
      <c r="A253"/>
      <c r="B253"/>
      <c r="C253">
        <v>91730</v>
      </c>
      <c r="D253">
        <v>6</v>
      </c>
      <c r="E253">
        <v>10352784</v>
      </c>
      <c r="F253" t="s">
        <v>914</v>
      </c>
      <c r="G253" t="s">
        <v>1353</v>
      </c>
      <c r="H253" t="s">
        <v>1353</v>
      </c>
      <c r="I253" t="s">
        <v>195</v>
      </c>
      <c r="J253" t="s">
        <v>195</v>
      </c>
      <c r="K253" t="s">
        <v>1353</v>
      </c>
    </row>
    <row r="254" spans="1:11" x14ac:dyDescent="0.2">
      <c r="A254"/>
      <c r="B254"/>
      <c r="C254">
        <v>91730</v>
      </c>
      <c r="D254">
        <v>6</v>
      </c>
      <c r="E254">
        <v>10012932</v>
      </c>
      <c r="F254" t="s">
        <v>914</v>
      </c>
      <c r="G254" t="s">
        <v>1353</v>
      </c>
      <c r="H254" t="s">
        <v>1353</v>
      </c>
      <c r="I254" t="s">
        <v>1353</v>
      </c>
      <c r="J254" t="s">
        <v>1353</v>
      </c>
      <c r="K254" t="s">
        <v>1353</v>
      </c>
    </row>
    <row r="255" spans="1:11" x14ac:dyDescent="0.2">
      <c r="A255"/>
      <c r="B255"/>
      <c r="C255">
        <v>91750</v>
      </c>
      <c r="D255">
        <v>6</v>
      </c>
      <c r="E255">
        <v>10271604</v>
      </c>
      <c r="F255" t="s">
        <v>914</v>
      </c>
      <c r="G255" t="s">
        <v>1353</v>
      </c>
      <c r="H255" t="s">
        <v>1353</v>
      </c>
      <c r="I255" t="s">
        <v>1353</v>
      </c>
      <c r="J255" t="s">
        <v>1353</v>
      </c>
      <c r="K255" t="s">
        <v>1353</v>
      </c>
    </row>
    <row r="256" spans="1:11" x14ac:dyDescent="0.2">
      <c r="A256"/>
      <c r="B256"/>
      <c r="C256">
        <v>91750</v>
      </c>
      <c r="D256">
        <v>6</v>
      </c>
      <c r="E256">
        <v>10283454</v>
      </c>
      <c r="F256" t="s">
        <v>914</v>
      </c>
      <c r="G256" t="s">
        <v>1373</v>
      </c>
      <c r="H256" t="s">
        <v>1373</v>
      </c>
      <c r="I256" t="s">
        <v>1373</v>
      </c>
      <c r="J256" t="s">
        <v>1373</v>
      </c>
      <c r="K256" t="s">
        <v>1373</v>
      </c>
    </row>
    <row r="257" spans="1:11" x14ac:dyDescent="0.2">
      <c r="A257"/>
      <c r="B257"/>
      <c r="C257">
        <v>91750</v>
      </c>
      <c r="D257">
        <v>6</v>
      </c>
      <c r="E257">
        <v>10362859</v>
      </c>
      <c r="F257" t="s">
        <v>914</v>
      </c>
      <c r="G257" t="s">
        <v>195</v>
      </c>
      <c r="H257" t="s">
        <v>195</v>
      </c>
      <c r="I257" t="s">
        <v>195</v>
      </c>
      <c r="J257" t="s">
        <v>195</v>
      </c>
      <c r="K257" t="s">
        <v>195</v>
      </c>
    </row>
    <row r="258" spans="1:11" x14ac:dyDescent="0.2">
      <c r="A258"/>
      <c r="B258"/>
      <c r="C258">
        <v>91762</v>
      </c>
      <c r="D258">
        <v>6</v>
      </c>
      <c r="E258">
        <v>10368509</v>
      </c>
      <c r="F258" t="s">
        <v>914</v>
      </c>
      <c r="G258" t="s">
        <v>1353</v>
      </c>
      <c r="H258" t="s">
        <v>1353</v>
      </c>
      <c r="I258" t="s">
        <v>1353</v>
      </c>
      <c r="J258" t="s">
        <v>1353</v>
      </c>
      <c r="K258" t="s">
        <v>1353</v>
      </c>
    </row>
    <row r="259" spans="1:11" x14ac:dyDescent="0.2">
      <c r="A259"/>
      <c r="B259"/>
      <c r="C259">
        <v>91762</v>
      </c>
      <c r="D259">
        <v>6</v>
      </c>
      <c r="E259">
        <v>10043582</v>
      </c>
      <c r="F259" t="s">
        <v>914</v>
      </c>
      <c r="G259" t="s">
        <v>1353</v>
      </c>
      <c r="H259" t="s">
        <v>1353</v>
      </c>
      <c r="I259" t="s">
        <v>1353</v>
      </c>
      <c r="J259" t="s">
        <v>1353</v>
      </c>
      <c r="K259" t="s">
        <v>1353</v>
      </c>
    </row>
    <row r="260" spans="1:11" x14ac:dyDescent="0.2">
      <c r="A260"/>
      <c r="B260"/>
      <c r="C260">
        <v>91762</v>
      </c>
      <c r="D260">
        <v>6</v>
      </c>
      <c r="E260">
        <v>10043333</v>
      </c>
      <c r="F260" t="s">
        <v>914</v>
      </c>
      <c r="G260" t="s">
        <v>1353</v>
      </c>
      <c r="H260" t="s">
        <v>1353</v>
      </c>
      <c r="I260" t="s">
        <v>1353</v>
      </c>
      <c r="J260" t="s">
        <v>1353</v>
      </c>
      <c r="K260" t="s">
        <v>1353</v>
      </c>
    </row>
    <row r="261" spans="1:11" x14ac:dyDescent="0.2">
      <c r="A261"/>
      <c r="B261"/>
      <c r="C261">
        <v>91764</v>
      </c>
      <c r="D261">
        <v>6</v>
      </c>
      <c r="E261">
        <v>10340696</v>
      </c>
      <c r="F261" t="s">
        <v>914</v>
      </c>
      <c r="G261" t="s">
        <v>1353</v>
      </c>
      <c r="H261" t="s">
        <v>1353</v>
      </c>
      <c r="I261" t="s">
        <v>1353</v>
      </c>
      <c r="J261" t="s">
        <v>1353</v>
      </c>
      <c r="K261" t="s">
        <v>1353</v>
      </c>
    </row>
    <row r="262" spans="1:11" x14ac:dyDescent="0.2">
      <c r="A262"/>
      <c r="B262"/>
      <c r="C262">
        <v>91764</v>
      </c>
      <c r="D262">
        <v>6</v>
      </c>
      <c r="E262">
        <v>10086534</v>
      </c>
      <c r="F262" t="s">
        <v>914</v>
      </c>
      <c r="G262" t="s">
        <v>1353</v>
      </c>
      <c r="H262" t="s">
        <v>1353</v>
      </c>
      <c r="I262" t="s">
        <v>1353</v>
      </c>
      <c r="J262" t="s">
        <v>1353</v>
      </c>
      <c r="K262" t="s">
        <v>1353</v>
      </c>
    </row>
    <row r="263" spans="1:11" x14ac:dyDescent="0.2">
      <c r="A263"/>
      <c r="B263"/>
      <c r="C263">
        <v>91768</v>
      </c>
      <c r="D263">
        <v>6</v>
      </c>
      <c r="E263">
        <v>10243224</v>
      </c>
      <c r="F263" t="s">
        <v>914</v>
      </c>
      <c r="G263" t="s">
        <v>1353</v>
      </c>
      <c r="H263" t="s">
        <v>1353</v>
      </c>
      <c r="I263" t="s">
        <v>1353</v>
      </c>
      <c r="J263" t="s">
        <v>1353</v>
      </c>
      <c r="K263" t="s">
        <v>1353</v>
      </c>
    </row>
    <row r="264" spans="1:11" x14ac:dyDescent="0.2">
      <c r="A264"/>
      <c r="B264"/>
      <c r="C264">
        <v>91768</v>
      </c>
      <c r="D264">
        <v>6</v>
      </c>
      <c r="E264">
        <v>10358766</v>
      </c>
      <c r="F264" t="s">
        <v>914</v>
      </c>
      <c r="G264" t="s">
        <v>1353</v>
      </c>
      <c r="H264" t="s">
        <v>1353</v>
      </c>
      <c r="I264" t="s">
        <v>1353</v>
      </c>
      <c r="J264" t="s">
        <v>1353</v>
      </c>
      <c r="K264" t="s">
        <v>1353</v>
      </c>
    </row>
    <row r="265" spans="1:11" x14ac:dyDescent="0.2">
      <c r="A265"/>
      <c r="B265"/>
      <c r="C265">
        <v>91784</v>
      </c>
      <c r="D265">
        <v>6</v>
      </c>
      <c r="E265">
        <v>10358547</v>
      </c>
      <c r="F265" t="s">
        <v>914</v>
      </c>
      <c r="G265" t="s">
        <v>1351</v>
      </c>
      <c r="H265" t="s">
        <v>1356</v>
      </c>
      <c r="I265" t="s">
        <v>1356</v>
      </c>
      <c r="J265" t="s">
        <v>1356</v>
      </c>
      <c r="K265" t="s">
        <v>1356</v>
      </c>
    </row>
    <row r="266" spans="1:11" x14ac:dyDescent="0.2">
      <c r="A266"/>
      <c r="B266"/>
      <c r="C266">
        <v>91784</v>
      </c>
      <c r="D266">
        <v>6</v>
      </c>
      <c r="E266">
        <v>10352887</v>
      </c>
      <c r="F266" t="s">
        <v>919</v>
      </c>
      <c r="G266" t="s">
        <v>202</v>
      </c>
      <c r="H266" t="s">
        <v>202</v>
      </c>
      <c r="I266" t="s">
        <v>1351</v>
      </c>
      <c r="J266" t="s">
        <v>202</v>
      </c>
      <c r="K266" t="s">
        <v>1351</v>
      </c>
    </row>
    <row r="267" spans="1:11" x14ac:dyDescent="0.2">
      <c r="A267"/>
      <c r="B267"/>
      <c r="C267">
        <v>91786</v>
      </c>
      <c r="D267">
        <v>6</v>
      </c>
      <c r="E267">
        <v>10191267</v>
      </c>
      <c r="F267" t="s">
        <v>914</v>
      </c>
      <c r="G267" t="s">
        <v>1353</v>
      </c>
      <c r="H267" t="s">
        <v>1353</v>
      </c>
      <c r="I267" t="s">
        <v>1353</v>
      </c>
      <c r="J267" t="s">
        <v>1353</v>
      </c>
      <c r="K267" t="s">
        <v>1353</v>
      </c>
    </row>
    <row r="268" spans="1:11" x14ac:dyDescent="0.2">
      <c r="A268"/>
      <c r="B268"/>
      <c r="C268">
        <v>91874</v>
      </c>
      <c r="D268">
        <v>6</v>
      </c>
      <c r="E268">
        <v>115374</v>
      </c>
      <c r="F268" t="s">
        <v>914</v>
      </c>
      <c r="G268" t="s">
        <v>1358</v>
      </c>
      <c r="H268" t="s">
        <v>1352</v>
      </c>
      <c r="I268" t="s">
        <v>1358</v>
      </c>
      <c r="J268" t="s">
        <v>1358</v>
      </c>
      <c r="K268" t="s">
        <v>1358</v>
      </c>
    </row>
    <row r="269" spans="1:11" x14ac:dyDescent="0.2">
      <c r="A269"/>
      <c r="B269"/>
      <c r="C269">
        <v>91711</v>
      </c>
      <c r="D269">
        <v>5</v>
      </c>
      <c r="E269">
        <v>10366376</v>
      </c>
      <c r="F269" t="s">
        <v>914</v>
      </c>
      <c r="G269" t="s">
        <v>1351</v>
      </c>
      <c r="H269" t="s">
        <v>1351</v>
      </c>
      <c r="I269" t="s">
        <v>202</v>
      </c>
      <c r="J269" t="s">
        <v>1351</v>
      </c>
      <c r="K269" t="s">
        <v>1351</v>
      </c>
    </row>
    <row r="270" spans="1:11" x14ac:dyDescent="0.2">
      <c r="A270"/>
      <c r="B270"/>
      <c r="C270">
        <v>91750</v>
      </c>
      <c r="D270">
        <v>5</v>
      </c>
      <c r="E270">
        <v>10366701</v>
      </c>
      <c r="F270" t="s">
        <v>914</v>
      </c>
      <c r="G270" t="s">
        <v>1352</v>
      </c>
      <c r="H270" t="s">
        <v>1352</v>
      </c>
      <c r="I270" t="s">
        <v>1353</v>
      </c>
      <c r="J270" t="s">
        <v>1356</v>
      </c>
      <c r="K270" t="s">
        <v>1352</v>
      </c>
    </row>
    <row r="271" spans="1:11" x14ac:dyDescent="0.2">
      <c r="A271"/>
      <c r="B271"/>
      <c r="C271">
        <v>91750</v>
      </c>
      <c r="D271">
        <v>5</v>
      </c>
      <c r="E271">
        <v>10369824</v>
      </c>
      <c r="F271" t="s">
        <v>914</v>
      </c>
      <c r="G271" t="s">
        <v>1353</v>
      </c>
      <c r="H271" t="s">
        <v>1351</v>
      </c>
      <c r="I271" t="s">
        <v>1351</v>
      </c>
      <c r="J271" t="s">
        <v>1353</v>
      </c>
      <c r="K271" t="s">
        <v>1353</v>
      </c>
    </row>
    <row r="272" spans="1:11" x14ac:dyDescent="0.2">
      <c r="A272"/>
      <c r="B272"/>
      <c r="C272">
        <v>91750</v>
      </c>
      <c r="D272">
        <v>5</v>
      </c>
      <c r="E272">
        <v>10363032</v>
      </c>
      <c r="F272" t="s">
        <v>914</v>
      </c>
      <c r="G272" t="s">
        <v>1353</v>
      </c>
      <c r="H272" t="s">
        <v>1353</v>
      </c>
      <c r="I272" t="s">
        <v>1353</v>
      </c>
      <c r="J272" t="s">
        <v>1353</v>
      </c>
      <c r="K272" t="s">
        <v>1353</v>
      </c>
    </row>
    <row r="273" spans="1:11" x14ac:dyDescent="0.2">
      <c r="A273"/>
      <c r="B273"/>
      <c r="C273">
        <v>91750</v>
      </c>
      <c r="D273">
        <v>5</v>
      </c>
      <c r="E273">
        <v>10361485</v>
      </c>
      <c r="F273" t="s">
        <v>914</v>
      </c>
      <c r="G273" t="s">
        <v>1352</v>
      </c>
      <c r="H273" t="s">
        <v>1352</v>
      </c>
      <c r="I273" t="s">
        <v>1352</v>
      </c>
      <c r="J273" t="s">
        <v>1352</v>
      </c>
      <c r="K273" t="s">
        <v>1352</v>
      </c>
    </row>
    <row r="274" spans="1:11" x14ac:dyDescent="0.2">
      <c r="A274"/>
      <c r="B274"/>
      <c r="C274">
        <v>91750</v>
      </c>
      <c r="D274">
        <v>5</v>
      </c>
      <c r="E274">
        <v>10366782</v>
      </c>
      <c r="F274" t="s">
        <v>914</v>
      </c>
      <c r="G274" t="s">
        <v>1353</v>
      </c>
      <c r="H274" t="s">
        <v>1353</v>
      </c>
      <c r="I274" t="s">
        <v>1353</v>
      </c>
      <c r="J274" t="s">
        <v>1353</v>
      </c>
      <c r="K274" t="s">
        <v>1353</v>
      </c>
    </row>
    <row r="275" spans="1:11" x14ac:dyDescent="0.2">
      <c r="A275"/>
      <c r="B275"/>
      <c r="C275">
        <v>91750</v>
      </c>
      <c r="D275">
        <v>5</v>
      </c>
      <c r="E275">
        <v>10018465</v>
      </c>
      <c r="F275" t="s">
        <v>914</v>
      </c>
      <c r="G275" t="s">
        <v>1353</v>
      </c>
      <c r="H275" t="s">
        <v>1353</v>
      </c>
      <c r="I275" t="s">
        <v>1353</v>
      </c>
      <c r="J275" t="s">
        <v>1353</v>
      </c>
      <c r="K275" t="s">
        <v>1353</v>
      </c>
    </row>
    <row r="276" spans="1:11" x14ac:dyDescent="0.2">
      <c r="A276"/>
      <c r="B276"/>
      <c r="C276">
        <v>91750</v>
      </c>
      <c r="D276">
        <v>5</v>
      </c>
      <c r="E276">
        <v>10355074</v>
      </c>
      <c r="F276" t="s">
        <v>914</v>
      </c>
      <c r="G276" t="s">
        <v>199</v>
      </c>
      <c r="H276" t="s">
        <v>199</v>
      </c>
      <c r="I276" t="s">
        <v>1353</v>
      </c>
      <c r="J276" t="s">
        <v>1353</v>
      </c>
      <c r="K276" t="s">
        <v>1353</v>
      </c>
    </row>
    <row r="277" spans="1:11" x14ac:dyDescent="0.2">
      <c r="A277"/>
      <c r="B277"/>
      <c r="C277">
        <v>91750</v>
      </c>
      <c r="D277">
        <v>5</v>
      </c>
      <c r="E277">
        <v>10363271</v>
      </c>
      <c r="F277" t="s">
        <v>914</v>
      </c>
      <c r="G277" t="s">
        <v>1351</v>
      </c>
      <c r="H277" t="s">
        <v>1351</v>
      </c>
      <c r="I277" t="s">
        <v>1351</v>
      </c>
      <c r="J277" t="s">
        <v>1351</v>
      </c>
      <c r="K277" t="s">
        <v>1351</v>
      </c>
    </row>
    <row r="278" spans="1:11" x14ac:dyDescent="0.2">
      <c r="A278"/>
      <c r="B278"/>
      <c r="C278">
        <v>91762</v>
      </c>
      <c r="D278">
        <v>5</v>
      </c>
      <c r="E278">
        <v>10358767</v>
      </c>
      <c r="F278" t="s">
        <v>914</v>
      </c>
      <c r="G278" t="s">
        <v>1351</v>
      </c>
      <c r="H278" t="s">
        <v>1351</v>
      </c>
      <c r="I278" t="s">
        <v>1351</v>
      </c>
      <c r="J278" t="s">
        <v>1351</v>
      </c>
      <c r="K278" t="s">
        <v>1351</v>
      </c>
    </row>
    <row r="279" spans="1:11" x14ac:dyDescent="0.2">
      <c r="A279"/>
      <c r="B279"/>
      <c r="C279">
        <v>91762</v>
      </c>
      <c r="D279">
        <v>5</v>
      </c>
      <c r="E279">
        <v>10345418</v>
      </c>
      <c r="F279" t="s">
        <v>914</v>
      </c>
      <c r="G279" t="s">
        <v>1351</v>
      </c>
      <c r="H279" t="s">
        <v>1353</v>
      </c>
      <c r="I279" t="s">
        <v>1353</v>
      </c>
      <c r="J279" t="s">
        <v>1353</v>
      </c>
      <c r="K279" t="s">
        <v>1353</v>
      </c>
    </row>
    <row r="280" spans="1:11" x14ac:dyDescent="0.2">
      <c r="A280"/>
      <c r="B280"/>
      <c r="C280">
        <v>91762</v>
      </c>
      <c r="D280">
        <v>5</v>
      </c>
      <c r="E280">
        <v>10337578</v>
      </c>
      <c r="F280" t="s">
        <v>914</v>
      </c>
      <c r="G280" t="s">
        <v>1353</v>
      </c>
      <c r="H280" t="s">
        <v>1353</v>
      </c>
      <c r="I280" t="s">
        <v>1353</v>
      </c>
      <c r="J280" t="s">
        <v>1353</v>
      </c>
      <c r="K280" t="s">
        <v>1353</v>
      </c>
    </row>
    <row r="281" spans="1:11" x14ac:dyDescent="0.2">
      <c r="A281"/>
      <c r="B281"/>
      <c r="C281">
        <v>91763</v>
      </c>
      <c r="D281">
        <v>5</v>
      </c>
      <c r="E281">
        <v>10091335</v>
      </c>
      <c r="F281" t="s">
        <v>914</v>
      </c>
      <c r="G281" t="s">
        <v>1352</v>
      </c>
      <c r="H281" t="s">
        <v>1352</v>
      </c>
      <c r="I281" t="s">
        <v>195</v>
      </c>
      <c r="J281" t="s">
        <v>1352</v>
      </c>
      <c r="K281" t="s">
        <v>1352</v>
      </c>
    </row>
    <row r="282" spans="1:11" x14ac:dyDescent="0.2">
      <c r="A282"/>
      <c r="B282"/>
      <c r="C282">
        <v>91763</v>
      </c>
      <c r="D282">
        <v>5</v>
      </c>
      <c r="E282">
        <v>1027734</v>
      </c>
      <c r="F282" t="s">
        <v>914</v>
      </c>
      <c r="G282" t="s">
        <v>1353</v>
      </c>
      <c r="H282" t="s">
        <v>1353</v>
      </c>
      <c r="I282" t="s">
        <v>1353</v>
      </c>
      <c r="J282" t="s">
        <v>1353</v>
      </c>
      <c r="K282" t="s">
        <v>1353</v>
      </c>
    </row>
    <row r="283" spans="1:11" x14ac:dyDescent="0.2">
      <c r="A283"/>
      <c r="B283"/>
      <c r="C283">
        <v>91763</v>
      </c>
      <c r="D283">
        <v>5</v>
      </c>
      <c r="E283">
        <v>10042293</v>
      </c>
      <c r="F283" t="s">
        <v>914</v>
      </c>
      <c r="G283" t="s">
        <v>1353</v>
      </c>
      <c r="H283" t="s">
        <v>1353</v>
      </c>
      <c r="I283" t="s">
        <v>1353</v>
      </c>
      <c r="J283" t="s">
        <v>1353</v>
      </c>
      <c r="K283" t="s">
        <v>1353</v>
      </c>
    </row>
    <row r="284" spans="1:11" x14ac:dyDescent="0.2">
      <c r="A284"/>
      <c r="B284"/>
      <c r="C284">
        <v>91763</v>
      </c>
      <c r="D284">
        <v>5</v>
      </c>
      <c r="E284">
        <v>10360836</v>
      </c>
      <c r="F284" t="s">
        <v>914</v>
      </c>
      <c r="G284" t="s">
        <v>1352</v>
      </c>
      <c r="H284" t="s">
        <v>1352</v>
      </c>
      <c r="I284" t="s">
        <v>1352</v>
      </c>
      <c r="J284" t="s">
        <v>1352</v>
      </c>
      <c r="K284" t="s">
        <v>1352</v>
      </c>
    </row>
    <row r="285" spans="1:11" x14ac:dyDescent="0.2">
      <c r="A285"/>
      <c r="B285"/>
      <c r="C285">
        <v>91764</v>
      </c>
      <c r="D285">
        <v>5</v>
      </c>
      <c r="E285">
        <v>10358745</v>
      </c>
      <c r="F285" t="s">
        <v>914</v>
      </c>
      <c r="G285" t="s">
        <v>1353</v>
      </c>
      <c r="H285" t="s">
        <v>1353</v>
      </c>
      <c r="I285" t="s">
        <v>1353</v>
      </c>
      <c r="J285" t="s">
        <v>1353</v>
      </c>
      <c r="K285" t="s">
        <v>1353</v>
      </c>
    </row>
    <row r="286" spans="1:11" x14ac:dyDescent="0.2">
      <c r="A286"/>
      <c r="B286"/>
      <c r="C286">
        <v>91766</v>
      </c>
      <c r="D286">
        <v>5</v>
      </c>
      <c r="E286">
        <v>10092382</v>
      </c>
      <c r="F286" t="s">
        <v>914</v>
      </c>
      <c r="G286" t="s">
        <v>1352</v>
      </c>
      <c r="H286" t="s">
        <v>1352</v>
      </c>
      <c r="I286" t="s">
        <v>1352</v>
      </c>
      <c r="J286" t="s">
        <v>1352</v>
      </c>
      <c r="K286" t="s">
        <v>1352</v>
      </c>
    </row>
    <row r="287" spans="1:11" x14ac:dyDescent="0.2">
      <c r="A287"/>
      <c r="B287"/>
      <c r="C287">
        <v>91767</v>
      </c>
      <c r="D287">
        <v>5</v>
      </c>
      <c r="E287">
        <v>10086568</v>
      </c>
      <c r="F287" t="s">
        <v>914</v>
      </c>
      <c r="G287" t="s">
        <v>1352</v>
      </c>
      <c r="H287" t="s">
        <v>1352</v>
      </c>
      <c r="I287" t="s">
        <v>1352</v>
      </c>
      <c r="J287" t="s">
        <v>1352</v>
      </c>
      <c r="K287" t="s">
        <v>1352</v>
      </c>
    </row>
    <row r="288" spans="1:11" x14ac:dyDescent="0.2">
      <c r="A288"/>
      <c r="B288"/>
      <c r="C288">
        <v>91784</v>
      </c>
      <c r="D288">
        <v>5</v>
      </c>
      <c r="E288">
        <v>10363451</v>
      </c>
      <c r="F288" t="s">
        <v>914</v>
      </c>
      <c r="G288" t="s">
        <v>1353</v>
      </c>
      <c r="H288" t="s">
        <v>1353</v>
      </c>
      <c r="I288" t="s">
        <v>1353</v>
      </c>
      <c r="J288" t="s">
        <v>1353</v>
      </c>
      <c r="K288" t="s">
        <v>1353</v>
      </c>
    </row>
    <row r="289" spans="1:11" x14ac:dyDescent="0.2">
      <c r="A289"/>
      <c r="B289"/>
      <c r="C289">
        <v>91784</v>
      </c>
      <c r="D289">
        <v>5</v>
      </c>
      <c r="E289">
        <v>10345447</v>
      </c>
      <c r="F289" t="s">
        <v>914</v>
      </c>
      <c r="G289" t="s">
        <v>1358</v>
      </c>
      <c r="H289" t="s">
        <v>1351</v>
      </c>
      <c r="I289" t="s">
        <v>1358</v>
      </c>
      <c r="J289" t="s">
        <v>1358</v>
      </c>
      <c r="K289" t="s">
        <v>1358</v>
      </c>
    </row>
    <row r="290" spans="1:11" x14ac:dyDescent="0.2">
      <c r="A290"/>
      <c r="B290"/>
      <c r="C290">
        <v>91784</v>
      </c>
      <c r="D290">
        <v>5</v>
      </c>
      <c r="E290" t="s">
        <v>1378</v>
      </c>
      <c r="F290" t="s">
        <v>914</v>
      </c>
      <c r="G290" t="s">
        <v>1353</v>
      </c>
      <c r="H290" t="s">
        <v>1353</v>
      </c>
      <c r="I290" t="s">
        <v>1353</v>
      </c>
      <c r="J290" t="s">
        <v>1353</v>
      </c>
      <c r="K290" t="s">
        <v>1353</v>
      </c>
    </row>
    <row r="291" spans="1:11" x14ac:dyDescent="0.2">
      <c r="A291"/>
      <c r="B291"/>
      <c r="C291">
        <v>91784</v>
      </c>
      <c r="D291">
        <v>5</v>
      </c>
      <c r="E291">
        <v>10355945</v>
      </c>
      <c r="F291" t="s">
        <v>914</v>
      </c>
      <c r="G291" t="s">
        <v>1356</v>
      </c>
      <c r="H291" t="s">
        <v>1356</v>
      </c>
      <c r="I291" t="s">
        <v>1356</v>
      </c>
      <c r="J291" t="s">
        <v>1356</v>
      </c>
      <c r="K291" t="s">
        <v>1356</v>
      </c>
    </row>
    <row r="292" spans="1:11" x14ac:dyDescent="0.2">
      <c r="A292"/>
      <c r="B292"/>
      <c r="C292">
        <v>91784</v>
      </c>
      <c r="D292">
        <v>5</v>
      </c>
      <c r="E292">
        <v>10346032</v>
      </c>
      <c r="F292" t="s">
        <v>914</v>
      </c>
      <c r="G292" t="s">
        <v>1351</v>
      </c>
      <c r="H292" t="s">
        <v>1351</v>
      </c>
      <c r="I292" t="s">
        <v>1351</v>
      </c>
      <c r="J292" t="s">
        <v>1351</v>
      </c>
      <c r="K292" t="s">
        <v>1351</v>
      </c>
    </row>
    <row r="293" spans="1:11" x14ac:dyDescent="0.2">
      <c r="A293"/>
      <c r="B293"/>
      <c r="C293">
        <v>91784</v>
      </c>
      <c r="D293">
        <v>5</v>
      </c>
      <c r="E293">
        <v>10366675</v>
      </c>
      <c r="F293" t="s">
        <v>914</v>
      </c>
      <c r="G293" t="s">
        <v>1353</v>
      </c>
      <c r="H293" t="s">
        <v>1353</v>
      </c>
      <c r="I293" t="s">
        <v>1353</v>
      </c>
      <c r="J293" t="s">
        <v>1353</v>
      </c>
      <c r="K293" t="s">
        <v>1353</v>
      </c>
    </row>
    <row r="294" spans="1:11" x14ac:dyDescent="0.2">
      <c r="A294"/>
      <c r="B294"/>
      <c r="C294">
        <v>91784</v>
      </c>
      <c r="D294">
        <v>5</v>
      </c>
      <c r="E294">
        <v>10350170</v>
      </c>
      <c r="F294" t="s">
        <v>914</v>
      </c>
      <c r="G294" t="s">
        <v>1353</v>
      </c>
      <c r="H294" t="s">
        <v>1353</v>
      </c>
      <c r="I294" t="s">
        <v>1353</v>
      </c>
      <c r="J294" t="s">
        <v>1353</v>
      </c>
      <c r="K294" t="s">
        <v>1353</v>
      </c>
    </row>
    <row r="295" spans="1:11" x14ac:dyDescent="0.2">
      <c r="A295"/>
      <c r="B295"/>
      <c r="C295">
        <v>91786</v>
      </c>
      <c r="D295">
        <v>5</v>
      </c>
      <c r="E295">
        <v>10243165</v>
      </c>
      <c r="F295" t="s">
        <v>914</v>
      </c>
      <c r="G295" t="s">
        <v>1373</v>
      </c>
      <c r="H295" t="s">
        <v>1373</v>
      </c>
      <c r="I295" t="s">
        <v>1373</v>
      </c>
      <c r="J295" t="s">
        <v>1373</v>
      </c>
      <c r="K295" t="s">
        <v>1373</v>
      </c>
    </row>
    <row r="296" spans="1:11" x14ac:dyDescent="0.2">
      <c r="A296"/>
      <c r="B296"/>
      <c r="C296">
        <v>91786</v>
      </c>
      <c r="D296">
        <v>5</v>
      </c>
      <c r="E296">
        <v>10197152</v>
      </c>
      <c r="F296" t="s">
        <v>914</v>
      </c>
      <c r="G296" t="s">
        <v>1358</v>
      </c>
      <c r="H296" t="s">
        <v>1358</v>
      </c>
      <c r="I296" t="s">
        <v>1358</v>
      </c>
      <c r="J296" t="s">
        <v>1358</v>
      </c>
      <c r="K296" t="s">
        <v>1358</v>
      </c>
    </row>
    <row r="297" spans="1:11" x14ac:dyDescent="0.2">
      <c r="A297"/>
      <c r="B297"/>
      <c r="C297">
        <v>91786</v>
      </c>
      <c r="D297">
        <v>5</v>
      </c>
      <c r="E297">
        <v>909730130</v>
      </c>
      <c r="F297" t="s">
        <v>914</v>
      </c>
      <c r="G297" t="s">
        <v>1353</v>
      </c>
      <c r="H297" t="s">
        <v>1353</v>
      </c>
      <c r="I297" t="s">
        <v>1353</v>
      </c>
      <c r="J297" t="s">
        <v>1353</v>
      </c>
      <c r="K297" t="s">
        <v>1353</v>
      </c>
    </row>
    <row r="298" spans="1:11" x14ac:dyDescent="0.2">
      <c r="A298"/>
      <c r="B298"/>
      <c r="C298">
        <v>91786</v>
      </c>
      <c r="D298">
        <v>5</v>
      </c>
      <c r="E298">
        <v>10364341</v>
      </c>
      <c r="F298" t="s">
        <v>914</v>
      </c>
      <c r="G298" t="s">
        <v>1353</v>
      </c>
      <c r="H298" t="s">
        <v>1353</v>
      </c>
      <c r="I298" t="s">
        <v>202</v>
      </c>
      <c r="J298" t="s">
        <v>202</v>
      </c>
      <c r="K298" t="s">
        <v>1353</v>
      </c>
    </row>
    <row r="299" spans="1:11" x14ac:dyDescent="0.2">
      <c r="A299"/>
      <c r="B299"/>
      <c r="C299">
        <v>91786</v>
      </c>
      <c r="D299">
        <v>5</v>
      </c>
      <c r="E299">
        <v>100425246</v>
      </c>
      <c r="F299" t="s">
        <v>914</v>
      </c>
      <c r="G299" t="s">
        <v>1353</v>
      </c>
      <c r="H299" t="s">
        <v>1353</v>
      </c>
      <c r="I299" t="s">
        <v>1353</v>
      </c>
      <c r="J299" t="s">
        <v>1353</v>
      </c>
      <c r="K299" t="s">
        <v>1353</v>
      </c>
    </row>
    <row r="300" spans="1:11" x14ac:dyDescent="0.2">
      <c r="A300"/>
      <c r="B300"/>
      <c r="C300">
        <v>91711</v>
      </c>
      <c r="D300">
        <v>4</v>
      </c>
      <c r="E300">
        <v>10256706</v>
      </c>
      <c r="F300" t="s">
        <v>914</v>
      </c>
      <c r="G300" t="s">
        <v>1353</v>
      </c>
      <c r="H300" t="s">
        <v>1353</v>
      </c>
      <c r="I300" t="s">
        <v>1353</v>
      </c>
      <c r="J300" t="s">
        <v>1353</v>
      </c>
      <c r="K300" t="s">
        <v>1353</v>
      </c>
    </row>
    <row r="301" spans="1:11" x14ac:dyDescent="0.2">
      <c r="A301"/>
      <c r="B301"/>
      <c r="C301">
        <v>91722</v>
      </c>
      <c r="D301">
        <v>4</v>
      </c>
      <c r="E301">
        <v>10358066</v>
      </c>
      <c r="F301" t="s">
        <v>914</v>
      </c>
      <c r="G301" t="s">
        <v>1353</v>
      </c>
      <c r="H301" t="s">
        <v>1353</v>
      </c>
      <c r="I301" t="s">
        <v>1353</v>
      </c>
      <c r="J301" t="s">
        <v>1353</v>
      </c>
      <c r="K301" t="s">
        <v>199</v>
      </c>
    </row>
    <row r="302" spans="1:11" x14ac:dyDescent="0.2">
      <c r="A302"/>
      <c r="B302"/>
      <c r="C302">
        <v>91750</v>
      </c>
      <c r="D302">
        <v>4</v>
      </c>
      <c r="E302">
        <v>101932101</v>
      </c>
      <c r="F302" t="s">
        <v>914</v>
      </c>
      <c r="G302" t="s">
        <v>1353</v>
      </c>
      <c r="H302" t="s">
        <v>1353</v>
      </c>
      <c r="I302" t="s">
        <v>1353</v>
      </c>
      <c r="J302" t="s">
        <v>1353</v>
      </c>
      <c r="K302" t="s">
        <v>1353</v>
      </c>
    </row>
    <row r="303" spans="1:11" x14ac:dyDescent="0.2">
      <c r="A303"/>
      <c r="B303"/>
      <c r="C303">
        <v>91762</v>
      </c>
      <c r="D303">
        <v>4</v>
      </c>
      <c r="E303">
        <v>10043018</v>
      </c>
      <c r="F303" t="s">
        <v>914</v>
      </c>
      <c r="G303" t="s">
        <v>1353</v>
      </c>
      <c r="H303" t="s">
        <v>1353</v>
      </c>
      <c r="I303" t="s">
        <v>1353</v>
      </c>
      <c r="J303" t="s">
        <v>1353</v>
      </c>
      <c r="K303" t="s">
        <v>1353</v>
      </c>
    </row>
    <row r="304" spans="1:11" x14ac:dyDescent="0.2">
      <c r="A304"/>
      <c r="B304"/>
      <c r="C304">
        <v>91763</v>
      </c>
      <c r="D304">
        <v>4</v>
      </c>
      <c r="E304">
        <v>10043233</v>
      </c>
      <c r="F304" t="s">
        <v>914</v>
      </c>
      <c r="G304" t="s">
        <v>1353</v>
      </c>
      <c r="H304" t="s">
        <v>1353</v>
      </c>
      <c r="I304" t="s">
        <v>1353</v>
      </c>
      <c r="J304" t="s">
        <v>1353</v>
      </c>
      <c r="K304" t="s">
        <v>1353</v>
      </c>
    </row>
    <row r="305" spans="1:11" x14ac:dyDescent="0.2">
      <c r="A305"/>
      <c r="B305"/>
      <c r="C305">
        <v>91763</v>
      </c>
      <c r="D305">
        <v>4</v>
      </c>
      <c r="E305">
        <v>10043593</v>
      </c>
      <c r="F305" t="s">
        <v>914</v>
      </c>
      <c r="G305" t="s">
        <v>1353</v>
      </c>
      <c r="H305" t="s">
        <v>1353</v>
      </c>
      <c r="I305" t="s">
        <v>1353</v>
      </c>
      <c r="J305" t="s">
        <v>1353</v>
      </c>
      <c r="K305" t="s">
        <v>1353</v>
      </c>
    </row>
    <row r="306" spans="1:11" x14ac:dyDescent="0.2">
      <c r="A306"/>
      <c r="B306"/>
      <c r="C306">
        <v>91766</v>
      </c>
      <c r="D306">
        <v>4</v>
      </c>
      <c r="E306">
        <v>10368549</v>
      </c>
      <c r="F306" t="s">
        <v>914</v>
      </c>
      <c r="G306" t="s">
        <v>1353</v>
      </c>
      <c r="H306" t="s">
        <v>1353</v>
      </c>
      <c r="I306" t="s">
        <v>1353</v>
      </c>
      <c r="J306" t="s">
        <v>1353</v>
      </c>
      <c r="K306" t="s">
        <v>1353</v>
      </c>
    </row>
    <row r="307" spans="1:11" x14ac:dyDescent="0.2">
      <c r="A307"/>
      <c r="B307"/>
      <c r="C307">
        <v>91767</v>
      </c>
      <c r="D307">
        <v>4</v>
      </c>
      <c r="E307">
        <v>10369723</v>
      </c>
      <c r="F307" t="s">
        <v>914</v>
      </c>
      <c r="G307" t="s">
        <v>1353</v>
      </c>
      <c r="H307" t="s">
        <v>1353</v>
      </c>
      <c r="I307" t="s">
        <v>1353</v>
      </c>
      <c r="J307" t="s">
        <v>1353</v>
      </c>
      <c r="K307" t="s">
        <v>1353</v>
      </c>
    </row>
    <row r="308" spans="1:11" x14ac:dyDescent="0.2">
      <c r="A308"/>
      <c r="B308"/>
      <c r="C308">
        <v>91767</v>
      </c>
      <c r="D308">
        <v>4</v>
      </c>
      <c r="E308">
        <v>10098053</v>
      </c>
      <c r="F308" t="s">
        <v>914</v>
      </c>
      <c r="G308" t="s">
        <v>1353</v>
      </c>
      <c r="H308" t="s">
        <v>1353</v>
      </c>
      <c r="I308" t="s">
        <v>1353</v>
      </c>
      <c r="J308" t="s">
        <v>1353</v>
      </c>
      <c r="K308" t="s">
        <v>1353</v>
      </c>
    </row>
    <row r="309" spans="1:11" x14ac:dyDescent="0.2">
      <c r="A309"/>
      <c r="B309"/>
      <c r="C309">
        <v>91767</v>
      </c>
      <c r="D309">
        <v>4</v>
      </c>
      <c r="E309">
        <v>10381494</v>
      </c>
      <c r="F309" t="s">
        <v>914</v>
      </c>
      <c r="G309" t="s">
        <v>1352</v>
      </c>
      <c r="H309" t="s">
        <v>1352</v>
      </c>
      <c r="I309" t="s">
        <v>1352</v>
      </c>
      <c r="J309" t="s">
        <v>1352</v>
      </c>
      <c r="K309" t="s">
        <v>1352</v>
      </c>
    </row>
    <row r="310" spans="1:11" x14ac:dyDescent="0.2">
      <c r="A310"/>
      <c r="B310"/>
      <c r="C310">
        <v>91767</v>
      </c>
      <c r="D310">
        <v>4</v>
      </c>
      <c r="E310">
        <v>10314880</v>
      </c>
      <c r="F310" t="s">
        <v>914</v>
      </c>
      <c r="G310" t="s">
        <v>1353</v>
      </c>
      <c r="H310" t="s">
        <v>1353</v>
      </c>
      <c r="I310" t="s">
        <v>1353</v>
      </c>
      <c r="J310" t="s">
        <v>1353</v>
      </c>
      <c r="K310" t="s">
        <v>1353</v>
      </c>
    </row>
    <row r="311" spans="1:11" x14ac:dyDescent="0.2">
      <c r="A311"/>
      <c r="B311"/>
      <c r="C311">
        <v>91784</v>
      </c>
      <c r="D311">
        <v>4</v>
      </c>
      <c r="E311">
        <v>10362827</v>
      </c>
      <c r="F311" t="s">
        <v>914</v>
      </c>
      <c r="G311" t="s">
        <v>1353</v>
      </c>
      <c r="H311" t="s">
        <v>1353</v>
      </c>
      <c r="I311" t="s">
        <v>1353</v>
      </c>
      <c r="J311" t="s">
        <v>1353</v>
      </c>
      <c r="K311" t="s">
        <v>1353</v>
      </c>
    </row>
    <row r="312" spans="1:11" x14ac:dyDescent="0.2">
      <c r="A312"/>
      <c r="B312"/>
      <c r="C312">
        <v>91786</v>
      </c>
      <c r="D312">
        <v>4</v>
      </c>
      <c r="E312">
        <v>10289769</v>
      </c>
      <c r="F312" t="s">
        <v>914</v>
      </c>
      <c r="G312" t="s">
        <v>1351</v>
      </c>
      <c r="H312" t="s">
        <v>1351</v>
      </c>
      <c r="I312" t="s">
        <v>1353</v>
      </c>
      <c r="J312" t="s">
        <v>1353</v>
      </c>
      <c r="K312" t="s">
        <v>1351</v>
      </c>
    </row>
    <row r="313" spans="1:11" x14ac:dyDescent="0.2">
      <c r="A313"/>
      <c r="B313"/>
      <c r="C313">
        <v>91786</v>
      </c>
      <c r="D313">
        <v>4</v>
      </c>
      <c r="E313">
        <v>10368847</v>
      </c>
      <c r="F313" t="s">
        <v>914</v>
      </c>
      <c r="G313" t="s">
        <v>1353</v>
      </c>
      <c r="H313" t="s">
        <v>1373</v>
      </c>
      <c r="I313" t="s">
        <v>1373</v>
      </c>
      <c r="J313" t="s">
        <v>1353</v>
      </c>
      <c r="K313" t="s">
        <v>1353</v>
      </c>
    </row>
    <row r="314" spans="1:11" x14ac:dyDescent="0.2">
      <c r="A314"/>
      <c r="B314"/>
      <c r="C314">
        <v>91786</v>
      </c>
      <c r="D314">
        <v>4</v>
      </c>
      <c r="E314">
        <v>10042054</v>
      </c>
      <c r="F314" t="s">
        <v>914</v>
      </c>
      <c r="G314" t="s">
        <v>1353</v>
      </c>
      <c r="H314" t="s">
        <v>202</v>
      </c>
      <c r="I314" t="s">
        <v>202</v>
      </c>
      <c r="J314" t="s">
        <v>1353</v>
      </c>
      <c r="K314" t="s">
        <v>1353</v>
      </c>
    </row>
    <row r="315" spans="1:11" x14ac:dyDescent="0.2">
      <c r="A315"/>
      <c r="B315"/>
      <c r="C315">
        <v>91786</v>
      </c>
      <c r="D315">
        <v>4</v>
      </c>
      <c r="E315">
        <v>10043581</v>
      </c>
      <c r="F315" t="s">
        <v>914</v>
      </c>
      <c r="G315" t="s">
        <v>1351</v>
      </c>
      <c r="H315" t="s">
        <v>1351</v>
      </c>
      <c r="I315" t="s">
        <v>1351</v>
      </c>
      <c r="J315" t="s">
        <v>1351</v>
      </c>
      <c r="K315" t="s">
        <v>1351</v>
      </c>
    </row>
    <row r="316" spans="1:11" x14ac:dyDescent="0.2">
      <c r="A316"/>
      <c r="B316"/>
      <c r="C316">
        <v>91786</v>
      </c>
      <c r="D316">
        <v>4</v>
      </c>
      <c r="E316">
        <v>10114181</v>
      </c>
      <c r="F316" t="s">
        <v>914</v>
      </c>
      <c r="G316" t="s">
        <v>1353</v>
      </c>
      <c r="H316" t="s">
        <v>1353</v>
      </c>
      <c r="I316" t="s">
        <v>1353</v>
      </c>
      <c r="J316" t="s">
        <v>1353</v>
      </c>
      <c r="K316" t="s">
        <v>1353</v>
      </c>
    </row>
    <row r="317" spans="1:11" x14ac:dyDescent="0.2">
      <c r="A317"/>
      <c r="B317"/>
      <c r="C317">
        <v>91786</v>
      </c>
      <c r="D317">
        <v>4</v>
      </c>
      <c r="E317">
        <v>10109481</v>
      </c>
      <c r="F317" t="s">
        <v>914</v>
      </c>
      <c r="G317" t="s">
        <v>1353</v>
      </c>
      <c r="H317" t="s">
        <v>1353</v>
      </c>
      <c r="I317" t="s">
        <v>1353</v>
      </c>
      <c r="J317" t="s">
        <v>1353</v>
      </c>
      <c r="K317" t="s">
        <v>1353</v>
      </c>
    </row>
    <row r="318" spans="1:11" x14ac:dyDescent="0.2">
      <c r="A318"/>
      <c r="B318"/>
      <c r="C318">
        <v>91786</v>
      </c>
      <c r="D318">
        <v>4</v>
      </c>
      <c r="E318">
        <v>90047</v>
      </c>
      <c r="F318" t="s">
        <v>919</v>
      </c>
      <c r="G318" t="s">
        <v>1367</v>
      </c>
      <c r="H318" t="s">
        <v>1367</v>
      </c>
      <c r="I318" t="s">
        <v>1367</v>
      </c>
      <c r="J318" t="s">
        <v>1367</v>
      </c>
      <c r="K318" t="s">
        <v>1367</v>
      </c>
    </row>
    <row r="319" spans="1:11" x14ac:dyDescent="0.2">
      <c r="A319"/>
      <c r="B319"/>
      <c r="C319">
        <v>91711</v>
      </c>
      <c r="D319">
        <v>3</v>
      </c>
      <c r="E319">
        <v>10343026</v>
      </c>
      <c r="F319" t="s">
        <v>914</v>
      </c>
      <c r="G319" t="s">
        <v>1353</v>
      </c>
      <c r="H319" t="s">
        <v>1353</v>
      </c>
      <c r="I319" t="s">
        <v>1353</v>
      </c>
      <c r="J319" t="s">
        <v>1353</v>
      </c>
      <c r="K319" t="s">
        <v>199</v>
      </c>
    </row>
    <row r="320" spans="1:11" x14ac:dyDescent="0.2">
      <c r="A320"/>
      <c r="B320"/>
      <c r="C320">
        <v>91711</v>
      </c>
      <c r="D320">
        <v>3</v>
      </c>
      <c r="E320">
        <v>10366545</v>
      </c>
      <c r="F320" t="s">
        <v>914</v>
      </c>
      <c r="G320" t="s">
        <v>1353</v>
      </c>
      <c r="H320" t="s">
        <v>1353</v>
      </c>
      <c r="I320" t="s">
        <v>202</v>
      </c>
      <c r="J320" t="s">
        <v>202</v>
      </c>
      <c r="K320" t="s">
        <v>202</v>
      </c>
    </row>
    <row r="321" spans="1:11" x14ac:dyDescent="0.2">
      <c r="A321"/>
      <c r="B321"/>
      <c r="C321">
        <v>91711</v>
      </c>
      <c r="D321">
        <v>3</v>
      </c>
      <c r="E321">
        <v>10368545</v>
      </c>
      <c r="F321" t="s">
        <v>914</v>
      </c>
      <c r="G321" t="s">
        <v>1353</v>
      </c>
      <c r="H321" t="s">
        <v>1353</v>
      </c>
      <c r="I321" t="s">
        <v>1353</v>
      </c>
      <c r="J321" t="s">
        <v>1353</v>
      </c>
      <c r="K321" t="s">
        <v>1353</v>
      </c>
    </row>
    <row r="322" spans="1:11" x14ac:dyDescent="0.2">
      <c r="A322"/>
      <c r="B322"/>
      <c r="C322">
        <v>91750</v>
      </c>
      <c r="D322">
        <v>3</v>
      </c>
      <c r="E322">
        <v>10366591</v>
      </c>
      <c r="F322" t="s">
        <v>914</v>
      </c>
      <c r="G322" t="s">
        <v>199</v>
      </c>
      <c r="H322" t="s">
        <v>199</v>
      </c>
      <c r="I322" t="s">
        <v>199</v>
      </c>
      <c r="J322" t="s">
        <v>199</v>
      </c>
      <c r="K322" t="s">
        <v>199</v>
      </c>
    </row>
    <row r="323" spans="1:11" x14ac:dyDescent="0.2">
      <c r="A323"/>
      <c r="B323"/>
      <c r="C323">
        <v>91750</v>
      </c>
      <c r="D323">
        <v>3</v>
      </c>
      <c r="E323">
        <v>10353344</v>
      </c>
      <c r="F323" t="s">
        <v>914</v>
      </c>
      <c r="G323" t="s">
        <v>195</v>
      </c>
      <c r="H323" t="s">
        <v>1353</v>
      </c>
      <c r="I323" t="s">
        <v>195</v>
      </c>
      <c r="J323" t="s">
        <v>1353</v>
      </c>
      <c r="K323" t="s">
        <v>1353</v>
      </c>
    </row>
    <row r="324" spans="1:11" x14ac:dyDescent="0.2">
      <c r="A324"/>
      <c r="B324"/>
      <c r="C324">
        <v>91763</v>
      </c>
      <c r="D324">
        <v>3</v>
      </c>
      <c r="E324">
        <v>10043299</v>
      </c>
      <c r="F324" t="s">
        <v>914</v>
      </c>
      <c r="G324" t="s">
        <v>1353</v>
      </c>
      <c r="H324" t="s">
        <v>1353</v>
      </c>
      <c r="I324" t="s">
        <v>1353</v>
      </c>
      <c r="J324" t="s">
        <v>1353</v>
      </c>
      <c r="K324" t="s">
        <v>1353</v>
      </c>
    </row>
    <row r="325" spans="1:11" x14ac:dyDescent="0.2">
      <c r="A325"/>
      <c r="B325"/>
      <c r="C325">
        <v>91763</v>
      </c>
      <c r="D325">
        <v>3</v>
      </c>
      <c r="E325">
        <v>10368757</v>
      </c>
      <c r="F325" t="s">
        <v>914</v>
      </c>
      <c r="G325" t="s">
        <v>1353</v>
      </c>
      <c r="H325" t="s">
        <v>1353</v>
      </c>
      <c r="I325" t="s">
        <v>1353</v>
      </c>
      <c r="J325" t="s">
        <v>1353</v>
      </c>
      <c r="K325" t="s">
        <v>1353</v>
      </c>
    </row>
    <row r="326" spans="1:11" x14ac:dyDescent="0.2">
      <c r="A326"/>
      <c r="B326"/>
      <c r="C326">
        <v>91763</v>
      </c>
      <c r="D326">
        <v>3</v>
      </c>
      <c r="E326">
        <v>10366617</v>
      </c>
      <c r="F326" t="s">
        <v>914</v>
      </c>
      <c r="G326" t="s">
        <v>1353</v>
      </c>
      <c r="H326" t="s">
        <v>1353</v>
      </c>
      <c r="I326" t="s">
        <v>1353</v>
      </c>
      <c r="J326" t="s">
        <v>1353</v>
      </c>
      <c r="K326" t="s">
        <v>1353</v>
      </c>
    </row>
    <row r="327" spans="1:11" x14ac:dyDescent="0.2">
      <c r="A327"/>
      <c r="B327"/>
      <c r="C327">
        <v>91763</v>
      </c>
      <c r="D327">
        <v>3</v>
      </c>
      <c r="E327">
        <v>10043611</v>
      </c>
      <c r="F327" t="s">
        <v>914</v>
      </c>
      <c r="G327" t="s">
        <v>1352</v>
      </c>
      <c r="H327" t="s">
        <v>1352</v>
      </c>
      <c r="I327" t="s">
        <v>1352</v>
      </c>
      <c r="J327" t="s">
        <v>1352</v>
      </c>
      <c r="K327" t="s">
        <v>1352</v>
      </c>
    </row>
    <row r="328" spans="1:11" x14ac:dyDescent="0.2">
      <c r="A328"/>
      <c r="B328"/>
      <c r="C328">
        <v>91763</v>
      </c>
      <c r="D328">
        <v>3</v>
      </c>
      <c r="E328">
        <v>10366711</v>
      </c>
      <c r="F328" t="s">
        <v>914</v>
      </c>
      <c r="G328" t="s">
        <v>1352</v>
      </c>
      <c r="H328" t="s">
        <v>1352</v>
      </c>
      <c r="I328" t="s">
        <v>1352</v>
      </c>
      <c r="J328" t="s">
        <v>1352</v>
      </c>
      <c r="K328" t="s">
        <v>1352</v>
      </c>
    </row>
    <row r="329" spans="1:11" x14ac:dyDescent="0.2">
      <c r="A329"/>
      <c r="B329"/>
      <c r="C329">
        <v>91763</v>
      </c>
      <c r="D329">
        <v>3</v>
      </c>
      <c r="E329">
        <v>10043140</v>
      </c>
      <c r="F329" t="s">
        <v>914</v>
      </c>
      <c r="G329" t="s">
        <v>1353</v>
      </c>
      <c r="H329" t="s">
        <v>1353</v>
      </c>
      <c r="I329" t="s">
        <v>1353</v>
      </c>
      <c r="J329" t="s">
        <v>1353</v>
      </c>
      <c r="K329" t="s">
        <v>1353</v>
      </c>
    </row>
    <row r="330" spans="1:11" x14ac:dyDescent="0.2">
      <c r="A330"/>
      <c r="B330"/>
      <c r="C330">
        <v>91767</v>
      </c>
      <c r="D330">
        <v>3</v>
      </c>
      <c r="E330">
        <v>10366900</v>
      </c>
      <c r="F330" t="s">
        <v>914</v>
      </c>
      <c r="G330" t="s">
        <v>1373</v>
      </c>
      <c r="H330" t="s">
        <v>1353</v>
      </c>
      <c r="I330" t="s">
        <v>1373</v>
      </c>
      <c r="J330" t="s">
        <v>1373</v>
      </c>
      <c r="K330" t="s">
        <v>1373</v>
      </c>
    </row>
    <row r="331" spans="1:11" x14ac:dyDescent="0.2">
      <c r="A331"/>
      <c r="B331"/>
      <c r="C331">
        <v>91767</v>
      </c>
      <c r="D331">
        <v>3</v>
      </c>
      <c r="E331">
        <v>10211579</v>
      </c>
      <c r="F331" t="s">
        <v>914</v>
      </c>
      <c r="G331" t="s">
        <v>1353</v>
      </c>
      <c r="H331" t="s">
        <v>1353</v>
      </c>
      <c r="I331" t="s">
        <v>1353</v>
      </c>
      <c r="J331" t="s">
        <v>1353</v>
      </c>
      <c r="K331" t="s">
        <v>1353</v>
      </c>
    </row>
    <row r="332" spans="1:11" x14ac:dyDescent="0.2">
      <c r="A332"/>
      <c r="B332"/>
      <c r="C332">
        <v>91767</v>
      </c>
      <c r="D332">
        <v>3</v>
      </c>
      <c r="E332">
        <v>10366521</v>
      </c>
      <c r="F332" t="s">
        <v>914</v>
      </c>
      <c r="G332" t="s">
        <v>195</v>
      </c>
      <c r="H332" t="s">
        <v>195</v>
      </c>
      <c r="I332" t="s">
        <v>195</v>
      </c>
      <c r="J332" t="s">
        <v>1353</v>
      </c>
      <c r="K332" t="s">
        <v>1353</v>
      </c>
    </row>
    <row r="333" spans="1:11" x14ac:dyDescent="0.2">
      <c r="A333"/>
      <c r="B333"/>
      <c r="C333">
        <v>91767</v>
      </c>
      <c r="D333">
        <v>3</v>
      </c>
      <c r="E333">
        <v>10000883</v>
      </c>
      <c r="F333" t="s">
        <v>914</v>
      </c>
      <c r="G333" t="s">
        <v>1352</v>
      </c>
      <c r="H333" t="s">
        <v>1352</v>
      </c>
      <c r="I333" t="s">
        <v>1352</v>
      </c>
      <c r="J333" t="s">
        <v>1351</v>
      </c>
      <c r="K333" t="s">
        <v>1351</v>
      </c>
    </row>
    <row r="334" spans="1:11" x14ac:dyDescent="0.2">
      <c r="A334"/>
      <c r="B334"/>
      <c r="C334">
        <v>91767</v>
      </c>
      <c r="D334">
        <v>3</v>
      </c>
      <c r="E334">
        <v>101366679</v>
      </c>
      <c r="F334" t="s">
        <v>914</v>
      </c>
      <c r="G334" t="s">
        <v>1353</v>
      </c>
      <c r="H334" t="s">
        <v>1353</v>
      </c>
      <c r="I334" t="s">
        <v>1353</v>
      </c>
      <c r="J334" t="s">
        <v>1353</v>
      </c>
      <c r="K334" t="s">
        <v>1353</v>
      </c>
    </row>
    <row r="335" spans="1:11" x14ac:dyDescent="0.2">
      <c r="A335"/>
      <c r="B335"/>
      <c r="C335">
        <v>91786</v>
      </c>
      <c r="D335">
        <v>3</v>
      </c>
      <c r="E335">
        <v>103698231</v>
      </c>
      <c r="F335" t="s">
        <v>914</v>
      </c>
      <c r="G335" t="s">
        <v>1353</v>
      </c>
      <c r="H335" t="s">
        <v>1353</v>
      </c>
      <c r="I335" t="s">
        <v>1353</v>
      </c>
      <c r="J335" t="s">
        <v>1353</v>
      </c>
      <c r="K335" t="s">
        <v>1353</v>
      </c>
    </row>
    <row r="336" spans="1:11" x14ac:dyDescent="0.2">
      <c r="A336"/>
      <c r="B336"/>
      <c r="C336">
        <v>91786</v>
      </c>
      <c r="D336">
        <v>3</v>
      </c>
      <c r="E336">
        <v>10120810</v>
      </c>
      <c r="F336" t="s">
        <v>914</v>
      </c>
      <c r="G336" t="s">
        <v>1351</v>
      </c>
      <c r="H336" t="s">
        <v>1352</v>
      </c>
      <c r="I336" t="s">
        <v>1352</v>
      </c>
      <c r="J336" t="s">
        <v>1352</v>
      </c>
      <c r="K336" t="s">
        <v>1352</v>
      </c>
    </row>
    <row r="337" spans="1:11" x14ac:dyDescent="0.2">
      <c r="A337"/>
      <c r="B337"/>
      <c r="C337">
        <v>91786</v>
      </c>
      <c r="D337">
        <v>3</v>
      </c>
      <c r="E337">
        <v>800023</v>
      </c>
      <c r="F337" t="s">
        <v>914</v>
      </c>
      <c r="G337" t="s">
        <v>1351</v>
      </c>
      <c r="H337" t="s">
        <v>1351</v>
      </c>
      <c r="I337" t="s">
        <v>1351</v>
      </c>
      <c r="J337" t="s">
        <v>1351</v>
      </c>
      <c r="K337" t="s">
        <v>1351</v>
      </c>
    </row>
    <row r="338" spans="1:11" x14ac:dyDescent="0.2">
      <c r="A338"/>
      <c r="B338"/>
      <c r="C338">
        <v>91786</v>
      </c>
      <c r="D338">
        <v>3</v>
      </c>
      <c r="E338">
        <v>10358994</v>
      </c>
      <c r="F338" t="s">
        <v>914</v>
      </c>
      <c r="G338" t="s">
        <v>1353</v>
      </c>
      <c r="H338" t="s">
        <v>1351</v>
      </c>
      <c r="I338" t="s">
        <v>1351</v>
      </c>
      <c r="J338" t="s">
        <v>1353</v>
      </c>
      <c r="K338" t="s">
        <v>1351</v>
      </c>
    </row>
    <row r="339" spans="1:11" x14ac:dyDescent="0.2">
      <c r="A339"/>
      <c r="B339"/>
      <c r="C339">
        <v>91786</v>
      </c>
      <c r="D339">
        <v>3</v>
      </c>
      <c r="E339">
        <v>10368507</v>
      </c>
      <c r="F339" t="s">
        <v>914</v>
      </c>
      <c r="G339" t="s">
        <v>1353</v>
      </c>
      <c r="H339" t="s">
        <v>1353</v>
      </c>
      <c r="I339" t="s">
        <v>1353</v>
      </c>
      <c r="J339" t="s">
        <v>1353</v>
      </c>
      <c r="K339" t="s">
        <v>1353</v>
      </c>
    </row>
    <row r="340" spans="1:11" x14ac:dyDescent="0.2">
      <c r="A340"/>
      <c r="B340"/>
      <c r="C340">
        <v>91786</v>
      </c>
      <c r="D340">
        <v>3</v>
      </c>
      <c r="E340">
        <v>10347862</v>
      </c>
      <c r="F340" t="s">
        <v>914</v>
      </c>
      <c r="G340" t="s">
        <v>1353</v>
      </c>
      <c r="H340" t="s">
        <v>1353</v>
      </c>
      <c r="I340" t="s">
        <v>1353</v>
      </c>
      <c r="J340" t="s">
        <v>1353</v>
      </c>
      <c r="K340" t="s">
        <v>1353</v>
      </c>
    </row>
    <row r="341" spans="1:11" x14ac:dyDescent="0.2">
      <c r="A341"/>
      <c r="B341"/>
      <c r="C341">
        <v>91711</v>
      </c>
      <c r="D341">
        <v>2</v>
      </c>
      <c r="E341">
        <v>10120597</v>
      </c>
      <c r="F341" t="s">
        <v>914</v>
      </c>
      <c r="G341" t="s">
        <v>1353</v>
      </c>
      <c r="H341" t="s">
        <v>1353</v>
      </c>
      <c r="I341" t="s">
        <v>1353</v>
      </c>
      <c r="J341" t="s">
        <v>1353</v>
      </c>
      <c r="K341" t="s">
        <v>1353</v>
      </c>
    </row>
    <row r="342" spans="1:11" x14ac:dyDescent="0.2">
      <c r="A342"/>
      <c r="B342"/>
      <c r="C342">
        <v>91711</v>
      </c>
      <c r="D342">
        <v>2</v>
      </c>
      <c r="E342">
        <v>10033199</v>
      </c>
      <c r="F342" t="s">
        <v>914</v>
      </c>
      <c r="G342" t="s">
        <v>1353</v>
      </c>
      <c r="H342" t="s">
        <v>1353</v>
      </c>
      <c r="I342" t="s">
        <v>1353</v>
      </c>
      <c r="J342" t="s">
        <v>1353</v>
      </c>
      <c r="K342" t="s">
        <v>1353</v>
      </c>
    </row>
    <row r="343" spans="1:11" x14ac:dyDescent="0.2">
      <c r="A343"/>
      <c r="B343"/>
      <c r="C343">
        <v>91700</v>
      </c>
      <c r="D343">
        <v>2</v>
      </c>
      <c r="E343">
        <v>10043601</v>
      </c>
      <c r="F343" t="s">
        <v>914</v>
      </c>
      <c r="G343" t="s">
        <v>1353</v>
      </c>
      <c r="H343" t="s">
        <v>1353</v>
      </c>
      <c r="I343" t="s">
        <v>1353</v>
      </c>
      <c r="J343" t="s">
        <v>1353</v>
      </c>
      <c r="K343" t="s">
        <v>1353</v>
      </c>
    </row>
    <row r="344" spans="1:11" x14ac:dyDescent="0.2">
      <c r="A344"/>
      <c r="B344"/>
      <c r="C344">
        <v>91711</v>
      </c>
      <c r="D344">
        <v>2</v>
      </c>
      <c r="E344">
        <v>10025853</v>
      </c>
      <c r="F344" t="s">
        <v>914</v>
      </c>
      <c r="G344" t="s">
        <v>1372</v>
      </c>
      <c r="H344" t="s">
        <v>1372</v>
      </c>
      <c r="I344" t="s">
        <v>1372</v>
      </c>
      <c r="J344" t="s">
        <v>191</v>
      </c>
      <c r="K344" t="s">
        <v>1351</v>
      </c>
    </row>
    <row r="345" spans="1:11" x14ac:dyDescent="0.2">
      <c r="A345"/>
      <c r="B345"/>
      <c r="C345">
        <v>91711</v>
      </c>
      <c r="D345">
        <v>2</v>
      </c>
      <c r="E345">
        <v>10006767</v>
      </c>
      <c r="F345" t="s">
        <v>914</v>
      </c>
      <c r="G345" t="s">
        <v>1372</v>
      </c>
      <c r="H345" t="s">
        <v>1372</v>
      </c>
      <c r="I345" t="s">
        <v>191</v>
      </c>
      <c r="J345" t="s">
        <v>1372</v>
      </c>
      <c r="K345" t="s">
        <v>1372</v>
      </c>
    </row>
    <row r="346" spans="1:11" x14ac:dyDescent="0.2">
      <c r="A346"/>
      <c r="B346"/>
      <c r="C346">
        <v>91711</v>
      </c>
      <c r="D346">
        <v>2</v>
      </c>
      <c r="E346">
        <v>10020070</v>
      </c>
      <c r="F346" t="s">
        <v>914</v>
      </c>
      <c r="G346" t="s">
        <v>1358</v>
      </c>
      <c r="H346" t="s">
        <v>1358</v>
      </c>
      <c r="I346" t="s">
        <v>199</v>
      </c>
      <c r="J346" t="s">
        <v>199</v>
      </c>
      <c r="K346" t="s">
        <v>199</v>
      </c>
    </row>
    <row r="347" spans="1:11" x14ac:dyDescent="0.2">
      <c r="A347"/>
      <c r="B347"/>
      <c r="C347">
        <v>91711</v>
      </c>
      <c r="D347">
        <v>2</v>
      </c>
      <c r="E347">
        <v>10358014</v>
      </c>
      <c r="F347" t="s">
        <v>914</v>
      </c>
      <c r="G347" t="s">
        <v>191</v>
      </c>
      <c r="H347" t="s">
        <v>191</v>
      </c>
      <c r="I347" t="s">
        <v>191</v>
      </c>
      <c r="J347" t="s">
        <v>191</v>
      </c>
      <c r="K347" t="s">
        <v>191</v>
      </c>
    </row>
    <row r="348" spans="1:11" x14ac:dyDescent="0.2">
      <c r="A348"/>
      <c r="B348"/>
      <c r="C348">
        <v>91711</v>
      </c>
      <c r="D348">
        <v>2</v>
      </c>
      <c r="E348">
        <v>10290464</v>
      </c>
      <c r="F348" t="s">
        <v>914</v>
      </c>
      <c r="G348" t="s">
        <v>1353</v>
      </c>
      <c r="H348" t="s">
        <v>1353</v>
      </c>
      <c r="I348" t="s">
        <v>1353</v>
      </c>
      <c r="J348" t="s">
        <v>1351</v>
      </c>
      <c r="K348" t="s">
        <v>1351</v>
      </c>
    </row>
    <row r="349" spans="1:11" x14ac:dyDescent="0.2">
      <c r="A349"/>
      <c r="B349"/>
      <c r="C349">
        <v>91711</v>
      </c>
      <c r="D349">
        <v>2</v>
      </c>
      <c r="E349">
        <v>10361455</v>
      </c>
      <c r="F349" t="s">
        <v>914</v>
      </c>
      <c r="G349" t="s">
        <v>1353</v>
      </c>
      <c r="H349" t="s">
        <v>1353</v>
      </c>
      <c r="I349" t="s">
        <v>1353</v>
      </c>
      <c r="J349" t="s">
        <v>1353</v>
      </c>
      <c r="K349" t="s">
        <v>1353</v>
      </c>
    </row>
    <row r="350" spans="1:11" x14ac:dyDescent="0.2">
      <c r="A350"/>
      <c r="B350"/>
      <c r="C350">
        <v>91711</v>
      </c>
      <c r="D350">
        <v>2</v>
      </c>
      <c r="E350">
        <v>10254425</v>
      </c>
      <c r="F350" t="s">
        <v>914</v>
      </c>
      <c r="G350" t="s">
        <v>1353</v>
      </c>
      <c r="H350" t="s">
        <v>1373</v>
      </c>
      <c r="I350" t="s">
        <v>1372</v>
      </c>
      <c r="J350" t="s">
        <v>1373</v>
      </c>
      <c r="K350" t="s">
        <v>1372</v>
      </c>
    </row>
    <row r="351" spans="1:11" x14ac:dyDescent="0.2">
      <c r="A351"/>
      <c r="B351"/>
      <c r="C351">
        <v>91711</v>
      </c>
      <c r="D351">
        <v>2</v>
      </c>
      <c r="E351">
        <v>10368570</v>
      </c>
      <c r="F351" t="s">
        <v>914</v>
      </c>
      <c r="G351" t="s">
        <v>1353</v>
      </c>
      <c r="H351" t="s">
        <v>1353</v>
      </c>
      <c r="I351" t="s">
        <v>1353</v>
      </c>
      <c r="J351" t="s">
        <v>1353</v>
      </c>
      <c r="K351" t="s">
        <v>1353</v>
      </c>
    </row>
    <row r="352" spans="1:11" x14ac:dyDescent="0.2">
      <c r="A352"/>
      <c r="B352"/>
      <c r="C352">
        <v>91711</v>
      </c>
      <c r="D352">
        <v>2</v>
      </c>
      <c r="E352">
        <v>10369316</v>
      </c>
      <c r="F352" t="s">
        <v>914</v>
      </c>
      <c r="G352" t="s">
        <v>1373</v>
      </c>
      <c r="H352" t="s">
        <v>1373</v>
      </c>
      <c r="I352" t="s">
        <v>1373</v>
      </c>
      <c r="J352" t="s">
        <v>1373</v>
      </c>
      <c r="K352" t="s">
        <v>1373</v>
      </c>
    </row>
    <row r="353" spans="1:11" x14ac:dyDescent="0.2">
      <c r="A353"/>
      <c r="B353"/>
      <c r="C353">
        <v>91711</v>
      </c>
      <c r="D353">
        <v>2</v>
      </c>
      <c r="E353">
        <v>10366861</v>
      </c>
      <c r="F353" t="s">
        <v>914</v>
      </c>
      <c r="G353" t="s">
        <v>1352</v>
      </c>
      <c r="H353" t="s">
        <v>1352</v>
      </c>
      <c r="I353" t="s">
        <v>1352</v>
      </c>
      <c r="J353" t="s">
        <v>1353</v>
      </c>
      <c r="K353" t="s">
        <v>199</v>
      </c>
    </row>
    <row r="354" spans="1:11" x14ac:dyDescent="0.2">
      <c r="A354"/>
      <c r="B354"/>
      <c r="C354">
        <v>91711</v>
      </c>
      <c r="D354">
        <v>2</v>
      </c>
      <c r="E354">
        <v>10347912</v>
      </c>
      <c r="F354" t="s">
        <v>914</v>
      </c>
      <c r="G354" t="s">
        <v>199</v>
      </c>
      <c r="H354" t="s">
        <v>1372</v>
      </c>
      <c r="I354" t="s">
        <v>1372</v>
      </c>
      <c r="J354" t="s">
        <v>1352</v>
      </c>
      <c r="K354" t="s">
        <v>1372</v>
      </c>
    </row>
    <row r="355" spans="1:11" x14ac:dyDescent="0.2">
      <c r="A355"/>
      <c r="B355"/>
      <c r="C355">
        <v>91711</v>
      </c>
      <c r="D355">
        <v>2</v>
      </c>
      <c r="E355">
        <v>10230045</v>
      </c>
      <c r="F355" t="s">
        <v>914</v>
      </c>
      <c r="G355" t="s">
        <v>1351</v>
      </c>
      <c r="H355" t="s">
        <v>1353</v>
      </c>
      <c r="I355" t="s">
        <v>1353</v>
      </c>
      <c r="J355" t="s">
        <v>1353</v>
      </c>
      <c r="K355" t="s">
        <v>1353</v>
      </c>
    </row>
    <row r="356" spans="1:11" x14ac:dyDescent="0.2">
      <c r="A356"/>
      <c r="B356"/>
      <c r="C356">
        <v>91711</v>
      </c>
      <c r="D356">
        <v>2</v>
      </c>
      <c r="E356">
        <v>10359755</v>
      </c>
      <c r="F356" t="s">
        <v>914</v>
      </c>
      <c r="G356" t="s">
        <v>1353</v>
      </c>
      <c r="H356" t="s">
        <v>1353</v>
      </c>
      <c r="I356" t="s">
        <v>1353</v>
      </c>
      <c r="J356" t="s">
        <v>1353</v>
      </c>
      <c r="K356" t="s">
        <v>191</v>
      </c>
    </row>
    <row r="357" spans="1:11" x14ac:dyDescent="0.2">
      <c r="A357"/>
      <c r="B357"/>
      <c r="C357">
        <v>91711</v>
      </c>
      <c r="D357">
        <v>2</v>
      </c>
      <c r="E357">
        <v>10278301</v>
      </c>
      <c r="F357" t="s">
        <v>914</v>
      </c>
      <c r="G357" t="s">
        <v>1353</v>
      </c>
      <c r="H357" t="s">
        <v>1353</v>
      </c>
      <c r="I357" t="s">
        <v>1353</v>
      </c>
      <c r="J357" t="s">
        <v>1353</v>
      </c>
      <c r="K357" t="s">
        <v>1353</v>
      </c>
    </row>
    <row r="358" spans="1:11" x14ac:dyDescent="0.2">
      <c r="A358"/>
      <c r="B358"/>
      <c r="C358">
        <v>91711</v>
      </c>
      <c r="D358">
        <v>2</v>
      </c>
      <c r="E358">
        <v>10366394</v>
      </c>
      <c r="F358" t="s">
        <v>919</v>
      </c>
      <c r="G358" t="s">
        <v>202</v>
      </c>
      <c r="H358" t="s">
        <v>1358</v>
      </c>
      <c r="I358" t="s">
        <v>1351</v>
      </c>
      <c r="J358" t="s">
        <v>1358</v>
      </c>
      <c r="K358" t="s">
        <v>1358</v>
      </c>
    </row>
    <row r="359" spans="1:11" x14ac:dyDescent="0.2">
      <c r="A359"/>
      <c r="B359"/>
      <c r="C359">
        <v>91763</v>
      </c>
      <c r="D359">
        <v>2</v>
      </c>
      <c r="E359">
        <v>10354819</v>
      </c>
      <c r="F359" t="s">
        <v>914</v>
      </c>
      <c r="G359" t="s">
        <v>1373</v>
      </c>
      <c r="H359" t="s">
        <v>1373</v>
      </c>
      <c r="I359" t="s">
        <v>1373</v>
      </c>
      <c r="J359" t="s">
        <v>191</v>
      </c>
      <c r="K359" t="s">
        <v>191</v>
      </c>
    </row>
    <row r="360" spans="1:11" x14ac:dyDescent="0.2">
      <c r="A360"/>
      <c r="B360"/>
      <c r="C360">
        <v>91763</v>
      </c>
      <c r="D360">
        <v>2</v>
      </c>
      <c r="E360">
        <v>1099977</v>
      </c>
      <c r="F360" t="s">
        <v>914</v>
      </c>
      <c r="G360" t="s">
        <v>1353</v>
      </c>
      <c r="H360" t="s">
        <v>1353</v>
      </c>
      <c r="I360" t="s">
        <v>1353</v>
      </c>
      <c r="J360" t="s">
        <v>1353</v>
      </c>
      <c r="K360" t="s">
        <v>1353</v>
      </c>
    </row>
    <row r="361" spans="1:11" x14ac:dyDescent="0.2">
      <c r="A361"/>
      <c r="B361"/>
      <c r="C361">
        <v>91763</v>
      </c>
      <c r="D361">
        <v>2</v>
      </c>
      <c r="E361">
        <v>1044352</v>
      </c>
      <c r="F361" t="s">
        <v>914</v>
      </c>
      <c r="G361" t="s">
        <v>1352</v>
      </c>
      <c r="H361" t="s">
        <v>1352</v>
      </c>
      <c r="I361" t="s">
        <v>1352</v>
      </c>
      <c r="J361" t="s">
        <v>1352</v>
      </c>
      <c r="K361" t="s">
        <v>199</v>
      </c>
    </row>
    <row r="362" spans="1:11" x14ac:dyDescent="0.2">
      <c r="A362"/>
      <c r="B362"/>
      <c r="C362">
        <v>91763</v>
      </c>
      <c r="D362">
        <v>2</v>
      </c>
      <c r="E362">
        <v>10042569</v>
      </c>
      <c r="F362" t="s">
        <v>914</v>
      </c>
      <c r="G362" t="s">
        <v>1353</v>
      </c>
      <c r="H362" t="s">
        <v>1353</v>
      </c>
      <c r="I362" t="s">
        <v>1353</v>
      </c>
      <c r="J362" t="s">
        <v>1353</v>
      </c>
      <c r="K362" t="s">
        <v>1353</v>
      </c>
    </row>
    <row r="363" spans="1:11" x14ac:dyDescent="0.2">
      <c r="A363"/>
      <c r="B363"/>
      <c r="C363">
        <v>91767</v>
      </c>
      <c r="D363">
        <v>2</v>
      </c>
      <c r="E363">
        <v>10345269</v>
      </c>
      <c r="F363" t="s">
        <v>914</v>
      </c>
      <c r="G363" t="s">
        <v>1353</v>
      </c>
      <c r="H363" t="s">
        <v>1353</v>
      </c>
      <c r="I363" t="s">
        <v>1353</v>
      </c>
      <c r="J363" t="s">
        <v>1353</v>
      </c>
      <c r="K363" t="s">
        <v>1353</v>
      </c>
    </row>
    <row r="364" spans="1:11" x14ac:dyDescent="0.2">
      <c r="A364"/>
      <c r="B364"/>
      <c r="C364">
        <v>91767</v>
      </c>
      <c r="D364">
        <v>2</v>
      </c>
      <c r="E364">
        <v>10368709</v>
      </c>
      <c r="F364" t="s">
        <v>914</v>
      </c>
      <c r="G364" t="s">
        <v>1351</v>
      </c>
      <c r="H364" t="s">
        <v>1351</v>
      </c>
      <c r="I364" t="s">
        <v>1353</v>
      </c>
      <c r="J364" t="s">
        <v>1351</v>
      </c>
      <c r="K364" t="s">
        <v>1351</v>
      </c>
    </row>
    <row r="365" spans="1:11" x14ac:dyDescent="0.2">
      <c r="A365"/>
      <c r="B365"/>
      <c r="C365">
        <v>91767</v>
      </c>
      <c r="D365">
        <v>2</v>
      </c>
      <c r="E365">
        <v>10365199</v>
      </c>
      <c r="F365" t="s">
        <v>914</v>
      </c>
      <c r="G365" t="s">
        <v>1353</v>
      </c>
      <c r="H365" t="s">
        <v>1353</v>
      </c>
      <c r="I365" t="s">
        <v>1353</v>
      </c>
      <c r="J365" t="s">
        <v>1353</v>
      </c>
      <c r="K365" t="s">
        <v>1353</v>
      </c>
    </row>
    <row r="366" spans="1:11" x14ac:dyDescent="0.2">
      <c r="A366"/>
      <c r="B366"/>
      <c r="C366">
        <v>91767</v>
      </c>
      <c r="D366">
        <v>2</v>
      </c>
      <c r="E366">
        <v>10358371</v>
      </c>
      <c r="F366" t="s">
        <v>914</v>
      </c>
      <c r="G366" t="s">
        <v>1373</v>
      </c>
      <c r="H366" t="s">
        <v>1353</v>
      </c>
      <c r="I366" t="s">
        <v>1353</v>
      </c>
      <c r="J366" t="s">
        <v>1373</v>
      </c>
      <c r="K366" t="s">
        <v>1353</v>
      </c>
    </row>
    <row r="367" spans="1:11" x14ac:dyDescent="0.2">
      <c r="A367"/>
      <c r="B367"/>
      <c r="C367">
        <v>91767</v>
      </c>
      <c r="D367">
        <v>2</v>
      </c>
      <c r="E367">
        <v>10205309</v>
      </c>
      <c r="F367" t="s">
        <v>914</v>
      </c>
      <c r="G367" t="s">
        <v>1353</v>
      </c>
      <c r="H367" t="s">
        <v>1353</v>
      </c>
      <c r="I367" t="s">
        <v>1353</v>
      </c>
      <c r="J367" t="s">
        <v>1353</v>
      </c>
      <c r="K367" t="s">
        <v>1353</v>
      </c>
    </row>
    <row r="368" spans="1:11" x14ac:dyDescent="0.2">
      <c r="A368"/>
      <c r="B368"/>
      <c r="C368">
        <v>91767</v>
      </c>
      <c r="D368">
        <v>2</v>
      </c>
      <c r="E368">
        <v>10361244</v>
      </c>
      <c r="F368" t="s">
        <v>914</v>
      </c>
      <c r="G368" t="s">
        <v>1373</v>
      </c>
      <c r="H368" t="s">
        <v>1373</v>
      </c>
      <c r="I368" t="s">
        <v>1373</v>
      </c>
      <c r="J368" t="s">
        <v>1373</v>
      </c>
      <c r="K368" t="s">
        <v>1373</v>
      </c>
    </row>
    <row r="369" spans="1:11" x14ac:dyDescent="0.2">
      <c r="A369"/>
      <c r="B369"/>
      <c r="C369">
        <v>91767</v>
      </c>
      <c r="D369">
        <v>2</v>
      </c>
      <c r="E369">
        <v>10277630</v>
      </c>
      <c r="F369" t="s">
        <v>914</v>
      </c>
      <c r="G369" t="s">
        <v>1353</v>
      </c>
      <c r="H369" t="s">
        <v>1353</v>
      </c>
      <c r="I369" t="s">
        <v>1353</v>
      </c>
      <c r="J369" t="s">
        <v>1353</v>
      </c>
      <c r="K369" t="s">
        <v>1353</v>
      </c>
    </row>
    <row r="370" spans="1:11" x14ac:dyDescent="0.2">
      <c r="A370"/>
      <c r="B370"/>
      <c r="C370">
        <v>91786</v>
      </c>
      <c r="D370">
        <v>2</v>
      </c>
      <c r="E370">
        <v>10361293</v>
      </c>
      <c r="F370" t="s">
        <v>914</v>
      </c>
      <c r="G370" t="s">
        <v>1358</v>
      </c>
      <c r="H370" t="s">
        <v>1358</v>
      </c>
      <c r="I370" t="s">
        <v>1358</v>
      </c>
      <c r="J370" t="s">
        <v>1358</v>
      </c>
      <c r="K370" t="s">
        <v>1358</v>
      </c>
    </row>
    <row r="371" spans="1:11" x14ac:dyDescent="0.2">
      <c r="A371"/>
      <c r="B371"/>
      <c r="C371">
        <v>91711</v>
      </c>
      <c r="D371">
        <v>1.3</v>
      </c>
      <c r="E371">
        <v>10089205</v>
      </c>
      <c r="F371" t="s">
        <v>914</v>
      </c>
      <c r="G371" t="s">
        <v>1353</v>
      </c>
      <c r="H371" t="s">
        <v>1353</v>
      </c>
      <c r="I371" t="s">
        <v>1353</v>
      </c>
      <c r="J371" t="s">
        <v>1353</v>
      </c>
      <c r="K371" t="s">
        <v>1353</v>
      </c>
    </row>
    <row r="372" spans="1:11" x14ac:dyDescent="0.2">
      <c r="A372"/>
      <c r="B372"/>
      <c r="C372">
        <v>91711</v>
      </c>
      <c r="D372">
        <v>1.3</v>
      </c>
      <c r="E372">
        <v>10190160</v>
      </c>
      <c r="F372" t="s">
        <v>914</v>
      </c>
      <c r="G372" t="s">
        <v>1353</v>
      </c>
      <c r="H372" t="s">
        <v>1353</v>
      </c>
      <c r="I372" t="s">
        <v>1353</v>
      </c>
      <c r="J372" t="s">
        <v>1353</v>
      </c>
      <c r="K372" t="s">
        <v>1353</v>
      </c>
    </row>
    <row r="373" spans="1:11" x14ac:dyDescent="0.2">
      <c r="A373"/>
      <c r="B373"/>
      <c r="C373">
        <v>2138</v>
      </c>
      <c r="D373">
        <v>1</v>
      </c>
      <c r="E373">
        <v>10092309</v>
      </c>
      <c r="F373" t="s">
        <v>919</v>
      </c>
      <c r="G373" t="s">
        <v>1351</v>
      </c>
      <c r="H373" t="s">
        <v>1351</v>
      </c>
      <c r="I373" t="s">
        <v>1351</v>
      </c>
      <c r="J373" t="s">
        <v>1351</v>
      </c>
      <c r="K373" t="s">
        <v>1351</v>
      </c>
    </row>
    <row r="374" spans="1:11" x14ac:dyDescent="0.2">
      <c r="A374"/>
      <c r="B374"/>
      <c r="C374">
        <v>91711</v>
      </c>
      <c r="D374">
        <v>1</v>
      </c>
      <c r="E374">
        <v>800242</v>
      </c>
      <c r="F374" t="s">
        <v>914</v>
      </c>
      <c r="G374" t="s">
        <v>1351</v>
      </c>
      <c r="H374" t="s">
        <v>1352</v>
      </c>
      <c r="I374" t="s">
        <v>1372</v>
      </c>
      <c r="J374" t="s">
        <v>1352</v>
      </c>
      <c r="K374" t="s">
        <v>1351</v>
      </c>
    </row>
    <row r="375" spans="1:11" x14ac:dyDescent="0.2">
      <c r="A375"/>
      <c r="B375"/>
      <c r="C375">
        <v>91711</v>
      </c>
      <c r="D375">
        <v>1</v>
      </c>
      <c r="E375">
        <v>10085870</v>
      </c>
      <c r="F375" t="s">
        <v>914</v>
      </c>
      <c r="G375" t="s">
        <v>1358</v>
      </c>
      <c r="H375" t="s">
        <v>1358</v>
      </c>
      <c r="I375" t="s">
        <v>1358</v>
      </c>
      <c r="J375" t="s">
        <v>1358</v>
      </c>
      <c r="K375" t="s">
        <v>1358</v>
      </c>
    </row>
    <row r="376" spans="1:11" x14ac:dyDescent="0.2">
      <c r="A376"/>
      <c r="B376"/>
      <c r="C376">
        <v>91711</v>
      </c>
      <c r="D376">
        <v>1</v>
      </c>
      <c r="E376">
        <v>102039821</v>
      </c>
      <c r="F376" t="s">
        <v>914</v>
      </c>
      <c r="G376" t="s">
        <v>1372</v>
      </c>
      <c r="H376" t="s">
        <v>1353</v>
      </c>
      <c r="I376" t="s">
        <v>1353</v>
      </c>
      <c r="J376" t="s">
        <v>1353</v>
      </c>
      <c r="K376" t="s">
        <v>1353</v>
      </c>
    </row>
    <row r="377" spans="1:11" x14ac:dyDescent="0.2">
      <c r="A377"/>
      <c r="B377"/>
      <c r="C377">
        <v>91711</v>
      </c>
      <c r="D377">
        <v>1</v>
      </c>
      <c r="E377">
        <v>10013031</v>
      </c>
      <c r="F377" t="s">
        <v>914</v>
      </c>
      <c r="G377" t="s">
        <v>1373</v>
      </c>
      <c r="H377" t="s">
        <v>1373</v>
      </c>
      <c r="I377" t="s">
        <v>1373</v>
      </c>
      <c r="J377" t="s">
        <v>1373</v>
      </c>
      <c r="K377" t="s">
        <v>1373</v>
      </c>
    </row>
    <row r="378" spans="1:11" x14ac:dyDescent="0.2">
      <c r="A378"/>
      <c r="B378"/>
      <c r="C378">
        <v>91711</v>
      </c>
      <c r="D378">
        <v>1</v>
      </c>
      <c r="E378">
        <v>10148193</v>
      </c>
      <c r="F378" t="s">
        <v>914</v>
      </c>
      <c r="G378" t="s">
        <v>1353</v>
      </c>
      <c r="H378" t="s">
        <v>1353</v>
      </c>
      <c r="I378" t="s">
        <v>1353</v>
      </c>
      <c r="J378" t="s">
        <v>1353</v>
      </c>
      <c r="K378" t="s">
        <v>1353</v>
      </c>
    </row>
    <row r="379" spans="1:11" x14ac:dyDescent="0.2">
      <c r="A379"/>
      <c r="B379"/>
      <c r="C379">
        <v>91711</v>
      </c>
      <c r="D379">
        <v>1</v>
      </c>
      <c r="E379">
        <v>10105699</v>
      </c>
      <c r="F379" t="s">
        <v>914</v>
      </c>
      <c r="G379" t="s">
        <v>1352</v>
      </c>
      <c r="H379" t="s">
        <v>1353</v>
      </c>
      <c r="I379" t="s">
        <v>1352</v>
      </c>
      <c r="J379" t="s">
        <v>1351</v>
      </c>
      <c r="K379" t="s">
        <v>1351</v>
      </c>
    </row>
    <row r="380" spans="1:11" ht="14.25" customHeight="1" x14ac:dyDescent="0.2">
      <c r="A380"/>
      <c r="B380"/>
      <c r="C380">
        <v>91711</v>
      </c>
      <c r="D380">
        <v>1</v>
      </c>
      <c r="E380">
        <v>10257626</v>
      </c>
      <c r="F380" t="s">
        <v>914</v>
      </c>
      <c r="G380" t="s">
        <v>191</v>
      </c>
      <c r="H380" t="s">
        <v>1372</v>
      </c>
      <c r="I380" t="s">
        <v>1372</v>
      </c>
      <c r="J380" t="s">
        <v>1372</v>
      </c>
      <c r="K380" t="s">
        <v>1372</v>
      </c>
    </row>
    <row r="381" spans="1:11" x14ac:dyDescent="0.2">
      <c r="A381"/>
      <c r="B381"/>
      <c r="C381">
        <v>91711</v>
      </c>
      <c r="D381">
        <v>1</v>
      </c>
      <c r="E381">
        <v>10348203</v>
      </c>
      <c r="F381" t="s">
        <v>914</v>
      </c>
      <c r="G381" t="s">
        <v>1372</v>
      </c>
      <c r="H381" t="s">
        <v>1372</v>
      </c>
      <c r="I381" t="s">
        <v>1372</v>
      </c>
      <c r="J381" t="s">
        <v>1372</v>
      </c>
      <c r="K381" t="s">
        <v>1372</v>
      </c>
    </row>
    <row r="382" spans="1:11" x14ac:dyDescent="0.2">
      <c r="A382"/>
      <c r="B382"/>
      <c r="C382">
        <v>91711</v>
      </c>
      <c r="D382">
        <v>1</v>
      </c>
      <c r="E382">
        <v>10091830</v>
      </c>
      <c r="F382" t="s">
        <v>914</v>
      </c>
      <c r="G382" t="s">
        <v>1373</v>
      </c>
      <c r="H382" t="s">
        <v>1373</v>
      </c>
      <c r="I382" t="s">
        <v>1353</v>
      </c>
      <c r="J382" t="s">
        <v>1353</v>
      </c>
      <c r="K382" t="s">
        <v>1373</v>
      </c>
    </row>
    <row r="383" spans="1:11" x14ac:dyDescent="0.2">
      <c r="A383"/>
      <c r="B383"/>
      <c r="C383">
        <v>91711</v>
      </c>
      <c r="D383">
        <v>1</v>
      </c>
      <c r="E383">
        <v>10002371</v>
      </c>
      <c r="F383" t="s">
        <v>914</v>
      </c>
      <c r="G383" t="s">
        <v>1372</v>
      </c>
      <c r="H383" t="s">
        <v>1353</v>
      </c>
      <c r="I383" t="s">
        <v>1372</v>
      </c>
      <c r="J383" t="s">
        <v>1372</v>
      </c>
      <c r="K383" t="s">
        <v>1353</v>
      </c>
    </row>
    <row r="384" spans="1:11" x14ac:dyDescent="0.2">
      <c r="A384"/>
      <c r="B384"/>
      <c r="C384">
        <v>91711</v>
      </c>
      <c r="D384">
        <v>1</v>
      </c>
      <c r="E384">
        <v>10366747</v>
      </c>
      <c r="F384" t="s">
        <v>914</v>
      </c>
      <c r="G384" t="s">
        <v>1372</v>
      </c>
      <c r="H384" t="s">
        <v>1372</v>
      </c>
      <c r="I384" t="s">
        <v>1372</v>
      </c>
      <c r="J384" t="s">
        <v>1372</v>
      </c>
      <c r="K384" t="s">
        <v>1372</v>
      </c>
    </row>
    <row r="385" spans="1:11" x14ac:dyDescent="0.2">
      <c r="A385"/>
      <c r="B385"/>
      <c r="C385">
        <v>91711</v>
      </c>
      <c r="D385">
        <v>1</v>
      </c>
      <c r="E385">
        <v>10351831</v>
      </c>
      <c r="F385" t="s">
        <v>914</v>
      </c>
      <c r="G385" t="s">
        <v>1373</v>
      </c>
      <c r="H385" t="s">
        <v>1373</v>
      </c>
      <c r="I385" t="s">
        <v>1373</v>
      </c>
      <c r="J385" t="s">
        <v>1373</v>
      </c>
      <c r="K385" t="s">
        <v>1373</v>
      </c>
    </row>
    <row r="386" spans="1:11" x14ac:dyDescent="0.2">
      <c r="A386"/>
      <c r="B386"/>
      <c r="C386">
        <v>91711</v>
      </c>
      <c r="D386">
        <v>1</v>
      </c>
      <c r="E386">
        <v>10366699</v>
      </c>
      <c r="F386" t="s">
        <v>914</v>
      </c>
      <c r="G386" t="s">
        <v>1372</v>
      </c>
      <c r="H386" t="s">
        <v>1372</v>
      </c>
      <c r="I386" t="s">
        <v>1372</v>
      </c>
      <c r="J386" t="s">
        <v>1372</v>
      </c>
      <c r="K386" t="s">
        <v>1372</v>
      </c>
    </row>
    <row r="387" spans="1:11" x14ac:dyDescent="0.2">
      <c r="A387"/>
      <c r="B387"/>
      <c r="C387">
        <v>91711</v>
      </c>
      <c r="D387">
        <v>1</v>
      </c>
      <c r="E387">
        <v>10013235</v>
      </c>
      <c r="F387" t="s">
        <v>914</v>
      </c>
      <c r="G387" t="s">
        <v>1353</v>
      </c>
      <c r="H387" t="s">
        <v>202</v>
      </c>
      <c r="I387" t="s">
        <v>202</v>
      </c>
      <c r="J387" t="s">
        <v>202</v>
      </c>
      <c r="K387" t="s">
        <v>1351</v>
      </c>
    </row>
    <row r="388" spans="1:11" x14ac:dyDescent="0.2">
      <c r="A388"/>
      <c r="B388"/>
      <c r="C388">
        <v>91711</v>
      </c>
      <c r="D388">
        <v>1</v>
      </c>
      <c r="E388">
        <v>10042223</v>
      </c>
      <c r="F388" t="s">
        <v>914</v>
      </c>
      <c r="G388" t="s">
        <v>1353</v>
      </c>
      <c r="H388" t="s">
        <v>1353</v>
      </c>
      <c r="I388" t="s">
        <v>1353</v>
      </c>
      <c r="J388" t="s">
        <v>1353</v>
      </c>
      <c r="K388" t="s">
        <v>1353</v>
      </c>
    </row>
    <row r="389" spans="1:11" x14ac:dyDescent="0.2">
      <c r="A389"/>
      <c r="B389"/>
      <c r="C389">
        <v>91711</v>
      </c>
      <c r="D389">
        <v>1</v>
      </c>
      <c r="E389">
        <v>10341303</v>
      </c>
      <c r="F389" t="s">
        <v>914</v>
      </c>
      <c r="G389" t="s">
        <v>1373</v>
      </c>
      <c r="H389" t="s">
        <v>1373</v>
      </c>
      <c r="I389" t="s">
        <v>191</v>
      </c>
      <c r="J389" t="s">
        <v>191</v>
      </c>
      <c r="K389" t="s">
        <v>191</v>
      </c>
    </row>
    <row r="390" spans="1:11" x14ac:dyDescent="0.2">
      <c r="A390"/>
      <c r="B390"/>
      <c r="C390">
        <v>91711</v>
      </c>
      <c r="D390">
        <v>1</v>
      </c>
      <c r="E390">
        <v>10044291</v>
      </c>
      <c r="F390" t="s">
        <v>914</v>
      </c>
      <c r="G390" t="s">
        <v>1351</v>
      </c>
      <c r="H390" t="s">
        <v>1351</v>
      </c>
      <c r="I390" t="s">
        <v>1352</v>
      </c>
      <c r="J390" t="s">
        <v>202</v>
      </c>
      <c r="K390" t="s">
        <v>202</v>
      </c>
    </row>
    <row r="391" spans="1:11" x14ac:dyDescent="0.2">
      <c r="A391"/>
      <c r="B391"/>
      <c r="C391">
        <v>91711</v>
      </c>
      <c r="D391">
        <v>1</v>
      </c>
      <c r="E391">
        <v>10358850</v>
      </c>
      <c r="F391" t="s">
        <v>914</v>
      </c>
      <c r="G391" t="s">
        <v>1373</v>
      </c>
      <c r="H391" t="s">
        <v>1373</v>
      </c>
      <c r="I391" t="s">
        <v>1373</v>
      </c>
      <c r="J391" t="s">
        <v>1373</v>
      </c>
      <c r="K391" t="s">
        <v>191</v>
      </c>
    </row>
    <row r="392" spans="1:11" x14ac:dyDescent="0.2">
      <c r="A392"/>
      <c r="B392"/>
      <c r="C392">
        <v>91711</v>
      </c>
      <c r="D392">
        <v>1</v>
      </c>
      <c r="E392">
        <v>10042755</v>
      </c>
      <c r="F392" t="s">
        <v>914</v>
      </c>
      <c r="G392" t="s">
        <v>191</v>
      </c>
      <c r="H392" t="s">
        <v>1353</v>
      </c>
      <c r="I392" t="s">
        <v>1353</v>
      </c>
      <c r="J392" t="s">
        <v>1353</v>
      </c>
      <c r="K392" t="s">
        <v>1353</v>
      </c>
    </row>
    <row r="393" spans="1:11" x14ac:dyDescent="0.2">
      <c r="A393"/>
      <c r="B393"/>
      <c r="C393">
        <v>91711</v>
      </c>
      <c r="D393">
        <v>1</v>
      </c>
      <c r="E393">
        <v>10346409</v>
      </c>
      <c r="F393" t="s">
        <v>914</v>
      </c>
      <c r="G393" t="s">
        <v>1358</v>
      </c>
      <c r="H393" t="s">
        <v>1358</v>
      </c>
      <c r="I393" t="s">
        <v>1358</v>
      </c>
      <c r="J393" t="s">
        <v>1358</v>
      </c>
      <c r="K393" t="s">
        <v>1358</v>
      </c>
    </row>
    <row r="394" spans="1:11" x14ac:dyDescent="0.2">
      <c r="A394"/>
      <c r="B394"/>
      <c r="C394">
        <v>91711</v>
      </c>
      <c r="D394">
        <v>1</v>
      </c>
      <c r="E394">
        <v>10042899</v>
      </c>
      <c r="F394" t="s">
        <v>914</v>
      </c>
      <c r="G394" t="s">
        <v>1353</v>
      </c>
      <c r="H394" t="s">
        <v>1353</v>
      </c>
      <c r="I394" t="s">
        <v>1351</v>
      </c>
      <c r="J394" t="s">
        <v>1353</v>
      </c>
      <c r="K394" t="s">
        <v>1353</v>
      </c>
    </row>
    <row r="395" spans="1:11" x14ac:dyDescent="0.2">
      <c r="A395"/>
      <c r="B395"/>
      <c r="C395">
        <v>91711</v>
      </c>
      <c r="D395">
        <v>1</v>
      </c>
      <c r="E395">
        <v>10369871</v>
      </c>
      <c r="F395" t="s">
        <v>914</v>
      </c>
      <c r="G395" t="s">
        <v>1353</v>
      </c>
      <c r="H395" t="s">
        <v>1372</v>
      </c>
      <c r="I395" t="s">
        <v>1372</v>
      </c>
      <c r="J395" t="s">
        <v>1353</v>
      </c>
      <c r="K395" t="s">
        <v>1353</v>
      </c>
    </row>
    <row r="396" spans="1:11" x14ac:dyDescent="0.2">
      <c r="A396"/>
      <c r="B396"/>
      <c r="C396">
        <v>91711</v>
      </c>
      <c r="D396">
        <v>1</v>
      </c>
      <c r="E396">
        <v>10366687</v>
      </c>
      <c r="F396" t="s">
        <v>914</v>
      </c>
      <c r="G396" t="s">
        <v>1372</v>
      </c>
      <c r="H396" t="s">
        <v>1372</v>
      </c>
      <c r="I396" t="s">
        <v>1372</v>
      </c>
      <c r="J396" t="s">
        <v>1372</v>
      </c>
      <c r="K396" t="s">
        <v>1372</v>
      </c>
    </row>
    <row r="397" spans="1:11" x14ac:dyDescent="0.2">
      <c r="A397"/>
      <c r="B397"/>
      <c r="C397">
        <v>91711</v>
      </c>
      <c r="D397">
        <v>1</v>
      </c>
      <c r="E397">
        <v>10126965</v>
      </c>
      <c r="F397" t="s">
        <v>914</v>
      </c>
      <c r="G397" t="s">
        <v>1372</v>
      </c>
      <c r="H397" t="s">
        <v>1372</v>
      </c>
      <c r="I397" t="s">
        <v>1372</v>
      </c>
      <c r="J397" t="s">
        <v>1372</v>
      </c>
      <c r="K397" t="s">
        <v>1372</v>
      </c>
    </row>
    <row r="398" spans="1:11" x14ac:dyDescent="0.2">
      <c r="A398"/>
      <c r="B398"/>
      <c r="C398">
        <v>91711</v>
      </c>
      <c r="D398">
        <v>1</v>
      </c>
      <c r="E398">
        <v>10039954</v>
      </c>
      <c r="F398" t="s">
        <v>914</v>
      </c>
      <c r="G398" t="s">
        <v>1353</v>
      </c>
      <c r="H398" t="s">
        <v>1353</v>
      </c>
      <c r="I398" t="s">
        <v>1353</v>
      </c>
      <c r="J398" t="s">
        <v>1353</v>
      </c>
      <c r="K398" t="s">
        <v>1353</v>
      </c>
    </row>
    <row r="399" spans="1:11" x14ac:dyDescent="0.2">
      <c r="A399"/>
      <c r="B399"/>
      <c r="C399">
        <v>91711</v>
      </c>
      <c r="D399">
        <v>1</v>
      </c>
      <c r="E399">
        <v>10014411</v>
      </c>
      <c r="F399" t="s">
        <v>914</v>
      </c>
      <c r="G399" t="s">
        <v>1353</v>
      </c>
      <c r="H399" t="s">
        <v>1373</v>
      </c>
      <c r="I399" t="s">
        <v>1373</v>
      </c>
      <c r="J399" t="s">
        <v>1353</v>
      </c>
      <c r="K399" t="s">
        <v>1373</v>
      </c>
    </row>
    <row r="400" spans="1:11" x14ac:dyDescent="0.2">
      <c r="A400"/>
      <c r="B400"/>
      <c r="C400">
        <v>91711</v>
      </c>
      <c r="D400">
        <v>1</v>
      </c>
      <c r="E400">
        <v>10363207</v>
      </c>
      <c r="F400" t="s">
        <v>914</v>
      </c>
      <c r="G400" t="s">
        <v>1352</v>
      </c>
      <c r="H400" t="s">
        <v>1352</v>
      </c>
      <c r="I400" t="s">
        <v>1352</v>
      </c>
      <c r="J400" t="s">
        <v>1351</v>
      </c>
      <c r="K400" t="s">
        <v>1352</v>
      </c>
    </row>
    <row r="401" spans="1:11" x14ac:dyDescent="0.2">
      <c r="A401"/>
      <c r="B401"/>
      <c r="C401">
        <v>91711</v>
      </c>
      <c r="D401">
        <v>1</v>
      </c>
      <c r="E401">
        <v>10257033</v>
      </c>
      <c r="F401" t="s">
        <v>914</v>
      </c>
      <c r="G401" t="s">
        <v>1351</v>
      </c>
      <c r="H401" t="s">
        <v>1351</v>
      </c>
      <c r="I401" t="s">
        <v>1351</v>
      </c>
      <c r="J401" t="s">
        <v>1351</v>
      </c>
      <c r="K401" t="s">
        <v>1351</v>
      </c>
    </row>
    <row r="402" spans="1:11" x14ac:dyDescent="0.2">
      <c r="A402"/>
      <c r="B402"/>
      <c r="C402">
        <v>91711</v>
      </c>
      <c r="D402">
        <v>1</v>
      </c>
      <c r="E402">
        <v>10365043</v>
      </c>
      <c r="F402" t="s">
        <v>914</v>
      </c>
      <c r="G402" t="s">
        <v>1372</v>
      </c>
      <c r="H402" t="s">
        <v>1372</v>
      </c>
      <c r="I402" t="s">
        <v>1372</v>
      </c>
      <c r="J402" t="s">
        <v>1372</v>
      </c>
      <c r="K402" t="s">
        <v>1372</v>
      </c>
    </row>
    <row r="403" spans="1:11" x14ac:dyDescent="0.2">
      <c r="A403"/>
      <c r="B403"/>
      <c r="C403">
        <v>91711</v>
      </c>
      <c r="D403">
        <v>1</v>
      </c>
      <c r="E403">
        <v>10290734</v>
      </c>
      <c r="F403" t="s">
        <v>914</v>
      </c>
      <c r="G403" t="s">
        <v>1372</v>
      </c>
      <c r="H403" t="s">
        <v>1351</v>
      </c>
      <c r="I403" t="s">
        <v>1352</v>
      </c>
      <c r="J403" t="s">
        <v>1353</v>
      </c>
      <c r="K403" t="s">
        <v>1352</v>
      </c>
    </row>
    <row r="404" spans="1:11" x14ac:dyDescent="0.2">
      <c r="A404"/>
      <c r="B404"/>
      <c r="C404">
        <v>91711</v>
      </c>
      <c r="D404">
        <v>1</v>
      </c>
      <c r="E404">
        <v>10043687</v>
      </c>
      <c r="F404" t="s">
        <v>914</v>
      </c>
      <c r="G404" t="s">
        <v>1372</v>
      </c>
      <c r="H404" t="s">
        <v>1372</v>
      </c>
      <c r="I404" t="s">
        <v>1351</v>
      </c>
      <c r="J404" t="s">
        <v>1351</v>
      </c>
      <c r="K404" t="s">
        <v>1351</v>
      </c>
    </row>
    <row r="405" spans="1:11" x14ac:dyDescent="0.2">
      <c r="A405"/>
      <c r="B405"/>
      <c r="C405">
        <v>91711</v>
      </c>
      <c r="D405">
        <v>1</v>
      </c>
      <c r="E405">
        <v>114304</v>
      </c>
      <c r="F405" t="s">
        <v>914</v>
      </c>
      <c r="G405" t="s">
        <v>1351</v>
      </c>
      <c r="H405" t="s">
        <v>1353</v>
      </c>
      <c r="I405" t="s">
        <v>1351</v>
      </c>
      <c r="J405" t="s">
        <v>1353</v>
      </c>
      <c r="K405" t="s">
        <v>1353</v>
      </c>
    </row>
    <row r="406" spans="1:11" x14ac:dyDescent="0.2">
      <c r="A406"/>
      <c r="B406"/>
      <c r="C406">
        <v>91711</v>
      </c>
      <c r="D406">
        <v>1</v>
      </c>
      <c r="E406">
        <v>10368798</v>
      </c>
      <c r="F406" t="s">
        <v>914</v>
      </c>
      <c r="G406" t="s">
        <v>1353</v>
      </c>
      <c r="H406" t="s">
        <v>1353</v>
      </c>
      <c r="I406" t="s">
        <v>1353</v>
      </c>
      <c r="J406" t="s">
        <v>1353</v>
      </c>
      <c r="K406" t="s">
        <v>1353</v>
      </c>
    </row>
    <row r="407" spans="1:11" x14ac:dyDescent="0.2">
      <c r="A407"/>
      <c r="B407"/>
      <c r="C407">
        <v>91711</v>
      </c>
      <c r="D407">
        <v>1</v>
      </c>
      <c r="E407">
        <v>1364773</v>
      </c>
      <c r="F407" t="s">
        <v>914</v>
      </c>
      <c r="G407" t="s">
        <v>1352</v>
      </c>
      <c r="H407" t="s">
        <v>1352</v>
      </c>
      <c r="I407" t="s">
        <v>1352</v>
      </c>
      <c r="J407" t="s">
        <v>1352</v>
      </c>
      <c r="K407" t="s">
        <v>1352</v>
      </c>
    </row>
    <row r="408" spans="1:11" x14ac:dyDescent="0.2">
      <c r="A408"/>
      <c r="B408"/>
      <c r="C408">
        <v>91711</v>
      </c>
      <c r="D408">
        <v>1</v>
      </c>
      <c r="E408">
        <v>10361479</v>
      </c>
      <c r="F408" t="s">
        <v>914</v>
      </c>
      <c r="G408" t="s">
        <v>1352</v>
      </c>
      <c r="H408" t="s">
        <v>1352</v>
      </c>
      <c r="I408" t="s">
        <v>1352</v>
      </c>
      <c r="J408" t="s">
        <v>1352</v>
      </c>
      <c r="K408" t="s">
        <v>1352</v>
      </c>
    </row>
    <row r="409" spans="1:11" x14ac:dyDescent="0.2">
      <c r="A409"/>
      <c r="B409"/>
      <c r="C409">
        <v>91711</v>
      </c>
      <c r="D409">
        <v>1</v>
      </c>
      <c r="E409">
        <v>10042947</v>
      </c>
      <c r="F409" t="s">
        <v>914</v>
      </c>
      <c r="G409" t="s">
        <v>1353</v>
      </c>
      <c r="H409" t="s">
        <v>1351</v>
      </c>
      <c r="I409" t="s">
        <v>1351</v>
      </c>
      <c r="J409" t="s">
        <v>1351</v>
      </c>
      <c r="K409" t="s">
        <v>1351</v>
      </c>
    </row>
    <row r="410" spans="1:11" x14ac:dyDescent="0.2">
      <c r="A410"/>
      <c r="B410"/>
      <c r="C410">
        <v>91711</v>
      </c>
      <c r="D410">
        <v>1</v>
      </c>
      <c r="E410">
        <v>10268700</v>
      </c>
      <c r="F410" t="s">
        <v>914</v>
      </c>
      <c r="G410" t="s">
        <v>1353</v>
      </c>
      <c r="H410" t="s">
        <v>1353</v>
      </c>
      <c r="I410" t="s">
        <v>1353</v>
      </c>
      <c r="J410" t="s">
        <v>1353</v>
      </c>
      <c r="K410" t="s">
        <v>1353</v>
      </c>
    </row>
    <row r="411" spans="1:11" x14ac:dyDescent="0.2">
      <c r="A411"/>
      <c r="B411"/>
      <c r="C411">
        <v>91711</v>
      </c>
      <c r="D411">
        <v>1</v>
      </c>
      <c r="E411">
        <v>10144775</v>
      </c>
      <c r="F411" t="s">
        <v>919</v>
      </c>
      <c r="G411" t="s">
        <v>1353</v>
      </c>
      <c r="H411" t="s">
        <v>202</v>
      </c>
      <c r="I411" t="s">
        <v>1353</v>
      </c>
      <c r="J411" t="s">
        <v>202</v>
      </c>
      <c r="K411" t="s">
        <v>1353</v>
      </c>
    </row>
    <row r="412" spans="1:11" x14ac:dyDescent="0.2">
      <c r="A412"/>
      <c r="B412"/>
      <c r="C412">
        <v>91711</v>
      </c>
      <c r="D412">
        <v>1</v>
      </c>
      <c r="E412">
        <v>100806</v>
      </c>
      <c r="F412" t="s">
        <v>919</v>
      </c>
      <c r="G412" t="s">
        <v>1372</v>
      </c>
      <c r="H412" t="s">
        <v>1372</v>
      </c>
      <c r="I412" t="s">
        <v>1372</v>
      </c>
      <c r="J412" t="s">
        <v>1372</v>
      </c>
      <c r="K412" t="s">
        <v>1372</v>
      </c>
    </row>
    <row r="413" spans="1:11" x14ac:dyDescent="0.2">
      <c r="A413"/>
      <c r="B413"/>
      <c r="C413">
        <v>91711</v>
      </c>
      <c r="D413">
        <v>1</v>
      </c>
      <c r="E413">
        <v>10348299</v>
      </c>
      <c r="F413" t="s">
        <v>919</v>
      </c>
      <c r="G413" t="s">
        <v>1353</v>
      </c>
      <c r="H413" t="s">
        <v>1353</v>
      </c>
      <c r="I413" t="s">
        <v>1353</v>
      </c>
      <c r="J413" t="s">
        <v>1353</v>
      </c>
      <c r="K413" t="s">
        <v>202</v>
      </c>
    </row>
    <row r="414" spans="1:11" x14ac:dyDescent="0.2">
      <c r="A414"/>
      <c r="B414"/>
      <c r="C414">
        <v>91763</v>
      </c>
      <c r="D414">
        <v>1</v>
      </c>
      <c r="E414">
        <v>10042835</v>
      </c>
      <c r="F414" t="s">
        <v>914</v>
      </c>
      <c r="G414" t="s">
        <v>1353</v>
      </c>
      <c r="H414" t="s">
        <v>1353</v>
      </c>
      <c r="I414" t="s">
        <v>1353</v>
      </c>
      <c r="J414" t="s">
        <v>1353</v>
      </c>
      <c r="K414" t="s">
        <v>1353</v>
      </c>
    </row>
    <row r="415" spans="1:11" x14ac:dyDescent="0.2">
      <c r="A415"/>
      <c r="B415"/>
      <c r="C415">
        <v>91763</v>
      </c>
      <c r="D415">
        <v>1</v>
      </c>
      <c r="E415">
        <v>10285299</v>
      </c>
      <c r="F415" t="s">
        <v>914</v>
      </c>
      <c r="G415" t="s">
        <v>1353</v>
      </c>
      <c r="H415" t="s">
        <v>1353</v>
      </c>
      <c r="I415" t="s">
        <v>1353</v>
      </c>
      <c r="J415" t="s">
        <v>1353</v>
      </c>
      <c r="K415" t="s">
        <v>1353</v>
      </c>
    </row>
    <row r="416" spans="1:11" x14ac:dyDescent="0.2">
      <c r="A416"/>
      <c r="B416"/>
      <c r="C416">
        <v>91763</v>
      </c>
      <c r="D416">
        <v>1</v>
      </c>
      <c r="E416">
        <v>10043604</v>
      </c>
      <c r="F416" t="s">
        <v>914</v>
      </c>
      <c r="G416" t="s">
        <v>1353</v>
      </c>
      <c r="H416" t="s">
        <v>1353</v>
      </c>
      <c r="I416" t="s">
        <v>1353</v>
      </c>
      <c r="J416" t="s">
        <v>1353</v>
      </c>
      <c r="K416" t="s">
        <v>1353</v>
      </c>
    </row>
    <row r="417" spans="1:11" x14ac:dyDescent="0.2">
      <c r="A417"/>
      <c r="B417"/>
      <c r="C417">
        <v>91763</v>
      </c>
      <c r="D417">
        <v>1</v>
      </c>
      <c r="E417">
        <v>10043602</v>
      </c>
      <c r="F417" t="s">
        <v>914</v>
      </c>
      <c r="G417" t="s">
        <v>1353</v>
      </c>
      <c r="H417" t="s">
        <v>1353</v>
      </c>
      <c r="I417" t="s">
        <v>1353</v>
      </c>
      <c r="J417" t="s">
        <v>1353</v>
      </c>
      <c r="K417" t="s">
        <v>1353</v>
      </c>
    </row>
    <row r="418" spans="1:11" x14ac:dyDescent="0.2">
      <c r="A418"/>
      <c r="B418"/>
      <c r="C418">
        <v>91763</v>
      </c>
      <c r="D418">
        <v>1</v>
      </c>
      <c r="E418">
        <v>10042609</v>
      </c>
      <c r="F418" t="s">
        <v>914</v>
      </c>
      <c r="G418" t="s">
        <v>1353</v>
      </c>
      <c r="H418" t="s">
        <v>1353</v>
      </c>
      <c r="I418" t="s">
        <v>1353</v>
      </c>
      <c r="J418" t="s">
        <v>1353</v>
      </c>
      <c r="K418" t="s">
        <v>1353</v>
      </c>
    </row>
    <row r="419" spans="1:11" x14ac:dyDescent="0.2">
      <c r="A419"/>
      <c r="B419"/>
      <c r="C419">
        <v>91786</v>
      </c>
      <c r="D419">
        <v>1</v>
      </c>
      <c r="E419">
        <v>10105644</v>
      </c>
      <c r="F419" t="s">
        <v>914</v>
      </c>
      <c r="G419" t="s">
        <v>1372</v>
      </c>
      <c r="H419" t="s">
        <v>1372</v>
      </c>
      <c r="I419" t="s">
        <v>1372</v>
      </c>
      <c r="J419" t="s">
        <v>1373</v>
      </c>
      <c r="K419" t="s">
        <v>1373</v>
      </c>
    </row>
    <row r="420" spans="1:11" x14ac:dyDescent="0.2">
      <c r="A420"/>
      <c r="B420"/>
      <c r="C420">
        <v>91786</v>
      </c>
      <c r="D420">
        <v>1</v>
      </c>
      <c r="E420">
        <v>10361429</v>
      </c>
      <c r="F420" t="s">
        <v>914</v>
      </c>
      <c r="G420" t="s">
        <v>1351</v>
      </c>
      <c r="H420" t="s">
        <v>1372</v>
      </c>
      <c r="I420" t="s">
        <v>1372</v>
      </c>
      <c r="J420" t="s">
        <v>1372</v>
      </c>
      <c r="K420" t="s">
        <v>1351</v>
      </c>
    </row>
    <row r="421" spans="1:11" x14ac:dyDescent="0.2">
      <c r="A421"/>
      <c r="B421"/>
      <c r="C421">
        <v>91786</v>
      </c>
      <c r="D421">
        <v>1</v>
      </c>
      <c r="E421">
        <v>10353995</v>
      </c>
      <c r="F421" t="s">
        <v>914</v>
      </c>
      <c r="G421" t="s">
        <v>1373</v>
      </c>
      <c r="H421" t="s">
        <v>1373</v>
      </c>
      <c r="I421" t="s">
        <v>1373</v>
      </c>
      <c r="J421" t="s">
        <v>1373</v>
      </c>
      <c r="K421" t="s">
        <v>1373</v>
      </c>
    </row>
    <row r="422" spans="1:11" x14ac:dyDescent="0.2">
      <c r="A422"/>
      <c r="B422"/>
      <c r="C422">
        <v>91786</v>
      </c>
      <c r="D422">
        <v>1</v>
      </c>
      <c r="E422">
        <v>10358219</v>
      </c>
      <c r="F422" t="s">
        <v>914</v>
      </c>
      <c r="G422" t="s">
        <v>1353</v>
      </c>
      <c r="H422" t="s">
        <v>1353</v>
      </c>
      <c r="I422" t="s">
        <v>1353</v>
      </c>
      <c r="J422" t="s">
        <v>1353</v>
      </c>
      <c r="K422" t="s">
        <v>1353</v>
      </c>
    </row>
    <row r="423" spans="1:11" x14ac:dyDescent="0.2">
      <c r="A423"/>
      <c r="B423"/>
      <c r="C423">
        <v>95824</v>
      </c>
      <c r="D423">
        <v>1</v>
      </c>
      <c r="E423">
        <v>10353082</v>
      </c>
      <c r="F423" t="s">
        <v>914</v>
      </c>
      <c r="G423" t="s">
        <v>1352</v>
      </c>
      <c r="H423" t="s">
        <v>1353</v>
      </c>
      <c r="I423" t="s">
        <v>1353</v>
      </c>
      <c r="J423" t="s">
        <v>1353</v>
      </c>
      <c r="K423" t="s">
        <v>1353</v>
      </c>
    </row>
    <row r="424" spans="1:11" x14ac:dyDescent="0.2">
      <c r="A424"/>
      <c r="B424"/>
      <c r="C424">
        <v>91711</v>
      </c>
      <c r="D424">
        <v>0</v>
      </c>
      <c r="E424">
        <v>10355979</v>
      </c>
      <c r="F424" t="s">
        <v>914</v>
      </c>
      <c r="G424" t="s">
        <v>1372</v>
      </c>
      <c r="H424" t="s">
        <v>1372</v>
      </c>
      <c r="I424" t="s">
        <v>1372</v>
      </c>
      <c r="J424" t="s">
        <v>1372</v>
      </c>
      <c r="K424" t="s">
        <v>1372</v>
      </c>
    </row>
    <row r="425" spans="1:11" x14ac:dyDescent="0.2">
      <c r="A425"/>
      <c r="B425"/>
      <c r="C425">
        <v>91711</v>
      </c>
      <c r="D425">
        <v>0</v>
      </c>
      <c r="E425">
        <v>10366685</v>
      </c>
      <c r="F425" t="s">
        <v>914</v>
      </c>
      <c r="G425" t="s">
        <v>1372</v>
      </c>
      <c r="H425" t="s">
        <v>1372</v>
      </c>
      <c r="I425" t="s">
        <v>1372</v>
      </c>
      <c r="J425" t="s">
        <v>1372</v>
      </c>
      <c r="K425" t="s">
        <v>1372</v>
      </c>
    </row>
    <row r="426" spans="1:11" x14ac:dyDescent="0.2">
      <c r="A426"/>
      <c r="B426"/>
      <c r="C426">
        <v>91711</v>
      </c>
      <c r="D426">
        <v>0</v>
      </c>
      <c r="E426">
        <v>10366683</v>
      </c>
      <c r="F426" t="s">
        <v>914</v>
      </c>
      <c r="G426" t="s">
        <v>1374</v>
      </c>
      <c r="H426" t="s">
        <v>1374</v>
      </c>
      <c r="I426" t="s">
        <v>1374</v>
      </c>
      <c r="J426" t="s">
        <v>1374</v>
      </c>
      <c r="K426" t="s">
        <v>1374</v>
      </c>
    </row>
    <row r="427" spans="1:11" x14ac:dyDescent="0.2">
      <c r="A427"/>
      <c r="B427"/>
      <c r="C427">
        <v>91711</v>
      </c>
      <c r="D427">
        <v>0</v>
      </c>
      <c r="E427">
        <v>10360779</v>
      </c>
      <c r="F427" t="s">
        <v>914</v>
      </c>
      <c r="G427" t="s">
        <v>1372</v>
      </c>
      <c r="H427" t="s">
        <v>1372</v>
      </c>
      <c r="I427" t="s">
        <v>1372</v>
      </c>
      <c r="J427" t="s">
        <v>1372</v>
      </c>
      <c r="K427" t="s">
        <v>1372</v>
      </c>
    </row>
    <row r="428" spans="1:11" x14ac:dyDescent="0.2">
      <c r="A428"/>
      <c r="B428"/>
      <c r="C428">
        <v>91711</v>
      </c>
      <c r="D428">
        <v>0</v>
      </c>
      <c r="E428">
        <v>10368760</v>
      </c>
      <c r="F428" t="s">
        <v>914</v>
      </c>
      <c r="G428" t="s">
        <v>1373</v>
      </c>
      <c r="H428" t="s">
        <v>1373</v>
      </c>
      <c r="I428" t="s">
        <v>1373</v>
      </c>
      <c r="J428" t="s">
        <v>1373</v>
      </c>
      <c r="K428" t="s">
        <v>199</v>
      </c>
    </row>
    <row r="429" spans="1:11" x14ac:dyDescent="0.2">
      <c r="A429"/>
      <c r="B429"/>
      <c r="C429">
        <v>91711</v>
      </c>
      <c r="D429">
        <v>0</v>
      </c>
      <c r="E429">
        <v>10366684</v>
      </c>
      <c r="F429" t="s">
        <v>914</v>
      </c>
      <c r="G429" t="s">
        <v>1372</v>
      </c>
      <c r="H429" t="s">
        <v>1372</v>
      </c>
      <c r="I429" t="s">
        <v>1372</v>
      </c>
      <c r="J429" t="s">
        <v>1372</v>
      </c>
      <c r="K429" t="s">
        <v>1372</v>
      </c>
    </row>
    <row r="430" spans="1:11" x14ac:dyDescent="0.2">
      <c r="A430"/>
      <c r="B430"/>
      <c r="C430">
        <v>91711</v>
      </c>
      <c r="D430">
        <v>0</v>
      </c>
      <c r="E430">
        <v>10099341</v>
      </c>
      <c r="F430" t="s">
        <v>919</v>
      </c>
      <c r="G430" t="s">
        <v>202</v>
      </c>
      <c r="H430" t="s">
        <v>202</v>
      </c>
      <c r="I430" t="s">
        <v>202</v>
      </c>
      <c r="J430" t="s">
        <v>202</v>
      </c>
      <c r="K430" t="s">
        <v>202</v>
      </c>
    </row>
    <row r="431" spans="1:11" x14ac:dyDescent="0.2">
      <c r="A431"/>
      <c r="B431"/>
      <c r="C431">
        <v>91730</v>
      </c>
      <c r="D431">
        <v>0</v>
      </c>
      <c r="E431">
        <v>10294594</v>
      </c>
      <c r="F431" t="s">
        <v>914</v>
      </c>
      <c r="G431" t="s">
        <v>1353</v>
      </c>
      <c r="H431" t="s">
        <v>1353</v>
      </c>
      <c r="I431" t="s">
        <v>1353</v>
      </c>
      <c r="J431" t="s">
        <v>1353</v>
      </c>
      <c r="K431" t="s">
        <v>1353</v>
      </c>
    </row>
    <row r="432" spans="1:11" x14ac:dyDescent="0.2">
      <c r="A432"/>
      <c r="B432"/>
      <c r="C432">
        <v>91791</v>
      </c>
      <c r="D432">
        <v>0</v>
      </c>
      <c r="E432">
        <v>10345366</v>
      </c>
      <c r="F432" t="s">
        <v>914</v>
      </c>
      <c r="G432" t="s">
        <v>1353</v>
      </c>
      <c r="H432" t="s">
        <v>1353</v>
      </c>
      <c r="I432" t="s">
        <v>1353</v>
      </c>
      <c r="J432" t="s">
        <v>1353</v>
      </c>
      <c r="K432" t="s">
        <v>1353</v>
      </c>
    </row>
    <row r="433" spans="1:11" x14ac:dyDescent="0.2">
      <c r="A433"/>
      <c r="B433"/>
      <c r="C433">
        <v>92831</v>
      </c>
      <c r="D433">
        <v>0</v>
      </c>
      <c r="E433">
        <v>113637</v>
      </c>
      <c r="F433" t="s">
        <v>919</v>
      </c>
      <c r="G433" t="s">
        <v>1351</v>
      </c>
      <c r="H433" t="s">
        <v>1351</v>
      </c>
      <c r="I433" t="s">
        <v>1351</v>
      </c>
      <c r="J433" t="s">
        <v>1351</v>
      </c>
      <c r="K433" t="s">
        <v>1351</v>
      </c>
    </row>
    <row r="434" spans="1:11" x14ac:dyDescent="0.2">
      <c r="A434"/>
      <c r="B434"/>
      <c r="C434"/>
    </row>
    <row r="435" spans="1:11" x14ac:dyDescent="0.2">
      <c r="A435"/>
      <c r="B435"/>
      <c r="C435"/>
    </row>
    <row r="436" spans="1:11" x14ac:dyDescent="0.2">
      <c r="A436"/>
      <c r="B436"/>
      <c r="C436"/>
    </row>
    <row r="437" spans="1:11" x14ac:dyDescent="0.2">
      <c r="A437"/>
      <c r="B437"/>
      <c r="C437"/>
    </row>
    <row r="438" spans="1:11" x14ac:dyDescent="0.2">
      <c r="A438"/>
      <c r="B438"/>
      <c r="C438"/>
    </row>
    <row r="439" spans="1:11" x14ac:dyDescent="0.2">
      <c r="A439"/>
      <c r="B439"/>
      <c r="C439"/>
    </row>
    <row r="440" spans="1:11" x14ac:dyDescent="0.2">
      <c r="A440"/>
      <c r="B440"/>
      <c r="C440"/>
    </row>
    <row r="441" spans="1:11" x14ac:dyDescent="0.2">
      <c r="A441"/>
      <c r="B441"/>
      <c r="C441"/>
    </row>
    <row r="442" spans="1:11" x14ac:dyDescent="0.2">
      <c r="A442"/>
      <c r="B442"/>
      <c r="C442"/>
    </row>
    <row r="443" spans="1:11" x14ac:dyDescent="0.2">
      <c r="A443"/>
      <c r="B443"/>
      <c r="C443"/>
    </row>
    <row r="444" spans="1:11" x14ac:dyDescent="0.2">
      <c r="A444"/>
      <c r="B444"/>
      <c r="C444"/>
    </row>
    <row r="445" spans="1:11" x14ac:dyDescent="0.2">
      <c r="A445"/>
      <c r="B445"/>
      <c r="C445"/>
    </row>
    <row r="446" spans="1:11" x14ac:dyDescent="0.2">
      <c r="A446"/>
      <c r="B446"/>
      <c r="C446"/>
    </row>
    <row r="447" spans="1:11" x14ac:dyDescent="0.2">
      <c r="A447"/>
      <c r="B447"/>
      <c r="C447"/>
    </row>
    <row r="448" spans="1:11" x14ac:dyDescent="0.2">
      <c r="A448"/>
      <c r="B448"/>
      <c r="C448"/>
    </row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</sheetData>
  <mergeCells count="10">
    <mergeCell ref="O18:P18"/>
    <mergeCell ref="O19:P19"/>
    <mergeCell ref="O20:P20"/>
    <mergeCell ref="O21:P21"/>
    <mergeCell ref="O12:Q12"/>
    <mergeCell ref="O13:P13"/>
    <mergeCell ref="O14:P14"/>
    <mergeCell ref="O15:P15"/>
    <mergeCell ref="O16:P16"/>
    <mergeCell ref="O17:P1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1CE6-4F0F-4B83-BA9A-97CB7849C697}">
  <dimension ref="A1:Y262"/>
  <sheetViews>
    <sheetView workbookViewId="0">
      <selection activeCell="A2" sqref="A2:B271"/>
    </sheetView>
  </sheetViews>
  <sheetFormatPr baseColWidth="10" defaultColWidth="9.1640625" defaultRowHeight="15" x14ac:dyDescent="0.2"/>
  <cols>
    <col min="1" max="1" width="15.5" customWidth="1"/>
    <col min="2" max="2" width="17.6640625" customWidth="1"/>
    <col min="3" max="3" width="10.6640625" customWidth="1"/>
    <col min="4" max="4" width="9.83203125" customWidth="1"/>
    <col min="5" max="5" width="14.5" customWidth="1"/>
    <col min="6" max="6" width="15.5" customWidth="1"/>
    <col min="7" max="11" width="27.1640625" customWidth="1"/>
    <col min="12" max="12" width="17.5" customWidth="1"/>
    <col min="13" max="13" width="36.6640625" customWidth="1"/>
    <col min="14" max="14" width="13.5" customWidth="1"/>
    <col min="15" max="16" width="14.33203125" customWidth="1"/>
    <col min="17" max="17" width="15.5" customWidth="1"/>
    <col min="18" max="18" width="16" customWidth="1"/>
    <col min="21" max="21" width="16.5" customWidth="1"/>
    <col min="24" max="24" width="16.83203125" customWidth="1"/>
  </cols>
  <sheetData>
    <row r="1" spans="1:25" x14ac:dyDescent="0.2">
      <c r="A1" s="45" t="s">
        <v>0</v>
      </c>
      <c r="B1" s="8" t="s">
        <v>1</v>
      </c>
      <c r="C1" s="8" t="s">
        <v>2</v>
      </c>
      <c r="D1" s="8" t="s">
        <v>1349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44" t="s">
        <v>10</v>
      </c>
      <c r="M1" s="79" t="s">
        <v>11</v>
      </c>
      <c r="N1" s="80"/>
      <c r="O1" s="80"/>
      <c r="P1" s="80"/>
      <c r="Q1" s="80"/>
      <c r="R1" s="80"/>
      <c r="S1" s="80"/>
      <c r="T1" s="80"/>
      <c r="U1" s="80"/>
      <c r="V1" s="80"/>
      <c r="W1" s="81"/>
    </row>
    <row r="2" spans="1:25" x14ac:dyDescent="0.2">
      <c r="C2">
        <v>53703</v>
      </c>
      <c r="D2">
        <v>2000</v>
      </c>
      <c r="E2">
        <v>10347090</v>
      </c>
      <c r="F2" t="s">
        <v>919</v>
      </c>
      <c r="G2" t="s">
        <v>202</v>
      </c>
      <c r="H2" t="s">
        <v>202</v>
      </c>
      <c r="I2" t="s">
        <v>202</v>
      </c>
      <c r="J2" t="s">
        <v>202</v>
      </c>
      <c r="K2" t="s">
        <v>202</v>
      </c>
      <c r="M2" s="18"/>
      <c r="N2" s="18" t="s">
        <v>17</v>
      </c>
      <c r="O2" s="18" t="s">
        <v>18</v>
      </c>
      <c r="P2" s="18" t="s">
        <v>19</v>
      </c>
      <c r="Q2" s="18" t="s">
        <v>20</v>
      </c>
      <c r="R2" s="18" t="s">
        <v>21</v>
      </c>
      <c r="S2" s="18" t="s">
        <v>22</v>
      </c>
      <c r="T2" s="18" t="s">
        <v>23</v>
      </c>
      <c r="U2" s="18" t="s">
        <v>24</v>
      </c>
      <c r="V2" s="19" t="s">
        <v>25</v>
      </c>
      <c r="W2" s="20" t="s">
        <v>26</v>
      </c>
    </row>
    <row r="3" spans="1:25" x14ac:dyDescent="0.2">
      <c r="C3">
        <v>37067</v>
      </c>
      <c r="D3">
        <v>1978</v>
      </c>
      <c r="E3">
        <v>113298</v>
      </c>
      <c r="F3" t="s">
        <v>914</v>
      </c>
      <c r="G3" t="s">
        <v>1351</v>
      </c>
      <c r="H3" t="s">
        <v>1351</v>
      </c>
      <c r="I3" t="s">
        <v>1351</v>
      </c>
      <c r="J3" t="s">
        <v>1351</v>
      </c>
      <c r="K3" t="s">
        <v>1351</v>
      </c>
      <c r="M3" s="10" t="s">
        <v>32</v>
      </c>
      <c r="N3" s="24" cm="1">
        <f t="array" ref="N3">SUM(COUNTIF($G:$K,{"A.*","B.*"}))/W10</f>
        <v>0.31794871794871793</v>
      </c>
      <c r="O3" s="21">
        <f>COUNTIF($G:$K,"T.*")/W10</f>
        <v>1.0256410256410256E-2</v>
      </c>
      <c r="P3" s="21" cm="1">
        <f t="array" ref="P3">SUM(COUNTIF($G:$K,{"C.*","D.*","E.*","F.*","G.*","H.*","I.*","J.*","K.*","L.*","M.*","N.*","O.*","P.*"})/$W$10)</f>
        <v>2.9059829059829061E-2</v>
      </c>
      <c r="Q3" s="21">
        <f>COUNTIF($G:$K,"R.*")/$W$10</f>
        <v>9.4017094017094013E-3</v>
      </c>
      <c r="R3" s="21">
        <f>COUNTIF($G:$K,"U.*")/$W$10</f>
        <v>1.282051282051282E-2</v>
      </c>
      <c r="S3" s="21">
        <v>0</v>
      </c>
      <c r="T3" s="21">
        <f>COUNTIF($G:$K,"Q.*")/$W$10</f>
        <v>3.4188034188034188E-3</v>
      </c>
      <c r="U3" s="21">
        <f>COUNTIF($G:$K,"V.*")/$W$10</f>
        <v>0.60598290598290594</v>
      </c>
      <c r="V3" s="21">
        <f>COUNTIF($G:$K,"S.*")/$W$10</f>
        <v>1.1111111111111112E-2</v>
      </c>
      <c r="W3" s="21">
        <f>SUM(N3:V3)</f>
        <v>1</v>
      </c>
    </row>
    <row r="4" spans="1:25" ht="16" x14ac:dyDescent="0.2">
      <c r="C4">
        <v>11385</v>
      </c>
      <c r="D4">
        <v>999</v>
      </c>
      <c r="E4">
        <v>800345</v>
      </c>
      <c r="F4" t="s">
        <v>914</v>
      </c>
      <c r="G4" t="s">
        <v>1351</v>
      </c>
      <c r="H4" t="s">
        <v>1351</v>
      </c>
      <c r="I4" t="s">
        <v>1351</v>
      </c>
      <c r="J4" t="s">
        <v>1351</v>
      </c>
      <c r="K4" t="s">
        <v>1351</v>
      </c>
      <c r="M4" s="29" t="s">
        <v>38</v>
      </c>
      <c r="N4" s="30" cm="1">
        <f t="array" ref="N4">SUM(_xlfn.BYCOL(G:K,_xlfn.LAMBDA(_xlpm.col,SUMIF(_xlpm.col,"A.*",D:D)+SUMIF(_xlpm.col,"B.*",D:D))))/N10</f>
        <v>12.64516129032258</v>
      </c>
      <c r="O4" s="31" cm="1">
        <f t="array" ref="O4">SUM(_xlfn.BYCOL(G:K,_xlfn.LAMBDA(_xlpm.col,SUMIF(_xlpm.col,"T.*",D:D))))/O10</f>
        <v>7.75</v>
      </c>
      <c r="P4" s="32" cm="1">
        <f t="array" ref="P4">SUM(_xlfn.BYCOL($G:$K,_xlfn.LAMBDA(_xlpm.col,SUMIF(_xlpm.col,"C.*",D:D)+SUMIF(_xlpm.col,"D.*",D:D)+SUMIF(_xlpm.col,"E.*",D:D)+SUMIF(_xlpm.col,"F.*",D:D)+SUMIF(_xlpm.col,"G.*",D:D)+SUMIF(_xlpm.col,"H.*",D:D)+SUMIF(_xlpm.col,"I.*",D:D)+SUMIF(_xlpm.col,"J.*",D:D)+SUMIF(_xlpm.col,"K.*",D:D)+SUMIF(_xlpm.col,"L.*",D:D)+SUMIF(_xlpm.col,"M.*",D:D)+SUMIF(_xlpm.col,"N.*",D:D)+SUMIF(_xlpm.col,"O.*",D:D)+SUMIF(_xlpm.col,"P.*",D:D))))/$P10</f>
        <v>11.5</v>
      </c>
      <c r="Q4" s="32" cm="1">
        <f t="array" ref="Q4">SUM(_xlfn.BYCOL(G:K,_xlfn.LAMBDA(_xlpm.col,SUMIF(_xlpm.col,"R.*",D:D))))/Q10</f>
        <v>34.545454545454547</v>
      </c>
      <c r="R4" s="32" cm="1">
        <f t="array" ref="R4">SUM(_xlfn.BYCOL(G:K,_xlfn.LAMBDA(_xlpm.col,SUMIF(_xlpm.col,"U.*",D:D))))/R10</f>
        <v>10.266666666666667</v>
      </c>
      <c r="S4" s="32"/>
      <c r="T4" s="32" cm="1">
        <f t="array" ref="T4">SUM(_xlfn.BYCOL(G:K,_xlfn.LAMBDA(_xlpm.col,SUMIF(_xlpm.col,"Q.*",D:D))))/T10</f>
        <v>10</v>
      </c>
      <c r="U4" s="32"/>
      <c r="V4" s="32" cm="1">
        <f t="array" ref="V4">SUM(_xlfn.BYCOL(G:K,_xlfn.LAMBDA(_xlpm.col,SUMIF(_xlpm.col,"S.*",D:D))))/V10</f>
        <v>1.3846153846153846</v>
      </c>
      <c r="W4" s="30">
        <f>AVERAGE(N4:V4)</f>
        <v>12.584556841008453</v>
      </c>
    </row>
    <row r="5" spans="1:25" x14ac:dyDescent="0.2">
      <c r="C5">
        <v>80007</v>
      </c>
      <c r="D5">
        <v>985</v>
      </c>
      <c r="E5">
        <v>10358352</v>
      </c>
      <c r="F5" t="s">
        <v>914</v>
      </c>
      <c r="G5" t="s">
        <v>1351</v>
      </c>
      <c r="H5" t="s">
        <v>1351</v>
      </c>
      <c r="I5" t="s">
        <v>1351</v>
      </c>
      <c r="J5" t="s">
        <v>1351</v>
      </c>
      <c r="K5" t="s">
        <v>191</v>
      </c>
      <c r="M5" s="33" t="s">
        <v>44</v>
      </c>
      <c r="N5" s="33"/>
      <c r="O5" s="33"/>
      <c r="P5" s="39" cm="1">
        <f t="array" ref="P5">SUM(_xlfn.BYCOL($G:$K,_xlfn.LAMBDA(_xlpm.col,SUMIF(_xlpm.col,"C.*",D:D)*2+SUMIF(_xlpm.col,"D.*",D:D)*3+SUMIF(_xlpm.col,"E.*",D:D)*4+SUMIF(_xlpm.col,"F.*",D:D)*5+SUMIF(_xlpm.col,"G.*",D:D)*6+SUMIF(_xlpm.col,"H.*",D:D)*7+SUMIF(_xlpm.col,"I.*",D:D)*8+SUMIF(_xlpm.col,"J.*",D:D)*9+SUMIF(_xlpm.col,"K.*",D:D)*10+SUMIF(_xlpm.col,"L.*",D:D)*11+SUMIF(_xlpm.col,"M.*",D:D)*12+SUMIF(_xlpm.col,"N.*",D:D)*13+SUMIF(_xlpm.col,"O.*",D:D)*14+SUMIF(_xlpm.col,"P.*",D:D)*15)))/$P10</f>
        <v>23</v>
      </c>
      <c r="Q5" s="33"/>
      <c r="R5" s="33"/>
      <c r="S5" s="33"/>
      <c r="T5" s="33"/>
      <c r="U5" s="33"/>
      <c r="V5" s="33"/>
      <c r="W5" s="33"/>
    </row>
    <row r="6" spans="1:25" x14ac:dyDescent="0.2">
      <c r="C6">
        <v>92562</v>
      </c>
      <c r="D6">
        <v>59</v>
      </c>
      <c r="E6">
        <v>10307044</v>
      </c>
      <c r="F6" t="s">
        <v>914</v>
      </c>
      <c r="G6" t="s">
        <v>1351</v>
      </c>
      <c r="H6" t="s">
        <v>1351</v>
      </c>
      <c r="I6" t="s">
        <v>1351</v>
      </c>
      <c r="J6" t="s">
        <v>1351</v>
      </c>
      <c r="K6" t="s">
        <v>1351</v>
      </c>
      <c r="M6" s="40" t="s">
        <v>47</v>
      </c>
      <c r="N6" s="40"/>
      <c r="O6" s="40"/>
      <c r="P6" s="41">
        <f>P5/P4</f>
        <v>2</v>
      </c>
      <c r="Q6" s="40"/>
      <c r="R6" s="40"/>
      <c r="S6" s="40"/>
      <c r="T6" s="40"/>
      <c r="U6" s="40"/>
      <c r="V6" s="40"/>
      <c r="W6" s="40"/>
    </row>
    <row r="7" spans="1:25" x14ac:dyDescent="0.2">
      <c r="C7">
        <v>91364</v>
      </c>
      <c r="D7">
        <v>56</v>
      </c>
      <c r="E7">
        <v>10358246</v>
      </c>
      <c r="F7" t="s">
        <v>914</v>
      </c>
      <c r="G7" t="s">
        <v>1351</v>
      </c>
      <c r="H7" t="s">
        <v>1351</v>
      </c>
      <c r="I7" t="s">
        <v>1351</v>
      </c>
      <c r="J7" t="s">
        <v>1351</v>
      </c>
      <c r="K7" t="s">
        <v>1351</v>
      </c>
      <c r="P7" s="35"/>
    </row>
    <row r="8" spans="1:25" x14ac:dyDescent="0.2">
      <c r="C8">
        <v>92618</v>
      </c>
      <c r="D8">
        <v>47</v>
      </c>
      <c r="E8">
        <v>10287070</v>
      </c>
      <c r="F8" t="s">
        <v>914</v>
      </c>
      <c r="G8" t="s">
        <v>1351</v>
      </c>
      <c r="H8" t="s">
        <v>1351</v>
      </c>
      <c r="I8" t="s">
        <v>1351</v>
      </c>
      <c r="J8" t="s">
        <v>1351</v>
      </c>
      <c r="K8" t="s">
        <v>1351</v>
      </c>
      <c r="M8" s="69" t="s">
        <v>54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0"/>
    </row>
    <row r="9" spans="1:25" x14ac:dyDescent="0.2">
      <c r="C9">
        <v>92325</v>
      </c>
      <c r="D9">
        <v>45</v>
      </c>
      <c r="E9">
        <v>10043721</v>
      </c>
      <c r="F9" t="s">
        <v>914</v>
      </c>
      <c r="G9" t="s">
        <v>1351</v>
      </c>
      <c r="H9" t="s">
        <v>1351</v>
      </c>
      <c r="I9" t="s">
        <v>1351</v>
      </c>
      <c r="J9" t="s">
        <v>1351</v>
      </c>
      <c r="K9" t="s">
        <v>1351</v>
      </c>
      <c r="M9" s="36"/>
      <c r="N9" s="36" t="s">
        <v>17</v>
      </c>
      <c r="O9" s="36" t="s">
        <v>18</v>
      </c>
      <c r="P9" s="36" t="s">
        <v>19</v>
      </c>
      <c r="Q9" s="36" t="s">
        <v>20</v>
      </c>
      <c r="R9" s="36" t="s">
        <v>21</v>
      </c>
      <c r="S9" s="36" t="s">
        <v>22</v>
      </c>
      <c r="T9" s="36" t="s">
        <v>23</v>
      </c>
      <c r="U9" s="36" t="s">
        <v>24</v>
      </c>
      <c r="V9" s="36" t="s">
        <v>25</v>
      </c>
      <c r="W9" s="37" t="s">
        <v>26</v>
      </c>
      <c r="X9" s="36" t="s">
        <v>59</v>
      </c>
    </row>
    <row r="10" spans="1:25" x14ac:dyDescent="0.2">
      <c r="C10">
        <v>92405</v>
      </c>
      <c r="D10">
        <v>45</v>
      </c>
      <c r="E10">
        <v>10230725</v>
      </c>
      <c r="F10" t="s">
        <v>914</v>
      </c>
      <c r="G10" t="s">
        <v>1367</v>
      </c>
      <c r="H10" t="s">
        <v>1367</v>
      </c>
      <c r="I10" t="s">
        <v>1367</v>
      </c>
      <c r="J10" t="s">
        <v>1367</v>
      </c>
      <c r="K10" t="s">
        <v>1367</v>
      </c>
      <c r="M10" s="4" t="s">
        <v>63</v>
      </c>
      <c r="N10" s="4" cm="1">
        <f t="array" ref="N10">SUM(COUNTIF($G:$K,{"A.*","B.*"}))</f>
        <v>372</v>
      </c>
      <c r="O10" s="4">
        <f>COUNTIF($G:$K,"T.*")</f>
        <v>12</v>
      </c>
      <c r="P10" s="4" cm="1">
        <f t="array" ref="P10">SUM(COUNTIF($G:$K,{"C.*","D.*","E.*","F.*","G.*","H.*","I.*","J.*","K.*","L.*","M.*","N.*","O.*","P.*"}))</f>
        <v>34</v>
      </c>
      <c r="Q10" s="23">
        <f>COUNTIF($G:$K,"R.*")</f>
        <v>11</v>
      </c>
      <c r="R10" s="4">
        <f>COUNTIF($G:$K,"U.*")</f>
        <v>15</v>
      </c>
      <c r="S10" s="4">
        <v>0</v>
      </c>
      <c r="T10" s="4">
        <f>COUNTIF($G:$K,"Q.*")</f>
        <v>4</v>
      </c>
      <c r="U10" s="4">
        <f>COUNTIF($G:$K,"V.*")</f>
        <v>709</v>
      </c>
      <c r="V10" s="4">
        <f>COUNTIF($G:$K,"S.*")</f>
        <v>13</v>
      </c>
      <c r="W10" s="14">
        <f>SUM(N10:V10)</f>
        <v>1170</v>
      </c>
      <c r="X10" s="4">
        <f>COUNTIFS($G2:$K1000,"&lt;&gt;",$G2:$K1000,"&lt;&gt;OFF.*",$G2:$K1000,"&lt;&gt;AA.*",$G2:$K1000,"&lt;&gt;BB.*",$G2:$K1000,"&lt;&gt;W.*",$G2:$K1000,"&lt;&gt;X.*",$G2:$K1000,"&lt;&gt;CC.*")</f>
        <v>1170</v>
      </c>
      <c r="Y10" s="4"/>
    </row>
    <row r="11" spans="1:25" x14ac:dyDescent="0.2">
      <c r="C11">
        <v>92555</v>
      </c>
      <c r="D11">
        <v>45</v>
      </c>
      <c r="E11">
        <v>10339573</v>
      </c>
      <c r="F11" t="s">
        <v>914</v>
      </c>
      <c r="G11" t="s">
        <v>1353</v>
      </c>
      <c r="H11" t="s">
        <v>1353</v>
      </c>
      <c r="I11" t="s">
        <v>1353</v>
      </c>
      <c r="J11" t="s">
        <v>1353</v>
      </c>
      <c r="K11" t="s">
        <v>1353</v>
      </c>
    </row>
    <row r="12" spans="1:25" ht="16" x14ac:dyDescent="0.2">
      <c r="C12">
        <v>92392</v>
      </c>
      <c r="D12">
        <v>45</v>
      </c>
      <c r="E12">
        <v>10188889</v>
      </c>
      <c r="F12" t="s">
        <v>914</v>
      </c>
      <c r="G12" t="s">
        <v>1374</v>
      </c>
      <c r="H12" t="s">
        <v>1374</v>
      </c>
      <c r="I12" t="s">
        <v>1353</v>
      </c>
      <c r="J12" t="s">
        <v>1353</v>
      </c>
      <c r="K12" t="s">
        <v>1353</v>
      </c>
      <c r="M12" s="38" t="s">
        <v>1386</v>
      </c>
      <c r="O12" s="69" t="s">
        <v>69</v>
      </c>
      <c r="P12" s="73"/>
      <c r="Q12" s="70"/>
    </row>
    <row r="13" spans="1:25" ht="16" x14ac:dyDescent="0.2">
      <c r="C13">
        <v>90814</v>
      </c>
      <c r="D13">
        <v>45</v>
      </c>
      <c r="E13">
        <v>10364736</v>
      </c>
      <c r="F13" t="s">
        <v>914</v>
      </c>
      <c r="G13" t="s">
        <v>1351</v>
      </c>
      <c r="H13" t="s">
        <v>1351</v>
      </c>
      <c r="I13" t="s">
        <v>1351</v>
      </c>
      <c r="J13" t="s">
        <v>1351</v>
      </c>
      <c r="K13" t="s">
        <v>1351</v>
      </c>
      <c r="M13" s="63" t="s">
        <v>1353</v>
      </c>
      <c r="O13" s="74" t="s">
        <v>75</v>
      </c>
      <c r="P13" s="74"/>
      <c r="Q13" s="36" t="e">
        <f>2*W10/COUNTIFS(A:A,"&lt;&gt;",A:A,"&lt;&gt;FirstName")</f>
        <v>#DIV/0!</v>
      </c>
    </row>
    <row r="14" spans="1:25" ht="16" x14ac:dyDescent="0.2">
      <c r="C14">
        <v>92373</v>
      </c>
      <c r="D14">
        <v>42</v>
      </c>
      <c r="E14">
        <v>10351444</v>
      </c>
      <c r="F14" t="s">
        <v>914</v>
      </c>
      <c r="G14" t="s">
        <v>1351</v>
      </c>
      <c r="H14" t="s">
        <v>1351</v>
      </c>
      <c r="I14" t="s">
        <v>1351</v>
      </c>
      <c r="J14" t="s">
        <v>1351</v>
      </c>
      <c r="K14" t="s">
        <v>1351</v>
      </c>
      <c r="M14" s="63" t="s">
        <v>1355</v>
      </c>
      <c r="O14" s="72" t="s">
        <v>1387</v>
      </c>
      <c r="P14" s="72"/>
      <c r="Q14" s="4">
        <v>666</v>
      </c>
    </row>
    <row r="15" spans="1:25" ht="16" x14ac:dyDescent="0.2">
      <c r="C15">
        <v>92373</v>
      </c>
      <c r="D15">
        <v>40</v>
      </c>
      <c r="E15">
        <v>10361482</v>
      </c>
      <c r="F15" t="s">
        <v>914</v>
      </c>
      <c r="G15" t="s">
        <v>1351</v>
      </c>
      <c r="H15" t="s">
        <v>1351</v>
      </c>
      <c r="I15" t="s">
        <v>1351</v>
      </c>
      <c r="J15" t="s">
        <v>1351</v>
      </c>
      <c r="K15" t="s">
        <v>1351</v>
      </c>
      <c r="M15" s="63" t="s">
        <v>1352</v>
      </c>
      <c r="O15" s="75" t="s">
        <v>86</v>
      </c>
      <c r="P15" s="75"/>
      <c r="Q15" s="59">
        <f>COUNTIFS(A:A,"&lt;&gt;",A:A,"&lt;&gt;FirstName")</f>
        <v>0</v>
      </c>
    </row>
    <row r="16" spans="1:25" ht="16" x14ac:dyDescent="0.2">
      <c r="C16">
        <v>92627</v>
      </c>
      <c r="D16">
        <v>40</v>
      </c>
      <c r="E16">
        <v>10355891</v>
      </c>
      <c r="F16" t="s">
        <v>914</v>
      </c>
      <c r="G16" t="s">
        <v>1351</v>
      </c>
      <c r="H16" t="s">
        <v>1351</v>
      </c>
      <c r="I16" t="s">
        <v>1351</v>
      </c>
      <c r="J16" t="s">
        <v>1351</v>
      </c>
      <c r="K16" t="s">
        <v>1351</v>
      </c>
      <c r="M16" s="63" t="s">
        <v>1356</v>
      </c>
      <c r="O16" s="72" t="s">
        <v>93</v>
      </c>
      <c r="P16" s="69"/>
      <c r="Q16" s="61">
        <f>Q15/Q14</f>
        <v>0</v>
      </c>
    </row>
    <row r="17" spans="3:17" ht="16" x14ac:dyDescent="0.2">
      <c r="C17">
        <v>92584</v>
      </c>
      <c r="D17">
        <v>40</v>
      </c>
      <c r="E17">
        <v>10361201</v>
      </c>
      <c r="F17" t="s">
        <v>914</v>
      </c>
      <c r="G17" t="s">
        <v>202</v>
      </c>
      <c r="H17" t="s">
        <v>1353</v>
      </c>
      <c r="I17" t="s">
        <v>1353</v>
      </c>
      <c r="J17" t="s">
        <v>1353</v>
      </c>
      <c r="K17" t="s">
        <v>1353</v>
      </c>
      <c r="M17" s="63" t="s">
        <v>1357</v>
      </c>
      <c r="O17" s="77" t="s">
        <v>99</v>
      </c>
      <c r="P17" s="78"/>
      <c r="Q17" s="60">
        <v>49</v>
      </c>
    </row>
    <row r="18" spans="3:17" ht="16" x14ac:dyDescent="0.2">
      <c r="C18">
        <v>92335</v>
      </c>
      <c r="D18">
        <v>38</v>
      </c>
      <c r="E18">
        <v>10278300</v>
      </c>
      <c r="F18" t="s">
        <v>914</v>
      </c>
      <c r="G18" t="s">
        <v>199</v>
      </c>
      <c r="H18" t="s">
        <v>199</v>
      </c>
      <c r="I18" t="s">
        <v>1353</v>
      </c>
      <c r="J18" t="s">
        <v>1353</v>
      </c>
      <c r="K18" t="s">
        <v>1353</v>
      </c>
      <c r="M18" s="63" t="s">
        <v>1359</v>
      </c>
      <c r="O18" s="69" t="s">
        <v>104</v>
      </c>
      <c r="P18" s="70"/>
      <c r="Q18" s="4">
        <f>AVERAGE(D6:D1000)</f>
        <v>12.159533073929961</v>
      </c>
    </row>
    <row r="19" spans="3:17" ht="16" x14ac:dyDescent="0.2">
      <c r="C19">
        <v>92374</v>
      </c>
      <c r="D19">
        <v>37</v>
      </c>
      <c r="E19">
        <v>10292343</v>
      </c>
      <c r="F19" t="s">
        <v>914</v>
      </c>
      <c r="G19" t="s">
        <v>1351</v>
      </c>
      <c r="H19" t="s">
        <v>1351</v>
      </c>
      <c r="I19" t="s">
        <v>1351</v>
      </c>
      <c r="J19" t="s">
        <v>1351</v>
      </c>
      <c r="K19" t="s">
        <v>1351</v>
      </c>
      <c r="M19" s="63" t="s">
        <v>1360</v>
      </c>
      <c r="O19" s="69" t="s">
        <v>109</v>
      </c>
      <c r="P19" s="70"/>
      <c r="Q19" s="4">
        <f>MEDIAN(D2:D1000)</f>
        <v>8</v>
      </c>
    </row>
    <row r="20" spans="3:17" ht="16" x14ac:dyDescent="0.2">
      <c r="C20">
        <v>92557</v>
      </c>
      <c r="D20">
        <v>35</v>
      </c>
      <c r="E20">
        <v>10350684</v>
      </c>
      <c r="F20" t="s">
        <v>914</v>
      </c>
      <c r="G20" t="s">
        <v>1351</v>
      </c>
      <c r="H20" t="s">
        <v>1351</v>
      </c>
      <c r="I20" t="s">
        <v>1351</v>
      </c>
      <c r="J20" t="s">
        <v>1351</v>
      </c>
      <c r="K20" t="s">
        <v>1351</v>
      </c>
      <c r="M20" s="63" t="s">
        <v>1361</v>
      </c>
      <c r="O20" s="69" t="s">
        <v>114</v>
      </c>
      <c r="P20" s="70"/>
      <c r="Q20" s="4">
        <f>SUM(D2:D1000)</f>
        <v>9087</v>
      </c>
    </row>
    <row r="21" spans="3:17" ht="16" x14ac:dyDescent="0.2">
      <c r="C21">
        <v>92807</v>
      </c>
      <c r="D21">
        <v>35</v>
      </c>
      <c r="E21">
        <v>10299552</v>
      </c>
      <c r="F21" t="s">
        <v>914</v>
      </c>
      <c r="G21" t="s">
        <v>1351</v>
      </c>
      <c r="H21" t="s">
        <v>1351</v>
      </c>
      <c r="I21" t="s">
        <v>1351</v>
      </c>
      <c r="J21" t="s">
        <v>1351</v>
      </c>
      <c r="K21" t="s">
        <v>1351</v>
      </c>
      <c r="M21" s="63" t="s">
        <v>1362</v>
      </c>
      <c r="O21" s="69" t="s">
        <v>119</v>
      </c>
      <c r="P21" s="70"/>
      <c r="Q21" s="61" t="e">
        <f>COUNTIF(D:D,"&lt;=5")/Q15</f>
        <v>#DIV/0!</v>
      </c>
    </row>
    <row r="22" spans="3:17" ht="16" x14ac:dyDescent="0.2">
      <c r="C22">
        <v>90065</v>
      </c>
      <c r="D22">
        <v>35</v>
      </c>
      <c r="E22">
        <v>10240226</v>
      </c>
      <c r="F22" t="s">
        <v>914</v>
      </c>
      <c r="G22" t="s">
        <v>1351</v>
      </c>
      <c r="H22" t="s">
        <v>1351</v>
      </c>
      <c r="I22" t="s">
        <v>1351</v>
      </c>
      <c r="J22" t="s">
        <v>1351</v>
      </c>
      <c r="K22" t="s">
        <v>1351</v>
      </c>
      <c r="M22" s="63" t="s">
        <v>1363</v>
      </c>
    </row>
    <row r="23" spans="3:17" ht="16" x14ac:dyDescent="0.2">
      <c r="C23">
        <v>92374</v>
      </c>
      <c r="D23">
        <v>35</v>
      </c>
      <c r="E23">
        <v>10141237</v>
      </c>
      <c r="F23" t="s">
        <v>914</v>
      </c>
      <c r="G23" t="s">
        <v>1353</v>
      </c>
      <c r="H23" t="s">
        <v>1351</v>
      </c>
      <c r="I23" t="s">
        <v>1351</v>
      </c>
      <c r="J23" t="s">
        <v>1351</v>
      </c>
      <c r="K23" t="s">
        <v>1351</v>
      </c>
      <c r="M23" s="63" t="s">
        <v>1364</v>
      </c>
    </row>
    <row r="24" spans="3:17" ht="16" x14ac:dyDescent="0.2">
      <c r="C24">
        <v>10023</v>
      </c>
      <c r="D24">
        <v>34</v>
      </c>
      <c r="E24">
        <v>10364784</v>
      </c>
      <c r="F24" t="s">
        <v>919</v>
      </c>
      <c r="G24" t="s">
        <v>1351</v>
      </c>
      <c r="H24" t="s">
        <v>1351</v>
      </c>
      <c r="I24" t="s">
        <v>1351</v>
      </c>
      <c r="J24" t="s">
        <v>1351</v>
      </c>
      <c r="K24" t="s">
        <v>1351</v>
      </c>
      <c r="M24" s="63" t="s">
        <v>1365</v>
      </c>
    </row>
    <row r="25" spans="3:17" ht="16" x14ac:dyDescent="0.2">
      <c r="C25">
        <v>92506</v>
      </c>
      <c r="D25">
        <v>33</v>
      </c>
      <c r="E25">
        <v>104282</v>
      </c>
      <c r="F25" t="s">
        <v>919</v>
      </c>
      <c r="G25" t="s">
        <v>1353</v>
      </c>
      <c r="H25" t="s">
        <v>1353</v>
      </c>
      <c r="I25" t="s">
        <v>1353</v>
      </c>
      <c r="J25" t="s">
        <v>1353</v>
      </c>
      <c r="K25" t="s">
        <v>1353</v>
      </c>
      <c r="M25" s="63" t="s">
        <v>1366</v>
      </c>
    </row>
    <row r="26" spans="3:17" ht="16" x14ac:dyDescent="0.2">
      <c r="C26">
        <v>90023</v>
      </c>
      <c r="D26">
        <v>32</v>
      </c>
      <c r="E26">
        <v>10309391</v>
      </c>
      <c r="F26" t="s">
        <v>919</v>
      </c>
      <c r="G26" t="s">
        <v>1353</v>
      </c>
      <c r="H26" t="s">
        <v>1353</v>
      </c>
      <c r="I26" t="s">
        <v>1353</v>
      </c>
      <c r="J26" t="s">
        <v>1353</v>
      </c>
      <c r="K26" t="s">
        <v>1353</v>
      </c>
      <c r="M26" s="63" t="s">
        <v>1368</v>
      </c>
    </row>
    <row r="27" spans="3:17" ht="16" x14ac:dyDescent="0.2">
      <c r="C27">
        <v>91104</v>
      </c>
      <c r="D27">
        <v>30</v>
      </c>
      <c r="E27">
        <v>10361485</v>
      </c>
      <c r="F27" t="s">
        <v>914</v>
      </c>
      <c r="G27" t="s">
        <v>1351</v>
      </c>
      <c r="H27" t="s">
        <v>1351</v>
      </c>
      <c r="I27" t="s">
        <v>1351</v>
      </c>
      <c r="J27" t="s">
        <v>1351</v>
      </c>
      <c r="K27" t="s">
        <v>1351</v>
      </c>
      <c r="M27" s="63" t="s">
        <v>1369</v>
      </c>
    </row>
    <row r="28" spans="3:17" ht="16" x14ac:dyDescent="0.2">
      <c r="C28">
        <v>92505</v>
      </c>
      <c r="D28">
        <v>30</v>
      </c>
      <c r="E28">
        <v>10361467</v>
      </c>
      <c r="F28" t="s">
        <v>914</v>
      </c>
      <c r="G28" t="s">
        <v>195</v>
      </c>
      <c r="H28" t="s">
        <v>1351</v>
      </c>
      <c r="I28" t="s">
        <v>1351</v>
      </c>
      <c r="J28" t="s">
        <v>1351</v>
      </c>
      <c r="K28" t="s">
        <v>1351</v>
      </c>
      <c r="M28" s="63" t="s">
        <v>1370</v>
      </c>
    </row>
    <row r="29" spans="3:17" ht="16" x14ac:dyDescent="0.2">
      <c r="C29">
        <v>92505</v>
      </c>
      <c r="D29">
        <v>30</v>
      </c>
      <c r="E29">
        <v>10312084</v>
      </c>
      <c r="F29" t="s">
        <v>914</v>
      </c>
      <c r="G29" t="s">
        <v>1353</v>
      </c>
      <c r="H29" t="s">
        <v>1353</v>
      </c>
      <c r="I29" t="s">
        <v>1353</v>
      </c>
      <c r="J29" t="s">
        <v>195</v>
      </c>
      <c r="K29" t="s">
        <v>195</v>
      </c>
      <c r="M29" s="63" t="s">
        <v>1371</v>
      </c>
    </row>
    <row r="30" spans="3:17" ht="16" x14ac:dyDescent="0.2">
      <c r="C30">
        <v>92503</v>
      </c>
      <c r="D30">
        <v>30</v>
      </c>
      <c r="E30">
        <v>10043047</v>
      </c>
      <c r="F30" t="s">
        <v>914</v>
      </c>
      <c r="G30" t="s">
        <v>1353</v>
      </c>
      <c r="H30" t="s">
        <v>1353</v>
      </c>
      <c r="I30" t="s">
        <v>1353</v>
      </c>
      <c r="J30" t="s">
        <v>1353</v>
      </c>
      <c r="K30" t="s">
        <v>1353</v>
      </c>
      <c r="M30" s="63" t="s">
        <v>1367</v>
      </c>
    </row>
    <row r="31" spans="3:17" ht="16" x14ac:dyDescent="0.2">
      <c r="C31">
        <v>92506</v>
      </c>
      <c r="D31">
        <v>30</v>
      </c>
      <c r="E31">
        <v>10358351</v>
      </c>
      <c r="F31" t="s">
        <v>914</v>
      </c>
      <c r="G31" t="s">
        <v>1351</v>
      </c>
      <c r="H31" t="s">
        <v>1351</v>
      </c>
      <c r="I31" t="s">
        <v>1351</v>
      </c>
      <c r="J31" t="s">
        <v>1351</v>
      </c>
      <c r="K31" t="s">
        <v>1351</v>
      </c>
      <c r="M31" s="63" t="s">
        <v>1372</v>
      </c>
    </row>
    <row r="32" spans="3:17" ht="16" x14ac:dyDescent="0.2">
      <c r="C32">
        <v>91001</v>
      </c>
      <c r="D32">
        <v>28</v>
      </c>
      <c r="E32">
        <v>10023537</v>
      </c>
      <c r="F32" t="s">
        <v>914</v>
      </c>
      <c r="G32" t="s">
        <v>1353</v>
      </c>
      <c r="H32" t="s">
        <v>1351</v>
      </c>
      <c r="I32" t="s">
        <v>1353</v>
      </c>
      <c r="J32" t="s">
        <v>1351</v>
      </c>
      <c r="K32" t="s">
        <v>1353</v>
      </c>
      <c r="M32" s="63" t="s">
        <v>1373</v>
      </c>
    </row>
    <row r="33" spans="3:13" ht="16" x14ac:dyDescent="0.2">
      <c r="C33">
        <v>92553</v>
      </c>
      <c r="D33">
        <v>28</v>
      </c>
      <c r="E33">
        <v>10352904</v>
      </c>
      <c r="F33" t="s">
        <v>914</v>
      </c>
      <c r="G33" t="s">
        <v>1351</v>
      </c>
      <c r="H33" t="s">
        <v>1351</v>
      </c>
      <c r="I33" t="s">
        <v>1351</v>
      </c>
      <c r="J33" t="s">
        <v>1351</v>
      </c>
      <c r="K33" t="s">
        <v>1351</v>
      </c>
      <c r="M33" s="63" t="s">
        <v>1358</v>
      </c>
    </row>
    <row r="34" spans="3:13" ht="16" x14ac:dyDescent="0.2">
      <c r="C34">
        <v>92408</v>
      </c>
      <c r="D34">
        <v>28</v>
      </c>
      <c r="E34">
        <v>10042335</v>
      </c>
      <c r="F34" t="s">
        <v>914</v>
      </c>
      <c r="G34" t="s">
        <v>1353</v>
      </c>
      <c r="H34" t="s">
        <v>1353</v>
      </c>
      <c r="I34" t="s">
        <v>1353</v>
      </c>
      <c r="J34" t="s">
        <v>1374</v>
      </c>
      <c r="K34" t="s">
        <v>1374</v>
      </c>
      <c r="M34" s="63" t="s">
        <v>1351</v>
      </c>
    </row>
    <row r="35" spans="3:13" ht="16" x14ac:dyDescent="0.2">
      <c r="C35">
        <v>92404</v>
      </c>
      <c r="D35">
        <v>28</v>
      </c>
      <c r="E35">
        <v>100428561</v>
      </c>
      <c r="F35" t="s">
        <v>914</v>
      </c>
      <c r="G35" t="s">
        <v>1367</v>
      </c>
      <c r="H35" t="s">
        <v>1367</v>
      </c>
      <c r="I35" t="s">
        <v>1367</v>
      </c>
      <c r="J35" t="s">
        <v>1367</v>
      </c>
      <c r="K35" t="s">
        <v>1367</v>
      </c>
      <c r="M35" s="63" t="s">
        <v>1374</v>
      </c>
    </row>
    <row r="36" spans="3:13" ht="16" x14ac:dyDescent="0.2">
      <c r="C36">
        <v>92504</v>
      </c>
      <c r="D36">
        <v>27</v>
      </c>
      <c r="E36">
        <v>10043707</v>
      </c>
      <c r="F36" t="s">
        <v>914</v>
      </c>
      <c r="G36" t="s">
        <v>1351</v>
      </c>
      <c r="H36" t="s">
        <v>1353</v>
      </c>
      <c r="I36" t="s">
        <v>1351</v>
      </c>
      <c r="J36" t="s">
        <v>1351</v>
      </c>
      <c r="K36" t="s">
        <v>1351</v>
      </c>
      <c r="M36" s="63" t="s">
        <v>179</v>
      </c>
    </row>
    <row r="37" spans="3:13" ht="16" x14ac:dyDescent="0.2">
      <c r="C37">
        <v>92401</v>
      </c>
      <c r="D37">
        <v>27</v>
      </c>
      <c r="E37">
        <v>10283433</v>
      </c>
      <c r="F37" t="s">
        <v>914</v>
      </c>
      <c r="G37" t="s">
        <v>202</v>
      </c>
      <c r="H37" t="s">
        <v>1355</v>
      </c>
      <c r="I37" t="s">
        <v>1355</v>
      </c>
      <c r="J37" t="s">
        <v>1355</v>
      </c>
      <c r="K37" t="s">
        <v>1355</v>
      </c>
      <c r="M37" s="63" t="s">
        <v>191</v>
      </c>
    </row>
    <row r="38" spans="3:13" ht="16" x14ac:dyDescent="0.2">
      <c r="C38">
        <v>92880</v>
      </c>
      <c r="D38">
        <v>27</v>
      </c>
      <c r="E38">
        <v>10363654</v>
      </c>
      <c r="F38" t="s">
        <v>914</v>
      </c>
      <c r="G38" t="s">
        <v>1353</v>
      </c>
      <c r="H38" t="s">
        <v>1351</v>
      </c>
      <c r="I38" t="s">
        <v>1353</v>
      </c>
      <c r="J38" t="s">
        <v>1351</v>
      </c>
      <c r="K38" t="s">
        <v>1353</v>
      </c>
      <c r="M38" s="63" t="s">
        <v>195</v>
      </c>
    </row>
    <row r="39" spans="3:13" ht="16" x14ac:dyDescent="0.2">
      <c r="C39">
        <v>91107</v>
      </c>
      <c r="D39">
        <v>26</v>
      </c>
      <c r="E39">
        <v>10163419</v>
      </c>
      <c r="F39" t="s">
        <v>914</v>
      </c>
      <c r="G39" t="s">
        <v>1353</v>
      </c>
      <c r="H39" t="s">
        <v>1353</v>
      </c>
      <c r="I39" t="s">
        <v>1353</v>
      </c>
      <c r="J39" t="s">
        <v>1353</v>
      </c>
      <c r="K39" t="s">
        <v>191</v>
      </c>
      <c r="M39" s="63" t="s">
        <v>199</v>
      </c>
    </row>
    <row r="40" spans="3:13" ht="16" x14ac:dyDescent="0.2">
      <c r="C40">
        <v>92377</v>
      </c>
      <c r="D40">
        <v>26</v>
      </c>
      <c r="E40">
        <v>10234495</v>
      </c>
      <c r="F40" t="s">
        <v>914</v>
      </c>
      <c r="G40" t="s">
        <v>1353</v>
      </c>
      <c r="H40" t="s">
        <v>1353</v>
      </c>
      <c r="I40" t="s">
        <v>1353</v>
      </c>
      <c r="J40" t="s">
        <v>1353</v>
      </c>
      <c r="K40" t="s">
        <v>1353</v>
      </c>
      <c r="M40" s="64" t="s">
        <v>202</v>
      </c>
    </row>
    <row r="41" spans="3:13" x14ac:dyDescent="0.2">
      <c r="C41">
        <v>92865</v>
      </c>
      <c r="D41">
        <v>26</v>
      </c>
      <c r="E41">
        <v>10314059</v>
      </c>
      <c r="F41" t="s">
        <v>919</v>
      </c>
      <c r="G41" t="s">
        <v>1351</v>
      </c>
      <c r="H41" t="s">
        <v>1351</v>
      </c>
      <c r="I41" t="s">
        <v>1351</v>
      </c>
      <c r="J41" t="s">
        <v>1351</v>
      </c>
      <c r="K41" t="s">
        <v>1351</v>
      </c>
    </row>
    <row r="42" spans="3:13" x14ac:dyDescent="0.2">
      <c r="C42">
        <v>92408</v>
      </c>
      <c r="D42">
        <v>25</v>
      </c>
      <c r="E42">
        <v>10042523</v>
      </c>
      <c r="F42" t="s">
        <v>914</v>
      </c>
      <c r="G42" t="s">
        <v>1352</v>
      </c>
      <c r="H42" t="s">
        <v>1352</v>
      </c>
      <c r="I42" t="s">
        <v>1352</v>
      </c>
      <c r="J42" t="s">
        <v>1388</v>
      </c>
      <c r="K42" t="s">
        <v>1388</v>
      </c>
    </row>
    <row r="43" spans="3:13" x14ac:dyDescent="0.2">
      <c r="C43">
        <v>90601</v>
      </c>
      <c r="D43">
        <v>25</v>
      </c>
      <c r="E43">
        <v>10357090</v>
      </c>
      <c r="F43" t="s">
        <v>914</v>
      </c>
      <c r="G43" t="s">
        <v>1351</v>
      </c>
      <c r="H43" t="s">
        <v>1351</v>
      </c>
      <c r="I43" t="s">
        <v>1351</v>
      </c>
      <c r="J43" t="s">
        <v>1351</v>
      </c>
      <c r="K43" t="s">
        <v>1351</v>
      </c>
    </row>
    <row r="44" spans="3:13" x14ac:dyDescent="0.2">
      <c r="C44">
        <v>91711</v>
      </c>
      <c r="D44">
        <v>25</v>
      </c>
      <c r="E44">
        <v>10358332</v>
      </c>
      <c r="F44" t="s">
        <v>914</v>
      </c>
      <c r="G44" t="s">
        <v>1351</v>
      </c>
      <c r="H44" t="s">
        <v>1351</v>
      </c>
      <c r="I44" t="s">
        <v>1351</v>
      </c>
      <c r="J44" t="s">
        <v>1351</v>
      </c>
      <c r="K44" t="s">
        <v>1351</v>
      </c>
    </row>
    <row r="45" spans="3:13" x14ac:dyDescent="0.2">
      <c r="C45">
        <v>91104</v>
      </c>
      <c r="D45">
        <v>25</v>
      </c>
      <c r="E45">
        <v>100614</v>
      </c>
      <c r="F45" t="s">
        <v>914</v>
      </c>
      <c r="G45" t="s">
        <v>1351</v>
      </c>
      <c r="H45" t="s">
        <v>1351</v>
      </c>
      <c r="I45" t="s">
        <v>1351</v>
      </c>
      <c r="J45" t="s">
        <v>1351</v>
      </c>
      <c r="K45" t="s">
        <v>1351</v>
      </c>
    </row>
    <row r="46" spans="3:13" x14ac:dyDescent="0.2">
      <c r="C46">
        <v>92509</v>
      </c>
      <c r="D46">
        <v>25</v>
      </c>
      <c r="E46">
        <v>10339574</v>
      </c>
      <c r="F46" t="s">
        <v>914</v>
      </c>
      <c r="G46" t="s">
        <v>1353</v>
      </c>
      <c r="H46" t="s">
        <v>1353</v>
      </c>
      <c r="I46" t="s">
        <v>1353</v>
      </c>
      <c r="J46" t="s">
        <v>1353</v>
      </c>
      <c r="K46" t="s">
        <v>1353</v>
      </c>
    </row>
    <row r="47" spans="3:13" x14ac:dyDescent="0.2">
      <c r="C47">
        <v>92376</v>
      </c>
      <c r="D47">
        <v>25</v>
      </c>
      <c r="E47">
        <v>10254071</v>
      </c>
      <c r="F47" t="s">
        <v>914</v>
      </c>
      <c r="G47" t="s">
        <v>199</v>
      </c>
      <c r="H47" t="s">
        <v>199</v>
      </c>
      <c r="I47" t="s">
        <v>199</v>
      </c>
      <c r="J47" t="s">
        <v>191</v>
      </c>
      <c r="K47" t="s">
        <v>191</v>
      </c>
    </row>
    <row r="48" spans="3:13" x14ac:dyDescent="0.2">
      <c r="C48">
        <v>91104</v>
      </c>
      <c r="D48">
        <v>25</v>
      </c>
      <c r="E48">
        <v>10194153</v>
      </c>
      <c r="F48" t="s">
        <v>914</v>
      </c>
      <c r="G48" t="s">
        <v>1353</v>
      </c>
      <c r="H48" t="s">
        <v>1353</v>
      </c>
      <c r="I48" t="s">
        <v>1353</v>
      </c>
      <c r="J48" t="s">
        <v>1353</v>
      </c>
      <c r="K48" t="s">
        <v>1353</v>
      </c>
    </row>
    <row r="49" spans="3:11" x14ac:dyDescent="0.2">
      <c r="C49">
        <v>92405</v>
      </c>
      <c r="D49">
        <v>25</v>
      </c>
      <c r="E49">
        <v>10353600</v>
      </c>
      <c r="F49" t="s">
        <v>914</v>
      </c>
      <c r="G49" t="s">
        <v>1353</v>
      </c>
      <c r="H49" t="s">
        <v>1353</v>
      </c>
      <c r="I49" t="s">
        <v>1353</v>
      </c>
      <c r="J49" t="s">
        <v>1353</v>
      </c>
      <c r="K49" t="s">
        <v>1353</v>
      </c>
    </row>
    <row r="50" spans="3:11" x14ac:dyDescent="0.2">
      <c r="C50">
        <v>92337</v>
      </c>
      <c r="D50">
        <v>25</v>
      </c>
      <c r="E50">
        <v>1049685</v>
      </c>
      <c r="F50" t="s">
        <v>914</v>
      </c>
      <c r="G50" t="s">
        <v>1358</v>
      </c>
      <c r="H50" t="s">
        <v>1358</v>
      </c>
      <c r="I50" t="s">
        <v>1358</v>
      </c>
      <c r="J50" t="s">
        <v>1358</v>
      </c>
      <c r="K50" t="s">
        <v>1351</v>
      </c>
    </row>
    <row r="51" spans="3:11" x14ac:dyDescent="0.2">
      <c r="C51">
        <v>91101</v>
      </c>
      <c r="D51">
        <v>25</v>
      </c>
      <c r="E51">
        <v>10272797</v>
      </c>
      <c r="F51" t="s">
        <v>914</v>
      </c>
      <c r="G51" t="s">
        <v>1351</v>
      </c>
      <c r="H51" t="s">
        <v>1351</v>
      </c>
      <c r="I51" t="s">
        <v>1351</v>
      </c>
      <c r="J51" t="s">
        <v>1353</v>
      </c>
      <c r="K51" t="s">
        <v>1351</v>
      </c>
    </row>
    <row r="52" spans="3:11" x14ac:dyDescent="0.2">
      <c r="C52">
        <v>92376</v>
      </c>
      <c r="D52">
        <v>24</v>
      </c>
      <c r="E52">
        <v>10133064</v>
      </c>
      <c r="F52" t="s">
        <v>914</v>
      </c>
      <c r="G52" t="s">
        <v>1353</v>
      </c>
      <c r="H52" t="s">
        <v>1353</v>
      </c>
      <c r="I52" t="s">
        <v>1353</v>
      </c>
      <c r="J52" t="s">
        <v>1353</v>
      </c>
      <c r="K52" t="s">
        <v>1353</v>
      </c>
    </row>
    <row r="53" spans="3:11" x14ac:dyDescent="0.2">
      <c r="C53">
        <v>92376</v>
      </c>
      <c r="D53">
        <v>24</v>
      </c>
      <c r="E53">
        <v>10344423</v>
      </c>
      <c r="F53" t="s">
        <v>914</v>
      </c>
      <c r="G53" t="s">
        <v>1353</v>
      </c>
      <c r="H53" t="s">
        <v>1353</v>
      </c>
      <c r="I53" t="s">
        <v>1353</v>
      </c>
      <c r="J53" t="s">
        <v>1374</v>
      </c>
      <c r="K53" t="s">
        <v>1374</v>
      </c>
    </row>
    <row r="54" spans="3:11" x14ac:dyDescent="0.2">
      <c r="C54">
        <v>91007</v>
      </c>
      <c r="D54">
        <v>23</v>
      </c>
      <c r="E54">
        <v>10365680</v>
      </c>
      <c r="F54" t="s">
        <v>914</v>
      </c>
      <c r="G54" t="s">
        <v>1351</v>
      </c>
      <c r="H54" t="s">
        <v>1351</v>
      </c>
      <c r="I54" t="s">
        <v>1351</v>
      </c>
      <c r="J54" t="s">
        <v>1351</v>
      </c>
      <c r="K54" t="s">
        <v>1351</v>
      </c>
    </row>
    <row r="55" spans="3:11" x14ac:dyDescent="0.2">
      <c r="C55">
        <v>92337</v>
      </c>
      <c r="D55">
        <v>22</v>
      </c>
      <c r="E55">
        <v>106021</v>
      </c>
      <c r="F55" t="s">
        <v>914</v>
      </c>
      <c r="G55" t="s">
        <v>202</v>
      </c>
      <c r="H55" t="s">
        <v>1353</v>
      </c>
      <c r="I55" t="s">
        <v>1353</v>
      </c>
      <c r="J55" t="s">
        <v>1353</v>
      </c>
      <c r="K55" t="s">
        <v>1353</v>
      </c>
    </row>
    <row r="56" spans="3:11" x14ac:dyDescent="0.2">
      <c r="C56">
        <v>92376</v>
      </c>
      <c r="D56">
        <v>22</v>
      </c>
      <c r="E56">
        <v>10177226</v>
      </c>
      <c r="F56" t="s">
        <v>914</v>
      </c>
      <c r="G56" t="s">
        <v>1351</v>
      </c>
      <c r="H56" t="s">
        <v>1351</v>
      </c>
      <c r="I56" t="s">
        <v>1351</v>
      </c>
      <c r="J56" t="s">
        <v>1351</v>
      </c>
      <c r="K56" t="s">
        <v>1351</v>
      </c>
    </row>
    <row r="57" spans="3:11" x14ac:dyDescent="0.2">
      <c r="C57">
        <v>92878</v>
      </c>
      <c r="D57">
        <v>21</v>
      </c>
      <c r="E57">
        <v>10043248</v>
      </c>
      <c r="F57" t="s">
        <v>914</v>
      </c>
      <c r="G57" t="s">
        <v>1351</v>
      </c>
      <c r="H57" t="s">
        <v>1351</v>
      </c>
      <c r="I57" t="s">
        <v>1351</v>
      </c>
      <c r="J57" t="s">
        <v>1351</v>
      </c>
      <c r="K57" t="s">
        <v>1351</v>
      </c>
    </row>
    <row r="58" spans="3:11" x14ac:dyDescent="0.2">
      <c r="C58">
        <v>92835</v>
      </c>
      <c r="D58">
        <v>21</v>
      </c>
      <c r="E58">
        <v>10186276</v>
      </c>
      <c r="F58" t="s">
        <v>914</v>
      </c>
      <c r="G58" t="s">
        <v>1351</v>
      </c>
      <c r="H58" t="s">
        <v>1351</v>
      </c>
      <c r="I58" t="s">
        <v>1351</v>
      </c>
      <c r="J58" t="s">
        <v>1351</v>
      </c>
      <c r="K58" t="s">
        <v>1351</v>
      </c>
    </row>
    <row r="59" spans="3:11" x14ac:dyDescent="0.2">
      <c r="C59">
        <v>91016</v>
      </c>
      <c r="D59">
        <v>20</v>
      </c>
      <c r="E59">
        <v>10364720</v>
      </c>
      <c r="F59" t="s">
        <v>914</v>
      </c>
      <c r="G59" t="s">
        <v>1351</v>
      </c>
      <c r="H59" t="s">
        <v>1351</v>
      </c>
      <c r="I59" t="s">
        <v>1351</v>
      </c>
      <c r="J59" t="s">
        <v>1351</v>
      </c>
      <c r="K59" t="s">
        <v>1351</v>
      </c>
    </row>
    <row r="60" spans="3:11" x14ac:dyDescent="0.2">
      <c r="C60">
        <v>91761</v>
      </c>
      <c r="D60">
        <v>20</v>
      </c>
      <c r="E60">
        <v>10308283</v>
      </c>
      <c r="F60" t="s">
        <v>914</v>
      </c>
      <c r="G60" t="s">
        <v>1351</v>
      </c>
      <c r="H60" t="s">
        <v>1351</v>
      </c>
      <c r="I60" t="s">
        <v>1351</v>
      </c>
      <c r="J60" t="s">
        <v>1351</v>
      </c>
      <c r="K60" t="s">
        <v>1351</v>
      </c>
    </row>
    <row r="61" spans="3:11" x14ac:dyDescent="0.2">
      <c r="C61">
        <v>92336</v>
      </c>
      <c r="D61">
        <v>20</v>
      </c>
      <c r="E61">
        <v>10043435</v>
      </c>
      <c r="F61" t="s">
        <v>914</v>
      </c>
      <c r="G61" t="s">
        <v>1353</v>
      </c>
      <c r="H61" t="s">
        <v>1353</v>
      </c>
      <c r="I61" t="s">
        <v>195</v>
      </c>
      <c r="J61" t="s">
        <v>1353</v>
      </c>
      <c r="K61" t="s">
        <v>1353</v>
      </c>
    </row>
    <row r="62" spans="3:11" x14ac:dyDescent="0.2">
      <c r="C62">
        <v>91016</v>
      </c>
      <c r="D62">
        <v>20</v>
      </c>
      <c r="E62">
        <v>10364812</v>
      </c>
      <c r="F62" t="s">
        <v>914</v>
      </c>
      <c r="G62" t="s">
        <v>1351</v>
      </c>
      <c r="H62" t="s">
        <v>1351</v>
      </c>
      <c r="I62" t="s">
        <v>1351</v>
      </c>
      <c r="J62" t="s">
        <v>1351</v>
      </c>
      <c r="K62" t="s">
        <v>1351</v>
      </c>
    </row>
    <row r="63" spans="3:11" x14ac:dyDescent="0.2">
      <c r="C63">
        <v>92821</v>
      </c>
      <c r="D63">
        <v>20</v>
      </c>
      <c r="E63">
        <v>10364834</v>
      </c>
      <c r="F63" t="s">
        <v>914</v>
      </c>
      <c r="G63" t="s">
        <v>1351</v>
      </c>
      <c r="H63" t="s">
        <v>1351</v>
      </c>
      <c r="I63" t="s">
        <v>1351</v>
      </c>
      <c r="J63" t="s">
        <v>1351</v>
      </c>
      <c r="K63" t="s">
        <v>1351</v>
      </c>
    </row>
    <row r="64" spans="3:11" x14ac:dyDescent="0.2">
      <c r="C64">
        <v>91105</v>
      </c>
      <c r="D64">
        <v>20</v>
      </c>
      <c r="E64">
        <v>10114451</v>
      </c>
      <c r="F64" t="s">
        <v>914</v>
      </c>
      <c r="G64" t="s">
        <v>1351</v>
      </c>
      <c r="H64" t="s">
        <v>1351</v>
      </c>
      <c r="I64" t="s">
        <v>1351</v>
      </c>
      <c r="J64" t="s">
        <v>1351</v>
      </c>
      <c r="K64" t="s">
        <v>1351</v>
      </c>
    </row>
    <row r="65" spans="3:11" x14ac:dyDescent="0.2">
      <c r="C65">
        <v>92316</v>
      </c>
      <c r="D65">
        <v>20</v>
      </c>
      <c r="E65">
        <v>10151953</v>
      </c>
      <c r="F65" t="s">
        <v>914</v>
      </c>
      <c r="G65" t="s">
        <v>1353</v>
      </c>
      <c r="H65" t="s">
        <v>1353</v>
      </c>
      <c r="I65" t="s">
        <v>1353</v>
      </c>
      <c r="J65" t="s">
        <v>1374</v>
      </c>
      <c r="K65" t="s">
        <v>1374</v>
      </c>
    </row>
    <row r="66" spans="3:11" x14ac:dyDescent="0.2">
      <c r="C66">
        <v>92335</v>
      </c>
      <c r="D66">
        <v>20</v>
      </c>
      <c r="E66">
        <v>10042922</v>
      </c>
      <c r="F66" t="s">
        <v>914</v>
      </c>
      <c r="G66" t="s">
        <v>202</v>
      </c>
      <c r="H66" t="s">
        <v>202</v>
      </c>
      <c r="I66" t="s">
        <v>1352</v>
      </c>
      <c r="J66" t="s">
        <v>1352</v>
      </c>
      <c r="K66" t="s">
        <v>1352</v>
      </c>
    </row>
    <row r="67" spans="3:11" x14ac:dyDescent="0.2">
      <c r="C67">
        <v>92335</v>
      </c>
      <c r="D67">
        <v>20</v>
      </c>
      <c r="E67">
        <v>10042600</v>
      </c>
      <c r="F67" t="s">
        <v>914</v>
      </c>
      <c r="G67" t="s">
        <v>202</v>
      </c>
      <c r="H67" t="s">
        <v>202</v>
      </c>
      <c r="I67" t="s">
        <v>1352</v>
      </c>
      <c r="J67" t="s">
        <v>1352</v>
      </c>
      <c r="K67" t="s">
        <v>1352</v>
      </c>
    </row>
    <row r="68" spans="3:11" x14ac:dyDescent="0.2">
      <c r="C68">
        <v>91706</v>
      </c>
      <c r="D68">
        <v>18</v>
      </c>
      <c r="E68">
        <v>10347762</v>
      </c>
      <c r="F68" t="s">
        <v>914</v>
      </c>
      <c r="G68" t="s">
        <v>1351</v>
      </c>
      <c r="H68" t="s">
        <v>1351</v>
      </c>
      <c r="I68" t="s">
        <v>1351</v>
      </c>
      <c r="J68" t="s">
        <v>1351</v>
      </c>
      <c r="K68" t="s">
        <v>1351</v>
      </c>
    </row>
    <row r="69" spans="3:11" x14ac:dyDescent="0.2">
      <c r="C69">
        <v>92336</v>
      </c>
      <c r="D69">
        <v>18</v>
      </c>
      <c r="E69">
        <v>10042188</v>
      </c>
      <c r="F69" t="s">
        <v>914</v>
      </c>
      <c r="G69" t="s">
        <v>1351</v>
      </c>
      <c r="H69" t="s">
        <v>1351</v>
      </c>
      <c r="I69" t="s">
        <v>1351</v>
      </c>
      <c r="J69" t="s">
        <v>1351</v>
      </c>
      <c r="K69" t="s">
        <v>1351</v>
      </c>
    </row>
    <row r="70" spans="3:11" x14ac:dyDescent="0.2">
      <c r="C70">
        <v>91773</v>
      </c>
      <c r="D70">
        <v>18</v>
      </c>
      <c r="E70">
        <v>10365031</v>
      </c>
      <c r="F70" t="s">
        <v>919</v>
      </c>
      <c r="G70" t="s">
        <v>1353</v>
      </c>
      <c r="H70" t="s">
        <v>202</v>
      </c>
      <c r="I70" t="s">
        <v>202</v>
      </c>
      <c r="J70" t="s">
        <v>202</v>
      </c>
      <c r="K70" t="s">
        <v>202</v>
      </c>
    </row>
    <row r="71" spans="3:11" x14ac:dyDescent="0.2">
      <c r="C71">
        <v>91730</v>
      </c>
      <c r="D71">
        <v>18</v>
      </c>
      <c r="E71">
        <v>10042917</v>
      </c>
      <c r="F71" t="s">
        <v>914</v>
      </c>
      <c r="G71" t="s">
        <v>1353</v>
      </c>
      <c r="H71" t="s">
        <v>1353</v>
      </c>
      <c r="I71" t="s">
        <v>1353</v>
      </c>
      <c r="J71" t="s">
        <v>202</v>
      </c>
      <c r="K71" t="s">
        <v>202</v>
      </c>
    </row>
    <row r="72" spans="3:11" x14ac:dyDescent="0.2">
      <c r="C72">
        <v>92337</v>
      </c>
      <c r="D72">
        <v>18</v>
      </c>
      <c r="E72">
        <v>10026000</v>
      </c>
      <c r="F72" t="s">
        <v>914</v>
      </c>
      <c r="G72" t="s">
        <v>1352</v>
      </c>
      <c r="H72" t="s">
        <v>191</v>
      </c>
      <c r="I72" t="s">
        <v>1352</v>
      </c>
      <c r="J72" t="s">
        <v>195</v>
      </c>
      <c r="K72" t="s">
        <v>1352</v>
      </c>
    </row>
    <row r="73" spans="3:11" x14ac:dyDescent="0.2">
      <c r="C73">
        <v>91761</v>
      </c>
      <c r="D73">
        <v>18</v>
      </c>
      <c r="E73">
        <v>112314</v>
      </c>
      <c r="F73" t="s">
        <v>914</v>
      </c>
      <c r="G73" t="s">
        <v>1351</v>
      </c>
      <c r="H73" t="s">
        <v>1351</v>
      </c>
      <c r="I73" t="s">
        <v>1351</v>
      </c>
      <c r="J73" t="s">
        <v>1351</v>
      </c>
      <c r="K73" t="s">
        <v>1351</v>
      </c>
    </row>
    <row r="74" spans="3:11" x14ac:dyDescent="0.2">
      <c r="C74">
        <v>92335</v>
      </c>
      <c r="D74">
        <v>18</v>
      </c>
      <c r="E74">
        <v>10366133</v>
      </c>
      <c r="F74" t="s">
        <v>914</v>
      </c>
      <c r="G74" t="s">
        <v>1351</v>
      </c>
      <c r="H74" t="s">
        <v>1351</v>
      </c>
      <c r="I74" t="s">
        <v>1351</v>
      </c>
      <c r="J74" t="s">
        <v>1351</v>
      </c>
      <c r="K74" t="s">
        <v>1351</v>
      </c>
    </row>
    <row r="75" spans="3:11" x14ac:dyDescent="0.2">
      <c r="C75">
        <v>91752</v>
      </c>
      <c r="D75">
        <v>18</v>
      </c>
      <c r="E75">
        <v>10354720</v>
      </c>
      <c r="F75" t="s">
        <v>914</v>
      </c>
      <c r="G75" t="s">
        <v>1374</v>
      </c>
      <c r="H75" t="s">
        <v>1353</v>
      </c>
      <c r="I75" t="s">
        <v>1353</v>
      </c>
      <c r="J75" t="s">
        <v>1353</v>
      </c>
      <c r="K75" t="s">
        <v>1374</v>
      </c>
    </row>
    <row r="76" spans="3:11" x14ac:dyDescent="0.2">
      <c r="C76">
        <v>92335</v>
      </c>
      <c r="D76">
        <v>18</v>
      </c>
      <c r="E76">
        <v>101142344</v>
      </c>
      <c r="F76" t="s">
        <v>914</v>
      </c>
      <c r="G76" t="s">
        <v>1353</v>
      </c>
      <c r="H76" t="s">
        <v>1353</v>
      </c>
      <c r="I76" t="s">
        <v>1353</v>
      </c>
      <c r="J76" t="s">
        <v>1353</v>
      </c>
      <c r="K76" t="s">
        <v>1353</v>
      </c>
    </row>
    <row r="77" spans="3:11" x14ac:dyDescent="0.2">
      <c r="C77">
        <v>92335</v>
      </c>
      <c r="D77">
        <v>17</v>
      </c>
      <c r="E77">
        <v>10135633</v>
      </c>
      <c r="F77" t="s">
        <v>914</v>
      </c>
      <c r="G77" t="s">
        <v>1353</v>
      </c>
      <c r="H77" t="s">
        <v>1353</v>
      </c>
      <c r="I77" t="s">
        <v>1353</v>
      </c>
      <c r="J77" t="s">
        <v>1374</v>
      </c>
      <c r="K77" t="s">
        <v>1374</v>
      </c>
    </row>
    <row r="78" spans="3:11" x14ac:dyDescent="0.2">
      <c r="C78">
        <v>91711</v>
      </c>
      <c r="D78">
        <v>16</v>
      </c>
      <c r="E78">
        <v>10215439</v>
      </c>
      <c r="F78" t="s">
        <v>914</v>
      </c>
      <c r="G78" t="s">
        <v>1351</v>
      </c>
      <c r="H78" t="s">
        <v>1351</v>
      </c>
      <c r="I78" t="s">
        <v>1351</v>
      </c>
      <c r="J78" t="s">
        <v>1353</v>
      </c>
      <c r="K78" t="s">
        <v>1351</v>
      </c>
    </row>
    <row r="79" spans="3:11" x14ac:dyDescent="0.2">
      <c r="C79">
        <v>92336</v>
      </c>
      <c r="D79">
        <v>16</v>
      </c>
      <c r="E79">
        <v>10301298</v>
      </c>
      <c r="F79" t="s">
        <v>914</v>
      </c>
      <c r="G79" t="s">
        <v>1351</v>
      </c>
      <c r="H79" t="s">
        <v>195</v>
      </c>
      <c r="I79" t="s">
        <v>195</v>
      </c>
      <c r="J79" t="s">
        <v>191</v>
      </c>
      <c r="K79" t="s">
        <v>191</v>
      </c>
    </row>
    <row r="80" spans="3:11" x14ac:dyDescent="0.2">
      <c r="C80">
        <v>91722</v>
      </c>
      <c r="D80">
        <v>16</v>
      </c>
      <c r="E80">
        <v>10266238</v>
      </c>
      <c r="F80" t="s">
        <v>914</v>
      </c>
      <c r="G80" t="s">
        <v>1351</v>
      </c>
      <c r="H80" t="s">
        <v>1351</v>
      </c>
      <c r="I80" t="s">
        <v>1351</v>
      </c>
      <c r="J80" t="s">
        <v>1351</v>
      </c>
      <c r="K80" t="s">
        <v>1351</v>
      </c>
    </row>
    <row r="81" spans="3:11" x14ac:dyDescent="0.2">
      <c r="C81">
        <v>92336</v>
      </c>
      <c r="D81">
        <v>16</v>
      </c>
      <c r="E81">
        <v>10144676</v>
      </c>
      <c r="F81" t="s">
        <v>914</v>
      </c>
      <c r="G81" t="s">
        <v>1353</v>
      </c>
      <c r="H81" t="s">
        <v>1353</v>
      </c>
      <c r="I81" t="s">
        <v>1353</v>
      </c>
      <c r="J81" t="s">
        <v>1353</v>
      </c>
      <c r="K81" t="s">
        <v>1353</v>
      </c>
    </row>
    <row r="82" spans="3:11" x14ac:dyDescent="0.2">
      <c r="C82">
        <v>91761</v>
      </c>
      <c r="D82">
        <v>15</v>
      </c>
      <c r="E82">
        <v>10043193</v>
      </c>
      <c r="F82" t="s">
        <v>914</v>
      </c>
      <c r="G82" t="s">
        <v>1358</v>
      </c>
      <c r="H82" t="s">
        <v>1351</v>
      </c>
      <c r="I82" t="s">
        <v>1351</v>
      </c>
      <c r="J82" t="s">
        <v>1351</v>
      </c>
      <c r="K82" t="s">
        <v>1358</v>
      </c>
    </row>
    <row r="83" spans="3:11" x14ac:dyDescent="0.2">
      <c r="C83">
        <v>91764</v>
      </c>
      <c r="D83">
        <v>15</v>
      </c>
      <c r="E83">
        <v>10196492</v>
      </c>
      <c r="F83" t="s">
        <v>914</v>
      </c>
      <c r="G83" t="s">
        <v>1351</v>
      </c>
      <c r="H83" t="s">
        <v>1351</v>
      </c>
      <c r="I83" t="s">
        <v>1351</v>
      </c>
      <c r="J83" t="s">
        <v>1351</v>
      </c>
      <c r="K83" t="s">
        <v>1351</v>
      </c>
    </row>
    <row r="84" spans="3:11" x14ac:dyDescent="0.2">
      <c r="C84">
        <v>92336</v>
      </c>
      <c r="D84">
        <v>15</v>
      </c>
      <c r="E84">
        <v>10043226</v>
      </c>
      <c r="F84" t="s">
        <v>914</v>
      </c>
      <c r="G84" t="s">
        <v>1351</v>
      </c>
      <c r="H84" t="s">
        <v>1367</v>
      </c>
      <c r="I84" t="s">
        <v>1351</v>
      </c>
      <c r="J84" t="s">
        <v>1351</v>
      </c>
      <c r="K84" t="s">
        <v>1351</v>
      </c>
    </row>
    <row r="85" spans="3:11" x14ac:dyDescent="0.2">
      <c r="C85">
        <v>91764</v>
      </c>
      <c r="D85">
        <v>15</v>
      </c>
      <c r="E85">
        <v>10090700</v>
      </c>
      <c r="F85" t="s">
        <v>914</v>
      </c>
      <c r="G85" t="s">
        <v>202</v>
      </c>
      <c r="H85" t="s">
        <v>1353</v>
      </c>
      <c r="I85" t="s">
        <v>1353</v>
      </c>
      <c r="J85" t="s">
        <v>1353</v>
      </c>
      <c r="K85" t="s">
        <v>202</v>
      </c>
    </row>
    <row r="86" spans="3:11" x14ac:dyDescent="0.2">
      <c r="C86">
        <v>92316</v>
      </c>
      <c r="D86">
        <v>15</v>
      </c>
      <c r="E86">
        <v>10247799</v>
      </c>
      <c r="F86" t="s">
        <v>914</v>
      </c>
      <c r="G86" t="s">
        <v>1353</v>
      </c>
      <c r="H86" t="s">
        <v>1353</v>
      </c>
      <c r="I86" t="s">
        <v>1353</v>
      </c>
      <c r="J86" t="s">
        <v>202</v>
      </c>
      <c r="K86" t="s">
        <v>202</v>
      </c>
    </row>
    <row r="87" spans="3:11" x14ac:dyDescent="0.2">
      <c r="C87">
        <v>91701</v>
      </c>
      <c r="D87">
        <v>15</v>
      </c>
      <c r="E87">
        <v>10284832</v>
      </c>
      <c r="F87" t="s">
        <v>914</v>
      </c>
      <c r="G87" t="s">
        <v>1352</v>
      </c>
      <c r="H87" t="s">
        <v>1352</v>
      </c>
      <c r="I87" t="s">
        <v>1352</v>
      </c>
      <c r="J87" t="s">
        <v>1353</v>
      </c>
      <c r="K87" t="s">
        <v>1353</v>
      </c>
    </row>
    <row r="88" spans="3:11" x14ac:dyDescent="0.2">
      <c r="C88">
        <v>90602</v>
      </c>
      <c r="D88">
        <v>15</v>
      </c>
      <c r="E88">
        <v>10356001</v>
      </c>
      <c r="F88" t="s">
        <v>914</v>
      </c>
      <c r="G88" t="s">
        <v>1353</v>
      </c>
      <c r="H88" t="s">
        <v>1353</v>
      </c>
      <c r="I88" t="s">
        <v>1353</v>
      </c>
      <c r="J88" t="s">
        <v>1353</v>
      </c>
      <c r="K88" t="s">
        <v>1353</v>
      </c>
    </row>
    <row r="89" spans="3:11" x14ac:dyDescent="0.2">
      <c r="C89">
        <v>91711</v>
      </c>
      <c r="D89">
        <v>14</v>
      </c>
      <c r="E89">
        <v>10029499</v>
      </c>
      <c r="F89" t="s">
        <v>914</v>
      </c>
      <c r="G89" t="s">
        <v>1351</v>
      </c>
      <c r="H89" t="s">
        <v>1351</v>
      </c>
      <c r="I89" t="s">
        <v>1351</v>
      </c>
      <c r="J89" t="s">
        <v>1353</v>
      </c>
      <c r="K89" t="s">
        <v>1351</v>
      </c>
    </row>
    <row r="90" spans="3:11" x14ac:dyDescent="0.2">
      <c r="C90">
        <v>91739</v>
      </c>
      <c r="D90">
        <v>14</v>
      </c>
      <c r="E90">
        <v>10334736</v>
      </c>
      <c r="F90" t="s">
        <v>914</v>
      </c>
      <c r="G90" t="s">
        <v>1351</v>
      </c>
      <c r="H90" t="s">
        <v>1351</v>
      </c>
      <c r="I90" t="s">
        <v>1351</v>
      </c>
      <c r="J90" t="s">
        <v>1351</v>
      </c>
      <c r="K90" t="s">
        <v>1351</v>
      </c>
    </row>
    <row r="91" spans="3:11" x14ac:dyDescent="0.2">
      <c r="C91">
        <v>91702</v>
      </c>
      <c r="D91">
        <v>14</v>
      </c>
      <c r="E91">
        <v>10214310</v>
      </c>
      <c r="F91" t="s">
        <v>914</v>
      </c>
      <c r="G91" t="s">
        <v>1353</v>
      </c>
      <c r="H91" t="s">
        <v>1353</v>
      </c>
      <c r="I91" t="s">
        <v>1353</v>
      </c>
      <c r="J91" t="s">
        <v>1353</v>
      </c>
      <c r="K91" t="s">
        <v>1353</v>
      </c>
    </row>
    <row r="92" spans="3:11" x14ac:dyDescent="0.2">
      <c r="C92">
        <v>91730</v>
      </c>
      <c r="D92">
        <v>13</v>
      </c>
      <c r="E92">
        <v>10365501</v>
      </c>
      <c r="F92" t="s">
        <v>914</v>
      </c>
      <c r="G92" t="s">
        <v>1353</v>
      </c>
      <c r="H92" t="s">
        <v>1353</v>
      </c>
      <c r="I92" t="s">
        <v>1353</v>
      </c>
      <c r="J92" t="s">
        <v>1353</v>
      </c>
      <c r="K92" t="s">
        <v>1351</v>
      </c>
    </row>
    <row r="93" spans="3:11" x14ac:dyDescent="0.2">
      <c r="C93">
        <v>91739</v>
      </c>
      <c r="D93">
        <v>13</v>
      </c>
      <c r="E93">
        <v>100393</v>
      </c>
      <c r="F93" t="s">
        <v>914</v>
      </c>
      <c r="G93" t="s">
        <v>1351</v>
      </c>
      <c r="H93" t="s">
        <v>1353</v>
      </c>
      <c r="I93" t="s">
        <v>1351</v>
      </c>
      <c r="J93" t="s">
        <v>1351</v>
      </c>
      <c r="K93" t="s">
        <v>1351</v>
      </c>
    </row>
    <row r="94" spans="3:11" x14ac:dyDescent="0.2">
      <c r="C94">
        <v>91710</v>
      </c>
      <c r="D94">
        <v>13</v>
      </c>
      <c r="E94">
        <v>10351233</v>
      </c>
      <c r="F94" t="s">
        <v>914</v>
      </c>
      <c r="G94" t="s">
        <v>1351</v>
      </c>
      <c r="H94" t="s">
        <v>1351</v>
      </c>
      <c r="I94" t="s">
        <v>1351</v>
      </c>
      <c r="J94" t="s">
        <v>1351</v>
      </c>
      <c r="K94" t="s">
        <v>1351</v>
      </c>
    </row>
    <row r="95" spans="3:11" x14ac:dyDescent="0.2">
      <c r="C95">
        <v>90000</v>
      </c>
      <c r="D95">
        <v>13</v>
      </c>
      <c r="E95">
        <v>10356288</v>
      </c>
      <c r="F95" t="s">
        <v>914</v>
      </c>
      <c r="G95" t="s">
        <v>1373</v>
      </c>
      <c r="H95" t="s">
        <v>1373</v>
      </c>
      <c r="I95" t="s">
        <v>1373</v>
      </c>
      <c r="J95" t="s">
        <v>1373</v>
      </c>
      <c r="K95" t="s">
        <v>1373</v>
      </c>
    </row>
    <row r="96" spans="3:11" x14ac:dyDescent="0.2">
      <c r="C96">
        <v>91784</v>
      </c>
      <c r="D96">
        <v>12</v>
      </c>
      <c r="E96">
        <v>10349387</v>
      </c>
      <c r="F96" t="s">
        <v>914</v>
      </c>
      <c r="G96" t="s">
        <v>1351</v>
      </c>
      <c r="H96" t="s">
        <v>1351</v>
      </c>
      <c r="I96" t="s">
        <v>1351</v>
      </c>
      <c r="J96" t="s">
        <v>1351</v>
      </c>
      <c r="K96" t="s">
        <v>1351</v>
      </c>
    </row>
    <row r="97" spans="3:11" x14ac:dyDescent="0.2">
      <c r="C97">
        <v>91701</v>
      </c>
      <c r="D97">
        <v>12</v>
      </c>
      <c r="E97">
        <v>10358743</v>
      </c>
      <c r="F97" t="s">
        <v>914</v>
      </c>
      <c r="G97" t="s">
        <v>1351</v>
      </c>
      <c r="H97" t="s">
        <v>1351</v>
      </c>
      <c r="I97" t="s">
        <v>1351</v>
      </c>
      <c r="J97" t="s">
        <v>1351</v>
      </c>
      <c r="K97" t="s">
        <v>1351</v>
      </c>
    </row>
    <row r="98" spans="3:11" x14ac:dyDescent="0.2">
      <c r="C98">
        <v>91741</v>
      </c>
      <c r="D98">
        <v>12</v>
      </c>
      <c r="E98">
        <v>10292348</v>
      </c>
      <c r="F98" t="s">
        <v>914</v>
      </c>
      <c r="G98" t="s">
        <v>1351</v>
      </c>
      <c r="H98" t="s">
        <v>1351</v>
      </c>
      <c r="I98" t="s">
        <v>1351</v>
      </c>
      <c r="J98" t="s">
        <v>1351</v>
      </c>
      <c r="K98" t="s">
        <v>1351</v>
      </c>
    </row>
    <row r="99" spans="3:11" x14ac:dyDescent="0.2">
      <c r="C99">
        <v>91739</v>
      </c>
      <c r="D99">
        <v>12</v>
      </c>
      <c r="E99">
        <v>10394377</v>
      </c>
      <c r="F99" t="s">
        <v>914</v>
      </c>
      <c r="G99" t="s">
        <v>1351</v>
      </c>
      <c r="H99" t="s">
        <v>1351</v>
      </c>
      <c r="I99" t="s">
        <v>1351</v>
      </c>
      <c r="J99" t="s">
        <v>1351</v>
      </c>
      <c r="K99" t="s">
        <v>1351</v>
      </c>
    </row>
    <row r="100" spans="3:11" x14ac:dyDescent="0.2">
      <c r="C100">
        <v>91709</v>
      </c>
      <c r="D100">
        <v>12</v>
      </c>
      <c r="E100">
        <v>10348107</v>
      </c>
      <c r="F100" t="s">
        <v>914</v>
      </c>
      <c r="G100" t="s">
        <v>1353</v>
      </c>
      <c r="H100" t="s">
        <v>202</v>
      </c>
      <c r="I100" t="s">
        <v>202</v>
      </c>
      <c r="J100" t="s">
        <v>202</v>
      </c>
      <c r="K100" t="s">
        <v>1353</v>
      </c>
    </row>
    <row r="101" spans="3:11" x14ac:dyDescent="0.2">
      <c r="C101">
        <v>91765</v>
      </c>
      <c r="D101">
        <v>11</v>
      </c>
      <c r="E101">
        <v>10264902</v>
      </c>
      <c r="F101" t="s">
        <v>914</v>
      </c>
      <c r="G101" t="s">
        <v>1351</v>
      </c>
      <c r="H101" t="s">
        <v>1353</v>
      </c>
      <c r="I101" t="s">
        <v>1351</v>
      </c>
      <c r="J101" t="s">
        <v>1351</v>
      </c>
      <c r="K101" t="s">
        <v>1351</v>
      </c>
    </row>
    <row r="102" spans="3:11" x14ac:dyDescent="0.2">
      <c r="C102">
        <v>91737</v>
      </c>
      <c r="D102">
        <v>11</v>
      </c>
      <c r="E102">
        <v>10043135</v>
      </c>
      <c r="F102" t="s">
        <v>914</v>
      </c>
      <c r="G102" t="s">
        <v>1351</v>
      </c>
      <c r="H102" t="s">
        <v>1351</v>
      </c>
      <c r="I102" t="s">
        <v>1351</v>
      </c>
      <c r="J102" t="s">
        <v>1351</v>
      </c>
      <c r="K102" t="s">
        <v>1351</v>
      </c>
    </row>
    <row r="103" spans="3:11" x14ac:dyDescent="0.2">
      <c r="C103">
        <v>91730</v>
      </c>
      <c r="D103">
        <v>11</v>
      </c>
      <c r="E103">
        <v>10354879</v>
      </c>
      <c r="F103" t="s">
        <v>914</v>
      </c>
      <c r="G103" t="s">
        <v>1351</v>
      </c>
      <c r="H103" t="s">
        <v>1351</v>
      </c>
      <c r="I103" t="s">
        <v>1351</v>
      </c>
      <c r="J103" t="s">
        <v>1353</v>
      </c>
      <c r="K103" t="s">
        <v>1351</v>
      </c>
    </row>
    <row r="104" spans="3:11" x14ac:dyDescent="0.2">
      <c r="C104">
        <v>91701</v>
      </c>
      <c r="D104">
        <v>11</v>
      </c>
      <c r="E104">
        <v>10042683</v>
      </c>
      <c r="F104" t="s">
        <v>914</v>
      </c>
      <c r="G104" t="s">
        <v>1353</v>
      </c>
      <c r="H104" t="s">
        <v>1353</v>
      </c>
      <c r="I104" t="s">
        <v>1353</v>
      </c>
      <c r="J104" t="s">
        <v>1353</v>
      </c>
      <c r="K104" t="s">
        <v>1353</v>
      </c>
    </row>
    <row r="105" spans="3:11" x14ac:dyDescent="0.2">
      <c r="C105">
        <v>91730</v>
      </c>
      <c r="D105">
        <v>11</v>
      </c>
      <c r="E105">
        <v>10086446</v>
      </c>
      <c r="F105" t="s">
        <v>914</v>
      </c>
      <c r="G105" t="s">
        <v>1351</v>
      </c>
      <c r="H105" t="s">
        <v>1351</v>
      </c>
      <c r="I105" t="s">
        <v>1351</v>
      </c>
      <c r="J105" t="s">
        <v>1351</v>
      </c>
      <c r="K105" t="s">
        <v>1351</v>
      </c>
    </row>
    <row r="106" spans="3:11" x14ac:dyDescent="0.2">
      <c r="C106">
        <v>91701</v>
      </c>
      <c r="D106">
        <v>11</v>
      </c>
      <c r="E106">
        <v>10043642</v>
      </c>
      <c r="F106" t="s">
        <v>914</v>
      </c>
      <c r="G106" t="s">
        <v>1351</v>
      </c>
      <c r="H106" t="s">
        <v>1351</v>
      </c>
      <c r="I106" t="s">
        <v>1351</v>
      </c>
      <c r="J106" t="s">
        <v>1351</v>
      </c>
      <c r="K106" t="s">
        <v>1351</v>
      </c>
    </row>
    <row r="107" spans="3:11" x14ac:dyDescent="0.2">
      <c r="C107">
        <v>91741</v>
      </c>
      <c r="D107">
        <v>11</v>
      </c>
      <c r="E107">
        <v>10349452</v>
      </c>
      <c r="F107" t="s">
        <v>914</v>
      </c>
      <c r="G107" t="s">
        <v>1351</v>
      </c>
      <c r="H107" t="s">
        <v>1351</v>
      </c>
      <c r="I107" t="s">
        <v>1351</v>
      </c>
      <c r="J107" t="s">
        <v>1351</v>
      </c>
      <c r="K107" t="s">
        <v>1351</v>
      </c>
    </row>
    <row r="108" spans="3:11" x14ac:dyDescent="0.2">
      <c r="C108">
        <v>91711</v>
      </c>
      <c r="D108">
        <v>11</v>
      </c>
      <c r="E108">
        <v>103611421</v>
      </c>
      <c r="F108" t="s">
        <v>914</v>
      </c>
      <c r="G108" t="s">
        <v>1351</v>
      </c>
      <c r="H108" t="s">
        <v>1351</v>
      </c>
      <c r="I108" t="s">
        <v>1351</v>
      </c>
      <c r="J108" t="s">
        <v>1351</v>
      </c>
      <c r="K108" t="s">
        <v>1351</v>
      </c>
    </row>
    <row r="109" spans="3:11" x14ac:dyDescent="0.2">
      <c r="C109">
        <v>91701</v>
      </c>
      <c r="D109">
        <v>11</v>
      </c>
      <c r="E109">
        <v>10099073</v>
      </c>
      <c r="F109" t="s">
        <v>914</v>
      </c>
      <c r="G109" t="s">
        <v>1353</v>
      </c>
      <c r="H109" t="s">
        <v>1351</v>
      </c>
      <c r="I109" t="s">
        <v>1353</v>
      </c>
      <c r="J109" t="s">
        <v>1351</v>
      </c>
      <c r="K109" t="s">
        <v>1353</v>
      </c>
    </row>
    <row r="110" spans="3:11" x14ac:dyDescent="0.2">
      <c r="C110">
        <v>91709</v>
      </c>
      <c r="D110">
        <v>10</v>
      </c>
      <c r="E110">
        <v>10361502</v>
      </c>
      <c r="F110" t="s">
        <v>914</v>
      </c>
      <c r="G110" t="s">
        <v>1351</v>
      </c>
      <c r="H110" t="s">
        <v>1351</v>
      </c>
      <c r="I110" t="s">
        <v>1351</v>
      </c>
      <c r="J110" t="s">
        <v>1351</v>
      </c>
      <c r="K110" t="s">
        <v>191</v>
      </c>
    </row>
    <row r="111" spans="3:11" x14ac:dyDescent="0.2">
      <c r="C111">
        <v>91764</v>
      </c>
      <c r="D111">
        <v>10</v>
      </c>
      <c r="E111">
        <v>10289462</v>
      </c>
      <c r="F111" t="s">
        <v>914</v>
      </c>
      <c r="G111" t="s">
        <v>1351</v>
      </c>
      <c r="H111" t="s">
        <v>1351</v>
      </c>
      <c r="I111" t="s">
        <v>1351</v>
      </c>
      <c r="J111" t="s">
        <v>1351</v>
      </c>
      <c r="K111" t="s">
        <v>1351</v>
      </c>
    </row>
    <row r="112" spans="3:11" x14ac:dyDescent="0.2">
      <c r="C112">
        <v>91701</v>
      </c>
      <c r="D112">
        <v>10</v>
      </c>
      <c r="E112">
        <v>10203165</v>
      </c>
      <c r="F112" t="s">
        <v>914</v>
      </c>
      <c r="G112" t="s">
        <v>1351</v>
      </c>
      <c r="H112" t="s">
        <v>1351</v>
      </c>
      <c r="I112" t="s">
        <v>1351</v>
      </c>
      <c r="J112" t="s">
        <v>1353</v>
      </c>
      <c r="K112" t="s">
        <v>1351</v>
      </c>
    </row>
    <row r="113" spans="3:11" x14ac:dyDescent="0.2">
      <c r="C113">
        <v>91764</v>
      </c>
      <c r="D113">
        <v>10</v>
      </c>
      <c r="E113">
        <v>10340696</v>
      </c>
      <c r="F113" t="s">
        <v>914</v>
      </c>
      <c r="G113" t="s">
        <v>1353</v>
      </c>
      <c r="H113" t="s">
        <v>1353</v>
      </c>
      <c r="I113" t="s">
        <v>1353</v>
      </c>
      <c r="J113" t="s">
        <v>1353</v>
      </c>
      <c r="K113" t="s">
        <v>1353</v>
      </c>
    </row>
    <row r="114" spans="3:11" x14ac:dyDescent="0.2">
      <c r="C114">
        <v>91762</v>
      </c>
      <c r="D114">
        <v>10</v>
      </c>
      <c r="E114">
        <v>10088647</v>
      </c>
      <c r="F114" t="s">
        <v>914</v>
      </c>
      <c r="G114" t="s">
        <v>1351</v>
      </c>
      <c r="H114" t="s">
        <v>1351</v>
      </c>
      <c r="I114" t="s">
        <v>1351</v>
      </c>
      <c r="J114" t="s">
        <v>1351</v>
      </c>
      <c r="K114" t="s">
        <v>1351</v>
      </c>
    </row>
    <row r="115" spans="3:11" x14ac:dyDescent="0.2">
      <c r="C115">
        <v>91710</v>
      </c>
      <c r="D115">
        <v>10</v>
      </c>
      <c r="E115">
        <v>10115200</v>
      </c>
      <c r="F115" t="s">
        <v>914</v>
      </c>
      <c r="G115" t="s">
        <v>202</v>
      </c>
      <c r="H115" t="s">
        <v>1371</v>
      </c>
      <c r="I115" t="s">
        <v>1371</v>
      </c>
      <c r="J115" t="s">
        <v>1371</v>
      </c>
      <c r="K115" t="s">
        <v>1371</v>
      </c>
    </row>
    <row r="116" spans="3:11" x14ac:dyDescent="0.2">
      <c r="C116">
        <v>91764</v>
      </c>
      <c r="D116">
        <v>10</v>
      </c>
      <c r="E116">
        <v>110344488</v>
      </c>
      <c r="F116" t="s">
        <v>914</v>
      </c>
      <c r="G116" t="s">
        <v>1353</v>
      </c>
      <c r="H116" t="s">
        <v>1353</v>
      </c>
      <c r="I116" t="s">
        <v>1353</v>
      </c>
      <c r="J116" t="s">
        <v>202</v>
      </c>
      <c r="K116" t="s">
        <v>202</v>
      </c>
    </row>
    <row r="117" spans="3:11" x14ac:dyDescent="0.2">
      <c r="C117">
        <v>91701</v>
      </c>
      <c r="D117">
        <v>10</v>
      </c>
      <c r="E117">
        <v>10024942</v>
      </c>
      <c r="F117" t="s">
        <v>914</v>
      </c>
      <c r="G117" t="s">
        <v>1351</v>
      </c>
      <c r="H117" t="s">
        <v>1351</v>
      </c>
      <c r="I117" t="s">
        <v>1351</v>
      </c>
      <c r="J117" t="s">
        <v>1351</v>
      </c>
      <c r="K117" t="s">
        <v>191</v>
      </c>
    </row>
    <row r="118" spans="3:11" x14ac:dyDescent="0.2">
      <c r="C118">
        <v>91730</v>
      </c>
      <c r="D118">
        <v>10</v>
      </c>
      <c r="E118">
        <v>10183233</v>
      </c>
      <c r="F118" t="s">
        <v>914</v>
      </c>
      <c r="G118" t="s">
        <v>1352</v>
      </c>
      <c r="H118" t="s">
        <v>1352</v>
      </c>
      <c r="I118" t="s">
        <v>1351</v>
      </c>
      <c r="J118" t="s">
        <v>1352</v>
      </c>
      <c r="K118" t="s">
        <v>1351</v>
      </c>
    </row>
    <row r="119" spans="3:11" x14ac:dyDescent="0.2">
      <c r="C119">
        <v>91723</v>
      </c>
      <c r="D119">
        <v>9</v>
      </c>
      <c r="E119">
        <v>10279229</v>
      </c>
      <c r="F119" t="s">
        <v>914</v>
      </c>
      <c r="G119" t="s">
        <v>1351</v>
      </c>
      <c r="H119" t="s">
        <v>1351</v>
      </c>
      <c r="I119" t="s">
        <v>1351</v>
      </c>
      <c r="J119" t="s">
        <v>1351</v>
      </c>
      <c r="K119" t="s">
        <v>1351</v>
      </c>
    </row>
    <row r="120" spans="3:11" x14ac:dyDescent="0.2">
      <c r="C120">
        <v>91710</v>
      </c>
      <c r="D120">
        <v>9</v>
      </c>
      <c r="E120">
        <v>10346125</v>
      </c>
      <c r="F120" t="s">
        <v>914</v>
      </c>
      <c r="G120" t="s">
        <v>1353</v>
      </c>
      <c r="H120" t="s">
        <v>1353</v>
      </c>
      <c r="I120" t="s">
        <v>1353</v>
      </c>
      <c r="J120" t="s">
        <v>1353</v>
      </c>
      <c r="K120" t="s">
        <v>1353</v>
      </c>
    </row>
    <row r="121" spans="3:11" x14ac:dyDescent="0.2">
      <c r="C121">
        <v>91730</v>
      </c>
      <c r="D121">
        <v>9</v>
      </c>
      <c r="E121">
        <v>10352674</v>
      </c>
      <c r="F121" t="s">
        <v>914</v>
      </c>
      <c r="G121" t="s">
        <v>202</v>
      </c>
      <c r="H121" t="s">
        <v>1355</v>
      </c>
      <c r="I121" t="s">
        <v>1355</v>
      </c>
      <c r="J121" t="s">
        <v>1355</v>
      </c>
      <c r="K121" t="s">
        <v>1355</v>
      </c>
    </row>
    <row r="122" spans="3:11" x14ac:dyDescent="0.2">
      <c r="C122">
        <v>91763</v>
      </c>
      <c r="D122">
        <v>9</v>
      </c>
      <c r="E122">
        <v>10042609</v>
      </c>
      <c r="F122" t="s">
        <v>914</v>
      </c>
      <c r="G122" t="s">
        <v>1353</v>
      </c>
      <c r="H122" t="s">
        <v>1353</v>
      </c>
      <c r="I122" t="s">
        <v>1353</v>
      </c>
      <c r="J122" t="s">
        <v>1353</v>
      </c>
      <c r="K122" t="s">
        <v>1353</v>
      </c>
    </row>
    <row r="123" spans="3:11" x14ac:dyDescent="0.2">
      <c r="C123">
        <v>91740</v>
      </c>
      <c r="D123">
        <v>9</v>
      </c>
      <c r="E123">
        <v>10347654</v>
      </c>
      <c r="F123" t="s">
        <v>914</v>
      </c>
      <c r="G123" t="s">
        <v>1351</v>
      </c>
      <c r="H123" t="s">
        <v>1351</v>
      </c>
      <c r="I123" t="s">
        <v>1351</v>
      </c>
      <c r="J123" t="s">
        <v>1351</v>
      </c>
      <c r="K123" t="s">
        <v>1351</v>
      </c>
    </row>
    <row r="124" spans="3:11" x14ac:dyDescent="0.2">
      <c r="C124">
        <v>91730</v>
      </c>
      <c r="D124">
        <v>9</v>
      </c>
      <c r="E124">
        <v>100432352</v>
      </c>
      <c r="F124" t="s">
        <v>914</v>
      </c>
      <c r="G124" t="s">
        <v>199</v>
      </c>
      <c r="H124" t="s">
        <v>199</v>
      </c>
      <c r="I124" t="s">
        <v>1353</v>
      </c>
      <c r="J124" t="s">
        <v>1353</v>
      </c>
      <c r="K124" t="s">
        <v>1353</v>
      </c>
    </row>
    <row r="125" spans="3:11" x14ac:dyDescent="0.2">
      <c r="C125">
        <v>91765</v>
      </c>
      <c r="D125">
        <v>9</v>
      </c>
      <c r="E125">
        <v>10351885</v>
      </c>
      <c r="F125" t="s">
        <v>914</v>
      </c>
      <c r="G125" t="s">
        <v>1351</v>
      </c>
      <c r="H125" t="s">
        <v>1351</v>
      </c>
      <c r="I125" t="s">
        <v>1351</v>
      </c>
      <c r="J125" t="s">
        <v>1351</v>
      </c>
      <c r="K125" t="s">
        <v>1351</v>
      </c>
    </row>
    <row r="126" spans="3:11" x14ac:dyDescent="0.2">
      <c r="C126">
        <v>91730</v>
      </c>
      <c r="D126">
        <v>8</v>
      </c>
      <c r="E126">
        <v>10356032</v>
      </c>
      <c r="F126" t="s">
        <v>914</v>
      </c>
      <c r="G126" t="s">
        <v>1351</v>
      </c>
      <c r="H126" t="s">
        <v>1351</v>
      </c>
      <c r="I126" t="s">
        <v>1351</v>
      </c>
      <c r="J126" t="s">
        <v>1351</v>
      </c>
      <c r="K126" t="s">
        <v>1351</v>
      </c>
    </row>
    <row r="127" spans="3:11" x14ac:dyDescent="0.2">
      <c r="C127">
        <v>91711</v>
      </c>
      <c r="D127">
        <v>8</v>
      </c>
      <c r="E127">
        <v>10315938</v>
      </c>
      <c r="F127" t="s">
        <v>914</v>
      </c>
      <c r="G127" t="s">
        <v>1353</v>
      </c>
      <c r="H127" t="s">
        <v>1353</v>
      </c>
      <c r="I127" t="s">
        <v>1353</v>
      </c>
      <c r="J127" t="s">
        <v>1353</v>
      </c>
      <c r="K127" t="s">
        <v>1353</v>
      </c>
    </row>
    <row r="128" spans="3:11" x14ac:dyDescent="0.2">
      <c r="C128">
        <v>91762</v>
      </c>
      <c r="D128">
        <v>8</v>
      </c>
      <c r="E128">
        <v>10085156</v>
      </c>
      <c r="F128" t="s">
        <v>914</v>
      </c>
      <c r="G128" t="s">
        <v>1353</v>
      </c>
      <c r="H128" t="s">
        <v>1353</v>
      </c>
      <c r="I128" t="s">
        <v>1353</v>
      </c>
      <c r="J128" t="s">
        <v>1353</v>
      </c>
      <c r="K128" t="s">
        <v>1353</v>
      </c>
    </row>
    <row r="129" spans="3:11" x14ac:dyDescent="0.2">
      <c r="C129">
        <v>91784</v>
      </c>
      <c r="D129">
        <v>8</v>
      </c>
      <c r="E129">
        <v>10284710</v>
      </c>
      <c r="F129" t="s">
        <v>914</v>
      </c>
      <c r="G129" t="s">
        <v>1351</v>
      </c>
      <c r="H129" t="s">
        <v>1351</v>
      </c>
      <c r="I129" t="s">
        <v>1351</v>
      </c>
      <c r="J129" t="s">
        <v>1351</v>
      </c>
      <c r="K129" t="s">
        <v>1351</v>
      </c>
    </row>
    <row r="130" spans="3:11" x14ac:dyDescent="0.2">
      <c r="C130">
        <v>91764</v>
      </c>
      <c r="D130">
        <v>8</v>
      </c>
      <c r="E130">
        <v>50440661</v>
      </c>
      <c r="F130" t="s">
        <v>914</v>
      </c>
      <c r="G130" t="s">
        <v>1351</v>
      </c>
      <c r="H130" t="s">
        <v>1351</v>
      </c>
      <c r="I130" t="s">
        <v>1351</v>
      </c>
      <c r="J130" t="s">
        <v>1351</v>
      </c>
      <c r="K130" t="s">
        <v>1351</v>
      </c>
    </row>
    <row r="131" spans="3:11" x14ac:dyDescent="0.2">
      <c r="C131">
        <v>91762</v>
      </c>
      <c r="D131">
        <v>8</v>
      </c>
      <c r="E131">
        <v>10199325</v>
      </c>
      <c r="F131" t="s">
        <v>914</v>
      </c>
      <c r="G131" t="s">
        <v>1353</v>
      </c>
      <c r="H131" t="s">
        <v>1353</v>
      </c>
      <c r="I131" t="s">
        <v>1353</v>
      </c>
      <c r="J131" t="s">
        <v>1353</v>
      </c>
      <c r="K131" t="s">
        <v>1353</v>
      </c>
    </row>
    <row r="132" spans="3:11" x14ac:dyDescent="0.2">
      <c r="C132">
        <v>91701</v>
      </c>
      <c r="D132">
        <v>8</v>
      </c>
      <c r="E132">
        <v>10282893</v>
      </c>
      <c r="F132" t="s">
        <v>914</v>
      </c>
      <c r="G132" t="s">
        <v>1353</v>
      </c>
      <c r="H132" t="s">
        <v>1353</v>
      </c>
      <c r="I132" t="s">
        <v>1353</v>
      </c>
      <c r="J132" t="s">
        <v>1353</v>
      </c>
      <c r="K132" t="s">
        <v>1353</v>
      </c>
    </row>
    <row r="133" spans="3:11" x14ac:dyDescent="0.2">
      <c r="C133">
        <v>91750</v>
      </c>
      <c r="D133">
        <v>8</v>
      </c>
      <c r="E133">
        <v>10018465</v>
      </c>
      <c r="F133" t="s">
        <v>914</v>
      </c>
      <c r="G133" t="s">
        <v>1351</v>
      </c>
      <c r="H133" t="s">
        <v>191</v>
      </c>
      <c r="I133" t="s">
        <v>1351</v>
      </c>
      <c r="J133" t="s">
        <v>1351</v>
      </c>
      <c r="K133" t="s">
        <v>1351</v>
      </c>
    </row>
    <row r="134" spans="3:11" x14ac:dyDescent="0.2">
      <c r="C134">
        <v>91773</v>
      </c>
      <c r="D134">
        <v>8</v>
      </c>
      <c r="E134">
        <v>10043623</v>
      </c>
      <c r="F134" t="s">
        <v>914</v>
      </c>
      <c r="G134" t="s">
        <v>1351</v>
      </c>
      <c r="H134" t="s">
        <v>1351</v>
      </c>
      <c r="I134" t="s">
        <v>1351</v>
      </c>
      <c r="J134" t="s">
        <v>1351</v>
      </c>
      <c r="K134" t="s">
        <v>1351</v>
      </c>
    </row>
    <row r="135" spans="3:11" x14ac:dyDescent="0.2">
      <c r="C135">
        <v>91710</v>
      </c>
      <c r="D135">
        <v>8</v>
      </c>
      <c r="E135">
        <v>10269868</v>
      </c>
      <c r="F135" t="s">
        <v>914</v>
      </c>
      <c r="G135" t="s">
        <v>1353</v>
      </c>
      <c r="H135" t="s">
        <v>1353</v>
      </c>
      <c r="I135" t="s">
        <v>1353</v>
      </c>
      <c r="J135" t="s">
        <v>1353</v>
      </c>
      <c r="K135" t="s">
        <v>1353</v>
      </c>
    </row>
    <row r="136" spans="3:11" x14ac:dyDescent="0.2">
      <c r="C136">
        <v>92377</v>
      </c>
      <c r="D136">
        <v>8</v>
      </c>
      <c r="E136">
        <v>10042242</v>
      </c>
      <c r="F136" t="s">
        <v>914</v>
      </c>
      <c r="G136" t="s">
        <v>1353</v>
      </c>
      <c r="H136" t="s">
        <v>1353</v>
      </c>
      <c r="I136" t="s">
        <v>1353</v>
      </c>
      <c r="J136" t="s">
        <v>1353</v>
      </c>
      <c r="K136" t="s">
        <v>1353</v>
      </c>
    </row>
    <row r="137" spans="3:11" x14ac:dyDescent="0.2">
      <c r="C137">
        <v>91711</v>
      </c>
      <c r="D137">
        <v>7</v>
      </c>
      <c r="E137">
        <v>10349972</v>
      </c>
      <c r="F137" t="s">
        <v>914</v>
      </c>
      <c r="G137" t="s">
        <v>191</v>
      </c>
      <c r="H137" t="s">
        <v>191</v>
      </c>
      <c r="I137" t="s">
        <v>1351</v>
      </c>
      <c r="J137" t="s">
        <v>1351</v>
      </c>
      <c r="K137" t="s">
        <v>1351</v>
      </c>
    </row>
    <row r="138" spans="3:11" x14ac:dyDescent="0.2">
      <c r="C138">
        <v>91730</v>
      </c>
      <c r="D138">
        <v>7</v>
      </c>
      <c r="E138">
        <v>10012938</v>
      </c>
      <c r="F138" t="s">
        <v>914</v>
      </c>
      <c r="G138" t="s">
        <v>1351</v>
      </c>
      <c r="H138" t="s">
        <v>1351</v>
      </c>
      <c r="I138" t="s">
        <v>1351</v>
      </c>
      <c r="J138" t="s">
        <v>1351</v>
      </c>
      <c r="K138" t="s">
        <v>1351</v>
      </c>
    </row>
    <row r="139" spans="3:11" x14ac:dyDescent="0.2">
      <c r="C139">
        <v>91762</v>
      </c>
      <c r="D139">
        <v>7</v>
      </c>
      <c r="E139">
        <v>10042946</v>
      </c>
      <c r="F139" t="s">
        <v>914</v>
      </c>
      <c r="G139" t="s">
        <v>1353</v>
      </c>
      <c r="H139" t="s">
        <v>1353</v>
      </c>
      <c r="I139" t="s">
        <v>1353</v>
      </c>
      <c r="J139" t="s">
        <v>1353</v>
      </c>
      <c r="K139" t="s">
        <v>1353</v>
      </c>
    </row>
    <row r="140" spans="3:11" x14ac:dyDescent="0.2">
      <c r="C140">
        <v>91730</v>
      </c>
      <c r="D140">
        <v>7</v>
      </c>
      <c r="E140">
        <v>10089053</v>
      </c>
      <c r="F140" t="s">
        <v>914</v>
      </c>
      <c r="G140" t="s">
        <v>1351</v>
      </c>
      <c r="H140" t="s">
        <v>1351</v>
      </c>
      <c r="I140" t="s">
        <v>1353</v>
      </c>
      <c r="J140" t="s">
        <v>1351</v>
      </c>
      <c r="K140" t="s">
        <v>1351</v>
      </c>
    </row>
    <row r="141" spans="3:11" x14ac:dyDescent="0.2">
      <c r="C141">
        <v>91786</v>
      </c>
      <c r="D141">
        <v>7</v>
      </c>
      <c r="E141">
        <v>10042879</v>
      </c>
      <c r="F141" t="s">
        <v>914</v>
      </c>
      <c r="G141" t="s">
        <v>191</v>
      </c>
      <c r="H141" t="s">
        <v>1351</v>
      </c>
      <c r="I141" t="s">
        <v>1351</v>
      </c>
      <c r="J141" t="s">
        <v>1351</v>
      </c>
      <c r="K141" t="s">
        <v>1351</v>
      </c>
    </row>
    <row r="142" spans="3:11" x14ac:dyDescent="0.2">
      <c r="C142">
        <v>91730</v>
      </c>
      <c r="D142">
        <v>7</v>
      </c>
      <c r="E142">
        <v>10361565</v>
      </c>
      <c r="F142" t="s">
        <v>914</v>
      </c>
      <c r="G142" t="s">
        <v>1351</v>
      </c>
      <c r="H142" t="s">
        <v>1351</v>
      </c>
      <c r="I142" t="s">
        <v>1351</v>
      </c>
      <c r="J142" t="s">
        <v>1351</v>
      </c>
      <c r="K142" t="s">
        <v>1351</v>
      </c>
    </row>
    <row r="143" spans="3:11" x14ac:dyDescent="0.2">
      <c r="C143">
        <v>91766</v>
      </c>
      <c r="D143">
        <v>7</v>
      </c>
      <c r="E143">
        <v>10158502</v>
      </c>
      <c r="F143" t="s">
        <v>914</v>
      </c>
      <c r="G143" t="s">
        <v>1374</v>
      </c>
      <c r="H143" t="s">
        <v>1353</v>
      </c>
      <c r="I143" t="s">
        <v>1353</v>
      </c>
      <c r="J143" t="s">
        <v>1353</v>
      </c>
      <c r="K143" t="s">
        <v>1374</v>
      </c>
    </row>
    <row r="144" spans="3:11" x14ac:dyDescent="0.2">
      <c r="C144">
        <v>91701</v>
      </c>
      <c r="D144">
        <v>7</v>
      </c>
      <c r="E144">
        <v>100433882</v>
      </c>
      <c r="F144" t="s">
        <v>914</v>
      </c>
      <c r="G144" t="s">
        <v>1353</v>
      </c>
      <c r="H144" t="s">
        <v>1353</v>
      </c>
      <c r="I144" t="s">
        <v>1353</v>
      </c>
      <c r="J144" t="s">
        <v>1353</v>
      </c>
      <c r="K144" t="s">
        <v>1353</v>
      </c>
    </row>
    <row r="145" spans="3:11" x14ac:dyDescent="0.2">
      <c r="C145">
        <v>91711</v>
      </c>
      <c r="D145">
        <v>7</v>
      </c>
      <c r="E145">
        <v>100892054</v>
      </c>
      <c r="F145" t="s">
        <v>914</v>
      </c>
      <c r="G145" t="s">
        <v>1353</v>
      </c>
      <c r="H145" t="s">
        <v>1353</v>
      </c>
      <c r="I145" t="s">
        <v>1353</v>
      </c>
      <c r="J145" t="s">
        <v>1353</v>
      </c>
      <c r="K145" t="s">
        <v>1353</v>
      </c>
    </row>
    <row r="146" spans="3:11" x14ac:dyDescent="0.2">
      <c r="C146">
        <v>91750</v>
      </c>
      <c r="D146">
        <v>6</v>
      </c>
      <c r="E146">
        <v>10362550</v>
      </c>
      <c r="F146" t="s">
        <v>914</v>
      </c>
      <c r="G146" t="s">
        <v>1351</v>
      </c>
      <c r="H146" t="s">
        <v>1351</v>
      </c>
      <c r="I146" t="s">
        <v>1351</v>
      </c>
      <c r="J146" t="s">
        <v>1351</v>
      </c>
      <c r="K146" t="s">
        <v>1351</v>
      </c>
    </row>
    <row r="147" spans="3:11" x14ac:dyDescent="0.2">
      <c r="C147">
        <v>91773</v>
      </c>
      <c r="D147">
        <v>6</v>
      </c>
      <c r="E147">
        <v>10361488</v>
      </c>
      <c r="F147" t="s">
        <v>914</v>
      </c>
      <c r="G147" t="s">
        <v>1351</v>
      </c>
      <c r="H147" t="s">
        <v>1351</v>
      </c>
      <c r="I147" t="s">
        <v>1351</v>
      </c>
      <c r="J147" t="s">
        <v>1351</v>
      </c>
      <c r="K147" t="s">
        <v>1351</v>
      </c>
    </row>
    <row r="148" spans="3:11" x14ac:dyDescent="0.2">
      <c r="C148">
        <v>91762</v>
      </c>
      <c r="D148">
        <v>6</v>
      </c>
      <c r="E148">
        <v>10043333</v>
      </c>
      <c r="F148" t="s">
        <v>914</v>
      </c>
      <c r="G148" t="s">
        <v>1353</v>
      </c>
      <c r="H148" t="s">
        <v>1351</v>
      </c>
      <c r="I148" t="s">
        <v>1351</v>
      </c>
      <c r="J148" t="s">
        <v>1353</v>
      </c>
      <c r="K148" t="s">
        <v>1351</v>
      </c>
    </row>
    <row r="149" spans="3:11" x14ac:dyDescent="0.2">
      <c r="C149">
        <v>91711</v>
      </c>
      <c r="D149">
        <v>6</v>
      </c>
      <c r="E149">
        <v>10271604</v>
      </c>
      <c r="F149" t="s">
        <v>914</v>
      </c>
      <c r="G149" t="s">
        <v>1351</v>
      </c>
      <c r="H149" t="s">
        <v>1353</v>
      </c>
      <c r="I149" t="s">
        <v>1351</v>
      </c>
      <c r="J149" t="s">
        <v>1353</v>
      </c>
      <c r="K149" t="s">
        <v>1351</v>
      </c>
    </row>
    <row r="150" spans="3:11" x14ac:dyDescent="0.2">
      <c r="C150">
        <v>91711</v>
      </c>
      <c r="D150">
        <v>6</v>
      </c>
      <c r="E150">
        <v>10312610</v>
      </c>
      <c r="F150" t="s">
        <v>914</v>
      </c>
      <c r="G150" t="s">
        <v>1351</v>
      </c>
      <c r="H150" t="s">
        <v>1351</v>
      </c>
      <c r="I150" t="s">
        <v>1351</v>
      </c>
      <c r="J150" t="s">
        <v>1351</v>
      </c>
      <c r="K150" t="s">
        <v>1351</v>
      </c>
    </row>
    <row r="151" spans="3:11" x14ac:dyDescent="0.2">
      <c r="C151">
        <v>91764</v>
      </c>
      <c r="D151">
        <v>6</v>
      </c>
      <c r="E151">
        <v>10042458</v>
      </c>
      <c r="F151" t="s">
        <v>914</v>
      </c>
      <c r="G151" t="s">
        <v>1353</v>
      </c>
      <c r="H151" t="s">
        <v>1353</v>
      </c>
      <c r="I151" t="s">
        <v>1353</v>
      </c>
      <c r="J151" t="s">
        <v>1353</v>
      </c>
      <c r="K151" t="s">
        <v>1353</v>
      </c>
    </row>
    <row r="152" spans="3:11" x14ac:dyDescent="0.2">
      <c r="C152">
        <v>91763</v>
      </c>
      <c r="D152">
        <v>6</v>
      </c>
      <c r="E152">
        <v>10049616</v>
      </c>
      <c r="F152" t="s">
        <v>914</v>
      </c>
      <c r="G152" t="s">
        <v>202</v>
      </c>
      <c r="H152" t="s">
        <v>1353</v>
      </c>
      <c r="I152" t="s">
        <v>1353</v>
      </c>
      <c r="J152" t="s">
        <v>1353</v>
      </c>
      <c r="K152" t="s">
        <v>202</v>
      </c>
    </row>
    <row r="153" spans="3:11" x14ac:dyDescent="0.2">
      <c r="C153">
        <v>91784</v>
      </c>
      <c r="D153">
        <v>6</v>
      </c>
      <c r="E153">
        <v>108020</v>
      </c>
      <c r="F153" t="s">
        <v>914</v>
      </c>
      <c r="G153" t="s">
        <v>1351</v>
      </c>
      <c r="H153" t="s">
        <v>1351</v>
      </c>
      <c r="I153" t="s">
        <v>1351</v>
      </c>
      <c r="J153" t="s">
        <v>1351</v>
      </c>
      <c r="K153" t="s">
        <v>1351</v>
      </c>
    </row>
    <row r="154" spans="3:11" x14ac:dyDescent="0.2">
      <c r="C154">
        <v>91784</v>
      </c>
      <c r="D154">
        <v>6</v>
      </c>
      <c r="E154">
        <v>10352887</v>
      </c>
      <c r="F154" t="s">
        <v>919</v>
      </c>
      <c r="G154" t="s">
        <v>202</v>
      </c>
      <c r="H154" t="s">
        <v>1351</v>
      </c>
      <c r="I154" t="s">
        <v>1351</v>
      </c>
      <c r="J154" t="s">
        <v>202</v>
      </c>
      <c r="K154" t="s">
        <v>202</v>
      </c>
    </row>
    <row r="155" spans="3:11" x14ac:dyDescent="0.2">
      <c r="C155">
        <v>91766</v>
      </c>
      <c r="D155">
        <v>6</v>
      </c>
      <c r="E155">
        <v>10092382</v>
      </c>
      <c r="F155" t="s">
        <v>914</v>
      </c>
      <c r="G155" t="s">
        <v>1352</v>
      </c>
      <c r="H155" t="s">
        <v>1352</v>
      </c>
      <c r="I155" t="s">
        <v>1352</v>
      </c>
      <c r="J155" t="s">
        <v>1374</v>
      </c>
      <c r="K155" t="s">
        <v>1374</v>
      </c>
    </row>
    <row r="156" spans="3:11" x14ac:dyDescent="0.2">
      <c r="C156">
        <v>91764</v>
      </c>
      <c r="D156">
        <v>6</v>
      </c>
      <c r="E156">
        <v>10043008</v>
      </c>
      <c r="F156" t="s">
        <v>914</v>
      </c>
      <c r="G156" t="s">
        <v>1353</v>
      </c>
      <c r="H156" t="s">
        <v>1353</v>
      </c>
      <c r="I156" t="s">
        <v>1353</v>
      </c>
      <c r="J156" t="s">
        <v>1374</v>
      </c>
      <c r="K156" t="s">
        <v>1374</v>
      </c>
    </row>
    <row r="157" spans="3:11" x14ac:dyDescent="0.2">
      <c r="C157">
        <v>91764</v>
      </c>
      <c r="D157">
        <v>6</v>
      </c>
      <c r="E157">
        <v>10092409</v>
      </c>
      <c r="F157" t="s">
        <v>914</v>
      </c>
      <c r="G157" t="s">
        <v>1374</v>
      </c>
      <c r="H157" t="s">
        <v>1374</v>
      </c>
      <c r="I157" t="s">
        <v>1353</v>
      </c>
      <c r="J157" t="s">
        <v>1353</v>
      </c>
      <c r="K157" t="s">
        <v>1353</v>
      </c>
    </row>
    <row r="158" spans="3:11" x14ac:dyDescent="0.2">
      <c r="C158">
        <v>91711</v>
      </c>
      <c r="D158">
        <v>6</v>
      </c>
      <c r="E158">
        <v>10183437</v>
      </c>
      <c r="F158" t="s">
        <v>914</v>
      </c>
      <c r="G158" t="s">
        <v>1351</v>
      </c>
      <c r="H158" t="s">
        <v>1351</v>
      </c>
      <c r="I158" t="s">
        <v>1351</v>
      </c>
      <c r="J158" t="s">
        <v>1351</v>
      </c>
      <c r="K158" t="s">
        <v>1351</v>
      </c>
    </row>
    <row r="159" spans="3:11" x14ac:dyDescent="0.2">
      <c r="C159">
        <v>91765</v>
      </c>
      <c r="D159">
        <v>6</v>
      </c>
      <c r="E159">
        <v>10086523</v>
      </c>
      <c r="F159" t="s">
        <v>914</v>
      </c>
      <c r="G159" t="s">
        <v>1353</v>
      </c>
      <c r="H159" t="s">
        <v>1353</v>
      </c>
      <c r="I159" t="s">
        <v>1353</v>
      </c>
      <c r="J159" t="s">
        <v>1353</v>
      </c>
      <c r="K159" t="s">
        <v>1353</v>
      </c>
    </row>
    <row r="160" spans="3:11" x14ac:dyDescent="0.2">
      <c r="C160">
        <v>91784</v>
      </c>
      <c r="D160">
        <v>6</v>
      </c>
      <c r="E160">
        <v>10087164</v>
      </c>
      <c r="F160" t="s">
        <v>914</v>
      </c>
      <c r="G160" t="s">
        <v>1351</v>
      </c>
      <c r="H160" t="s">
        <v>1351</v>
      </c>
      <c r="I160" t="s">
        <v>1351</v>
      </c>
      <c r="J160" t="s">
        <v>1351</v>
      </c>
      <c r="K160" t="s">
        <v>1351</v>
      </c>
    </row>
    <row r="161" spans="3:11" x14ac:dyDescent="0.2">
      <c r="C161">
        <v>91762</v>
      </c>
      <c r="D161">
        <v>5</v>
      </c>
      <c r="E161">
        <v>10358767</v>
      </c>
      <c r="F161" t="s">
        <v>914</v>
      </c>
      <c r="G161" t="s">
        <v>1351</v>
      </c>
      <c r="H161" t="s">
        <v>1351</v>
      </c>
      <c r="I161" t="s">
        <v>1351</v>
      </c>
      <c r="J161" t="s">
        <v>1351</v>
      </c>
      <c r="K161" t="s">
        <v>1351</v>
      </c>
    </row>
    <row r="162" spans="3:11" x14ac:dyDescent="0.2">
      <c r="C162">
        <v>91784</v>
      </c>
      <c r="D162">
        <v>5</v>
      </c>
      <c r="E162">
        <v>10345447</v>
      </c>
      <c r="F162" t="s">
        <v>914</v>
      </c>
      <c r="G162" t="s">
        <v>1351</v>
      </c>
      <c r="H162" t="s">
        <v>1351</v>
      </c>
      <c r="I162" t="s">
        <v>1351</v>
      </c>
      <c r="J162" t="s">
        <v>1351</v>
      </c>
      <c r="K162" t="s">
        <v>1351</v>
      </c>
    </row>
    <row r="163" spans="3:11" x14ac:dyDescent="0.2">
      <c r="C163">
        <v>91762</v>
      </c>
      <c r="D163">
        <v>5</v>
      </c>
      <c r="E163">
        <v>10361257</v>
      </c>
      <c r="F163" t="s">
        <v>914</v>
      </c>
      <c r="G163" t="s">
        <v>1353</v>
      </c>
      <c r="H163" t="s">
        <v>1353</v>
      </c>
      <c r="I163" t="s">
        <v>1353</v>
      </c>
      <c r="J163" t="s">
        <v>202</v>
      </c>
      <c r="K163" t="s">
        <v>202</v>
      </c>
    </row>
    <row r="164" spans="3:11" x14ac:dyDescent="0.2">
      <c r="C164">
        <v>91762</v>
      </c>
      <c r="D164">
        <v>5</v>
      </c>
      <c r="E164">
        <v>10186747</v>
      </c>
      <c r="F164" t="s">
        <v>914</v>
      </c>
      <c r="G164" t="s">
        <v>1351</v>
      </c>
      <c r="H164" t="s">
        <v>1351</v>
      </c>
      <c r="I164" t="s">
        <v>1351</v>
      </c>
      <c r="J164" t="s">
        <v>1351</v>
      </c>
      <c r="K164" t="s">
        <v>1351</v>
      </c>
    </row>
    <row r="165" spans="3:11" x14ac:dyDescent="0.2">
      <c r="C165">
        <v>91784</v>
      </c>
      <c r="D165">
        <v>5</v>
      </c>
      <c r="E165">
        <v>10355945</v>
      </c>
      <c r="F165" t="s">
        <v>914</v>
      </c>
      <c r="G165" t="s">
        <v>202</v>
      </c>
      <c r="H165" t="s">
        <v>1351</v>
      </c>
      <c r="I165" t="s">
        <v>1353</v>
      </c>
      <c r="J165" t="s">
        <v>1353</v>
      </c>
      <c r="K165" t="s">
        <v>202</v>
      </c>
    </row>
    <row r="166" spans="3:11" x14ac:dyDescent="0.2">
      <c r="C166">
        <v>91762</v>
      </c>
      <c r="D166">
        <v>5</v>
      </c>
      <c r="E166">
        <v>10345418</v>
      </c>
      <c r="F166" t="s">
        <v>914</v>
      </c>
      <c r="G166" t="s">
        <v>1353</v>
      </c>
      <c r="H166" t="s">
        <v>1353</v>
      </c>
      <c r="I166" t="s">
        <v>1353</v>
      </c>
      <c r="J166" t="s">
        <v>1353</v>
      </c>
      <c r="K166" t="s">
        <v>1353</v>
      </c>
    </row>
    <row r="167" spans="3:11" x14ac:dyDescent="0.2">
      <c r="C167">
        <v>91750</v>
      </c>
      <c r="D167">
        <v>5</v>
      </c>
      <c r="E167">
        <v>10363032</v>
      </c>
      <c r="F167" t="s">
        <v>914</v>
      </c>
      <c r="G167" t="s">
        <v>1351</v>
      </c>
      <c r="H167" t="s">
        <v>1351</v>
      </c>
      <c r="I167" t="s">
        <v>1351</v>
      </c>
      <c r="J167" t="s">
        <v>1351</v>
      </c>
      <c r="K167" t="s">
        <v>1351</v>
      </c>
    </row>
    <row r="168" spans="3:11" x14ac:dyDescent="0.2">
      <c r="C168">
        <v>91786</v>
      </c>
      <c r="D168">
        <v>5</v>
      </c>
      <c r="E168">
        <v>10043112</v>
      </c>
      <c r="F168" t="s">
        <v>914</v>
      </c>
      <c r="G168" t="s">
        <v>1353</v>
      </c>
      <c r="H168" t="s">
        <v>1353</v>
      </c>
      <c r="I168" t="s">
        <v>1353</v>
      </c>
      <c r="J168" t="s">
        <v>1353</v>
      </c>
      <c r="K168" t="s">
        <v>191</v>
      </c>
    </row>
    <row r="169" spans="3:11" x14ac:dyDescent="0.2">
      <c r="C169">
        <v>91764</v>
      </c>
      <c r="D169">
        <v>5</v>
      </c>
      <c r="E169">
        <v>1043558</v>
      </c>
      <c r="F169" t="s">
        <v>914</v>
      </c>
      <c r="G169" t="s">
        <v>202</v>
      </c>
      <c r="H169" t="s">
        <v>1353</v>
      </c>
      <c r="I169" t="s">
        <v>1353</v>
      </c>
      <c r="J169" t="s">
        <v>1353</v>
      </c>
      <c r="K169" t="s">
        <v>1353</v>
      </c>
    </row>
    <row r="170" spans="3:11" x14ac:dyDescent="0.2">
      <c r="C170">
        <v>91784</v>
      </c>
      <c r="D170">
        <v>5</v>
      </c>
      <c r="E170">
        <v>10346032</v>
      </c>
      <c r="F170" t="s">
        <v>914</v>
      </c>
      <c r="G170" t="s">
        <v>1351</v>
      </c>
      <c r="H170" t="s">
        <v>1351</v>
      </c>
      <c r="I170" t="s">
        <v>1353</v>
      </c>
      <c r="J170" t="s">
        <v>1351</v>
      </c>
      <c r="K170" t="s">
        <v>1351</v>
      </c>
    </row>
    <row r="171" spans="3:11" x14ac:dyDescent="0.2">
      <c r="C171">
        <v>91763</v>
      </c>
      <c r="D171">
        <v>5</v>
      </c>
      <c r="E171">
        <v>10042293</v>
      </c>
      <c r="F171" t="s">
        <v>914</v>
      </c>
      <c r="G171" t="s">
        <v>1353</v>
      </c>
      <c r="H171" t="s">
        <v>1353</v>
      </c>
      <c r="I171" t="s">
        <v>1353</v>
      </c>
      <c r="J171" t="s">
        <v>1353</v>
      </c>
      <c r="K171" t="s">
        <v>1353</v>
      </c>
    </row>
    <row r="172" spans="3:11" x14ac:dyDescent="0.2">
      <c r="C172">
        <v>91763</v>
      </c>
      <c r="D172">
        <v>5</v>
      </c>
      <c r="E172">
        <v>10134463</v>
      </c>
      <c r="F172" t="s">
        <v>914</v>
      </c>
      <c r="G172" t="s">
        <v>195</v>
      </c>
      <c r="H172" t="s">
        <v>1353</v>
      </c>
      <c r="I172" t="s">
        <v>1353</v>
      </c>
      <c r="J172" t="s">
        <v>1353</v>
      </c>
      <c r="K172" t="s">
        <v>1353</v>
      </c>
    </row>
    <row r="173" spans="3:11" x14ac:dyDescent="0.2">
      <c r="C173">
        <v>91767</v>
      </c>
      <c r="D173">
        <v>5</v>
      </c>
      <c r="E173">
        <v>10043384</v>
      </c>
      <c r="F173" t="s">
        <v>914</v>
      </c>
      <c r="G173" t="s">
        <v>195</v>
      </c>
      <c r="H173" t="s">
        <v>195</v>
      </c>
      <c r="I173" t="s">
        <v>195</v>
      </c>
      <c r="J173" t="s">
        <v>1352</v>
      </c>
      <c r="K173" t="s">
        <v>1352</v>
      </c>
    </row>
    <row r="174" spans="3:11" x14ac:dyDescent="0.2">
      <c r="C174">
        <v>91763</v>
      </c>
      <c r="D174">
        <v>5</v>
      </c>
      <c r="E174">
        <v>10043233</v>
      </c>
      <c r="F174" t="s">
        <v>914</v>
      </c>
      <c r="G174" t="s">
        <v>1353</v>
      </c>
      <c r="H174" t="s">
        <v>1353</v>
      </c>
      <c r="I174" t="s">
        <v>1353</v>
      </c>
      <c r="J174" t="s">
        <v>1353</v>
      </c>
      <c r="K174" t="s">
        <v>191</v>
      </c>
    </row>
    <row r="175" spans="3:11" x14ac:dyDescent="0.2">
      <c r="C175">
        <v>71786</v>
      </c>
      <c r="D175">
        <v>5</v>
      </c>
      <c r="E175">
        <v>10114181</v>
      </c>
      <c r="F175" t="s">
        <v>914</v>
      </c>
      <c r="G175" t="s">
        <v>1352</v>
      </c>
      <c r="H175" t="s">
        <v>1352</v>
      </c>
      <c r="I175" t="s">
        <v>1352</v>
      </c>
      <c r="J175" t="s">
        <v>202</v>
      </c>
      <c r="K175" t="s">
        <v>202</v>
      </c>
    </row>
    <row r="176" spans="3:11" x14ac:dyDescent="0.2">
      <c r="C176">
        <v>91763</v>
      </c>
      <c r="D176">
        <v>5</v>
      </c>
      <c r="E176">
        <v>10042569</v>
      </c>
      <c r="F176" t="s">
        <v>914</v>
      </c>
      <c r="G176" t="s">
        <v>1353</v>
      </c>
      <c r="H176" t="s">
        <v>1353</v>
      </c>
      <c r="I176" t="s">
        <v>1353</v>
      </c>
      <c r="J176" t="s">
        <v>1353</v>
      </c>
      <c r="K176" t="s">
        <v>1353</v>
      </c>
    </row>
    <row r="177" spans="3:11" x14ac:dyDescent="0.2">
      <c r="C177">
        <v>91762</v>
      </c>
      <c r="D177">
        <v>5</v>
      </c>
      <c r="E177">
        <v>10043018</v>
      </c>
      <c r="F177" t="s">
        <v>914</v>
      </c>
      <c r="G177" t="s">
        <v>195</v>
      </c>
      <c r="H177" t="s">
        <v>1353</v>
      </c>
      <c r="I177" t="s">
        <v>1353</v>
      </c>
      <c r="J177" t="s">
        <v>202</v>
      </c>
      <c r="K177" t="s">
        <v>202</v>
      </c>
    </row>
    <row r="178" spans="3:11" x14ac:dyDescent="0.2">
      <c r="C178">
        <v>91786</v>
      </c>
      <c r="D178">
        <v>5</v>
      </c>
      <c r="E178">
        <v>100425245</v>
      </c>
      <c r="F178" t="s">
        <v>914</v>
      </c>
      <c r="G178" t="s">
        <v>1353</v>
      </c>
      <c r="H178" t="s">
        <v>1353</v>
      </c>
      <c r="I178" t="s">
        <v>1353</v>
      </c>
      <c r="J178" t="s">
        <v>1353</v>
      </c>
      <c r="K178" t="s">
        <v>1353</v>
      </c>
    </row>
    <row r="179" spans="3:11" x14ac:dyDescent="0.2">
      <c r="C179">
        <v>91767</v>
      </c>
      <c r="D179">
        <v>5</v>
      </c>
      <c r="E179">
        <v>100421542</v>
      </c>
      <c r="F179" t="s">
        <v>914</v>
      </c>
      <c r="G179" t="s">
        <v>1353</v>
      </c>
      <c r="H179" t="s">
        <v>1353</v>
      </c>
      <c r="I179" t="s">
        <v>1353</v>
      </c>
      <c r="J179" t="s">
        <v>1353</v>
      </c>
      <c r="K179" t="s">
        <v>1353</v>
      </c>
    </row>
    <row r="180" spans="3:11" x14ac:dyDescent="0.2">
      <c r="C180">
        <v>91786</v>
      </c>
      <c r="D180">
        <v>5</v>
      </c>
      <c r="E180">
        <v>10243165</v>
      </c>
      <c r="F180" t="s">
        <v>914</v>
      </c>
      <c r="G180" t="s">
        <v>1373</v>
      </c>
      <c r="H180" t="s">
        <v>1373</v>
      </c>
      <c r="I180" t="s">
        <v>1373</v>
      </c>
      <c r="J180" t="s">
        <v>1373</v>
      </c>
      <c r="K180" t="s">
        <v>1373</v>
      </c>
    </row>
    <row r="181" spans="3:11" x14ac:dyDescent="0.2">
      <c r="C181">
        <v>91786</v>
      </c>
      <c r="D181">
        <v>5</v>
      </c>
      <c r="E181">
        <v>10364188</v>
      </c>
      <c r="F181" t="s">
        <v>914</v>
      </c>
      <c r="G181" t="s">
        <v>1351</v>
      </c>
      <c r="H181" t="s">
        <v>1351</v>
      </c>
      <c r="I181" t="s">
        <v>1351</v>
      </c>
      <c r="J181" t="s">
        <v>1351</v>
      </c>
      <c r="K181" t="s">
        <v>1351</v>
      </c>
    </row>
    <row r="182" spans="3:11" x14ac:dyDescent="0.2">
      <c r="C182">
        <v>91786</v>
      </c>
      <c r="D182">
        <v>4</v>
      </c>
      <c r="E182">
        <v>10289769</v>
      </c>
      <c r="F182" t="s">
        <v>914</v>
      </c>
      <c r="G182" t="s">
        <v>1351</v>
      </c>
      <c r="H182" t="s">
        <v>1351</v>
      </c>
      <c r="I182" t="s">
        <v>1351</v>
      </c>
      <c r="J182" t="s">
        <v>1351</v>
      </c>
      <c r="K182" t="s">
        <v>1351</v>
      </c>
    </row>
    <row r="183" spans="3:11" x14ac:dyDescent="0.2">
      <c r="C183">
        <v>91750</v>
      </c>
      <c r="D183">
        <v>4</v>
      </c>
      <c r="E183">
        <v>10193210</v>
      </c>
      <c r="F183" t="s">
        <v>914</v>
      </c>
      <c r="G183" t="s">
        <v>1351</v>
      </c>
      <c r="H183" t="s">
        <v>1351</v>
      </c>
      <c r="I183" t="s">
        <v>1353</v>
      </c>
      <c r="J183" t="s">
        <v>1351</v>
      </c>
      <c r="K183" t="s">
        <v>1351</v>
      </c>
    </row>
    <row r="184" spans="3:11" x14ac:dyDescent="0.2">
      <c r="C184">
        <v>91750</v>
      </c>
      <c r="D184">
        <v>4</v>
      </c>
      <c r="E184">
        <v>10043715</v>
      </c>
      <c r="F184" t="s">
        <v>914</v>
      </c>
      <c r="G184" t="s">
        <v>1351</v>
      </c>
      <c r="H184" t="s">
        <v>1351</v>
      </c>
      <c r="I184" t="s">
        <v>1351</v>
      </c>
      <c r="J184" t="s">
        <v>1351</v>
      </c>
      <c r="K184" t="s">
        <v>1351</v>
      </c>
    </row>
    <row r="185" spans="3:11" x14ac:dyDescent="0.2">
      <c r="C185">
        <v>91750</v>
      </c>
      <c r="D185">
        <v>4</v>
      </c>
      <c r="E185">
        <v>10364343</v>
      </c>
      <c r="F185" t="s">
        <v>919</v>
      </c>
      <c r="G185" t="s">
        <v>1358</v>
      </c>
      <c r="H185" t="s">
        <v>1358</v>
      </c>
      <c r="I185" t="s">
        <v>1358</v>
      </c>
      <c r="J185" t="s">
        <v>1358</v>
      </c>
      <c r="K185" t="s">
        <v>1358</v>
      </c>
    </row>
    <row r="186" spans="3:11" x14ac:dyDescent="0.2">
      <c r="C186">
        <v>91763</v>
      </c>
      <c r="D186">
        <v>4</v>
      </c>
      <c r="E186">
        <v>10043299</v>
      </c>
      <c r="F186" t="s">
        <v>914</v>
      </c>
      <c r="G186" t="s">
        <v>191</v>
      </c>
      <c r="H186" t="s">
        <v>191</v>
      </c>
      <c r="I186" t="s">
        <v>191</v>
      </c>
      <c r="J186" t="s">
        <v>191</v>
      </c>
      <c r="K186" t="s">
        <v>191</v>
      </c>
    </row>
    <row r="187" spans="3:11" x14ac:dyDescent="0.2">
      <c r="C187">
        <v>91767</v>
      </c>
      <c r="D187">
        <v>4</v>
      </c>
      <c r="E187">
        <v>10314880</v>
      </c>
      <c r="F187" t="s">
        <v>914</v>
      </c>
      <c r="G187" t="s">
        <v>1353</v>
      </c>
      <c r="H187" t="s">
        <v>1353</v>
      </c>
      <c r="I187" t="s">
        <v>1353</v>
      </c>
      <c r="J187" t="s">
        <v>1353</v>
      </c>
      <c r="K187" t="s">
        <v>1353</v>
      </c>
    </row>
    <row r="188" spans="3:11" x14ac:dyDescent="0.2">
      <c r="C188">
        <v>91711</v>
      </c>
      <c r="D188">
        <v>4</v>
      </c>
      <c r="E188">
        <v>10256706</v>
      </c>
      <c r="F188" t="s">
        <v>919</v>
      </c>
      <c r="G188" t="s">
        <v>1351</v>
      </c>
      <c r="H188" t="s">
        <v>1351</v>
      </c>
      <c r="I188" t="s">
        <v>1351</v>
      </c>
      <c r="J188" t="s">
        <v>1351</v>
      </c>
      <c r="K188" t="s">
        <v>1351</v>
      </c>
    </row>
    <row r="189" spans="3:11" x14ac:dyDescent="0.2">
      <c r="C189">
        <v>91784</v>
      </c>
      <c r="D189">
        <v>4</v>
      </c>
      <c r="E189">
        <v>100765</v>
      </c>
      <c r="F189" t="s">
        <v>914</v>
      </c>
      <c r="G189" t="s">
        <v>1351</v>
      </c>
      <c r="H189" t="s">
        <v>1351</v>
      </c>
      <c r="I189" t="s">
        <v>1351</v>
      </c>
      <c r="J189" t="s">
        <v>1351</v>
      </c>
      <c r="K189" t="s">
        <v>1351</v>
      </c>
    </row>
    <row r="190" spans="3:11" x14ac:dyDescent="0.2">
      <c r="C190">
        <v>91784</v>
      </c>
      <c r="D190">
        <v>4</v>
      </c>
      <c r="E190">
        <v>10042924</v>
      </c>
      <c r="F190" t="s">
        <v>914</v>
      </c>
      <c r="G190" t="s">
        <v>1353</v>
      </c>
      <c r="H190" t="s">
        <v>1353</v>
      </c>
      <c r="I190" t="s">
        <v>1353</v>
      </c>
      <c r="J190" t="s">
        <v>1353</v>
      </c>
      <c r="K190" t="s">
        <v>1353</v>
      </c>
    </row>
    <row r="191" spans="3:11" x14ac:dyDescent="0.2">
      <c r="C191">
        <v>91786</v>
      </c>
      <c r="D191">
        <v>4</v>
      </c>
      <c r="E191">
        <v>10109481</v>
      </c>
      <c r="F191" t="s">
        <v>914</v>
      </c>
      <c r="G191" t="s">
        <v>1351</v>
      </c>
      <c r="H191" t="s">
        <v>1351</v>
      </c>
      <c r="I191" t="s">
        <v>1351</v>
      </c>
      <c r="J191" t="s">
        <v>1351</v>
      </c>
      <c r="K191" t="s">
        <v>191</v>
      </c>
    </row>
    <row r="192" spans="3:11" x14ac:dyDescent="0.2">
      <c r="C192">
        <v>91786</v>
      </c>
      <c r="D192">
        <v>3</v>
      </c>
      <c r="E192">
        <v>10358994</v>
      </c>
      <c r="F192" t="s">
        <v>914</v>
      </c>
      <c r="G192" t="s">
        <v>1353</v>
      </c>
      <c r="H192" t="s">
        <v>1351</v>
      </c>
      <c r="I192" t="s">
        <v>1353</v>
      </c>
      <c r="J192" t="s">
        <v>1351</v>
      </c>
      <c r="K192" t="s">
        <v>1351</v>
      </c>
    </row>
    <row r="193" spans="3:11" x14ac:dyDescent="0.2">
      <c r="C193">
        <v>91711</v>
      </c>
      <c r="D193">
        <v>3</v>
      </c>
      <c r="E193">
        <v>10354843</v>
      </c>
      <c r="F193" t="s">
        <v>914</v>
      </c>
      <c r="G193" t="s">
        <v>1353</v>
      </c>
      <c r="H193" t="s">
        <v>1351</v>
      </c>
      <c r="I193" t="s">
        <v>1351</v>
      </c>
      <c r="J193" t="s">
        <v>1351</v>
      </c>
      <c r="K193" t="s">
        <v>1351</v>
      </c>
    </row>
    <row r="194" spans="3:11" x14ac:dyDescent="0.2">
      <c r="C194">
        <v>91767</v>
      </c>
      <c r="D194">
        <v>3</v>
      </c>
      <c r="E194">
        <v>10222295</v>
      </c>
      <c r="F194" t="s">
        <v>914</v>
      </c>
      <c r="G194" t="s">
        <v>1351</v>
      </c>
      <c r="H194" t="s">
        <v>1351</v>
      </c>
      <c r="I194" t="s">
        <v>1351</v>
      </c>
      <c r="J194" t="s">
        <v>1351</v>
      </c>
      <c r="K194" t="s">
        <v>1351</v>
      </c>
    </row>
    <row r="195" spans="3:11" x14ac:dyDescent="0.2">
      <c r="C195">
        <v>91786</v>
      </c>
      <c r="D195">
        <v>3</v>
      </c>
      <c r="E195">
        <v>90047</v>
      </c>
      <c r="F195" t="s">
        <v>919</v>
      </c>
      <c r="G195" t="s">
        <v>1351</v>
      </c>
      <c r="H195" t="s">
        <v>1351</v>
      </c>
      <c r="I195" t="s">
        <v>1353</v>
      </c>
      <c r="J195" t="s">
        <v>1353</v>
      </c>
      <c r="K195" t="s">
        <v>1351</v>
      </c>
    </row>
    <row r="196" spans="3:11" x14ac:dyDescent="0.2">
      <c r="C196">
        <v>91767</v>
      </c>
      <c r="D196">
        <v>3</v>
      </c>
      <c r="E196">
        <v>10277630</v>
      </c>
      <c r="F196" t="s">
        <v>914</v>
      </c>
      <c r="G196" t="s">
        <v>1351</v>
      </c>
      <c r="H196" t="s">
        <v>1351</v>
      </c>
      <c r="I196" t="s">
        <v>1351</v>
      </c>
      <c r="J196" t="s">
        <v>1351</v>
      </c>
      <c r="K196" t="s">
        <v>1351</v>
      </c>
    </row>
    <row r="197" spans="3:11" x14ac:dyDescent="0.2">
      <c r="C197">
        <v>91786</v>
      </c>
      <c r="D197">
        <v>3</v>
      </c>
      <c r="E197">
        <v>10366393</v>
      </c>
      <c r="F197" t="s">
        <v>914</v>
      </c>
      <c r="G197" t="s">
        <v>1353</v>
      </c>
      <c r="H197" t="s">
        <v>1353</v>
      </c>
      <c r="I197" t="s">
        <v>1353</v>
      </c>
      <c r="J197" t="s">
        <v>1353</v>
      </c>
      <c r="K197" t="s">
        <v>1353</v>
      </c>
    </row>
    <row r="198" spans="3:11" x14ac:dyDescent="0.2">
      <c r="C198">
        <v>91763</v>
      </c>
      <c r="D198">
        <v>3</v>
      </c>
      <c r="E198">
        <v>10043593</v>
      </c>
      <c r="F198" t="s">
        <v>914</v>
      </c>
      <c r="G198" t="s">
        <v>202</v>
      </c>
      <c r="H198" t="s">
        <v>1353</v>
      </c>
      <c r="I198" t="s">
        <v>1353</v>
      </c>
      <c r="J198" t="s">
        <v>1353</v>
      </c>
      <c r="K198" t="s">
        <v>1353</v>
      </c>
    </row>
    <row r="199" spans="3:11" x14ac:dyDescent="0.2">
      <c r="C199">
        <v>91767</v>
      </c>
      <c r="D199">
        <v>3</v>
      </c>
      <c r="E199">
        <v>10211579</v>
      </c>
      <c r="F199" t="s">
        <v>914</v>
      </c>
      <c r="G199" t="s">
        <v>1353</v>
      </c>
      <c r="H199" t="s">
        <v>1351</v>
      </c>
      <c r="I199" t="s">
        <v>1351</v>
      </c>
      <c r="J199" t="s">
        <v>1351</v>
      </c>
      <c r="K199" t="s">
        <v>1353</v>
      </c>
    </row>
    <row r="200" spans="3:11" x14ac:dyDescent="0.2">
      <c r="C200">
        <v>91763</v>
      </c>
      <c r="D200">
        <v>3</v>
      </c>
      <c r="E200">
        <v>10091335</v>
      </c>
      <c r="F200" t="s">
        <v>914</v>
      </c>
      <c r="G200" t="s">
        <v>1352</v>
      </c>
      <c r="H200" t="s">
        <v>1352</v>
      </c>
      <c r="I200" t="s">
        <v>1352</v>
      </c>
      <c r="J200" t="s">
        <v>1374</v>
      </c>
      <c r="K200" t="s">
        <v>1374</v>
      </c>
    </row>
    <row r="201" spans="3:11" x14ac:dyDescent="0.2">
      <c r="C201">
        <v>91786</v>
      </c>
      <c r="D201">
        <v>3</v>
      </c>
      <c r="E201">
        <v>10197152</v>
      </c>
      <c r="F201" t="s">
        <v>914</v>
      </c>
      <c r="G201" t="s">
        <v>1353</v>
      </c>
      <c r="H201" t="s">
        <v>1353</v>
      </c>
      <c r="I201" t="s">
        <v>1353</v>
      </c>
      <c r="J201" t="s">
        <v>1374</v>
      </c>
      <c r="K201" t="s">
        <v>1374</v>
      </c>
    </row>
    <row r="202" spans="3:11" x14ac:dyDescent="0.2">
      <c r="C202">
        <v>91763</v>
      </c>
      <c r="D202">
        <v>3</v>
      </c>
      <c r="E202">
        <v>10042835</v>
      </c>
      <c r="F202" t="s">
        <v>914</v>
      </c>
      <c r="G202" t="s">
        <v>1353</v>
      </c>
      <c r="H202" t="s">
        <v>1353</v>
      </c>
      <c r="I202" t="s">
        <v>1353</v>
      </c>
      <c r="J202" t="s">
        <v>1374</v>
      </c>
      <c r="K202" t="s">
        <v>1374</v>
      </c>
    </row>
    <row r="203" spans="3:11" x14ac:dyDescent="0.2">
      <c r="C203">
        <v>91767</v>
      </c>
      <c r="D203">
        <v>3</v>
      </c>
      <c r="E203">
        <v>10138149</v>
      </c>
      <c r="F203" t="s">
        <v>914</v>
      </c>
      <c r="G203" t="s">
        <v>1352</v>
      </c>
      <c r="H203" t="s">
        <v>1352</v>
      </c>
      <c r="I203" t="s">
        <v>1352</v>
      </c>
      <c r="J203" t="s">
        <v>1352</v>
      </c>
      <c r="K203" t="s">
        <v>1352</v>
      </c>
    </row>
    <row r="204" spans="3:11" x14ac:dyDescent="0.2">
      <c r="C204">
        <v>91763</v>
      </c>
      <c r="D204">
        <v>3</v>
      </c>
      <c r="E204">
        <v>10199957</v>
      </c>
      <c r="F204" t="s">
        <v>914</v>
      </c>
      <c r="G204" t="s">
        <v>1353</v>
      </c>
      <c r="H204" t="s">
        <v>1353</v>
      </c>
      <c r="I204" t="s">
        <v>1353</v>
      </c>
      <c r="J204" t="s">
        <v>1374</v>
      </c>
      <c r="K204" t="s">
        <v>1374</v>
      </c>
    </row>
    <row r="205" spans="3:11" x14ac:dyDescent="0.2">
      <c r="C205">
        <v>91767</v>
      </c>
      <c r="D205">
        <v>3</v>
      </c>
      <c r="E205">
        <v>13581622</v>
      </c>
      <c r="F205" t="s">
        <v>914</v>
      </c>
      <c r="G205" t="s">
        <v>1353</v>
      </c>
      <c r="H205" t="s">
        <v>1353</v>
      </c>
      <c r="I205" t="s">
        <v>1353</v>
      </c>
      <c r="J205" t="s">
        <v>1353</v>
      </c>
      <c r="K205" t="s">
        <v>1353</v>
      </c>
    </row>
    <row r="206" spans="3:11" x14ac:dyDescent="0.2">
      <c r="C206">
        <v>91767</v>
      </c>
      <c r="D206">
        <v>3</v>
      </c>
      <c r="E206">
        <v>10086568</v>
      </c>
      <c r="F206" t="s">
        <v>914</v>
      </c>
      <c r="G206" t="s">
        <v>1374</v>
      </c>
      <c r="H206" t="s">
        <v>1374</v>
      </c>
      <c r="I206" t="s">
        <v>1353</v>
      </c>
      <c r="J206" t="s">
        <v>1353</v>
      </c>
      <c r="K206" t="s">
        <v>1353</v>
      </c>
    </row>
    <row r="207" spans="3:11" x14ac:dyDescent="0.2">
      <c r="C207">
        <v>91711</v>
      </c>
      <c r="D207">
        <v>3</v>
      </c>
      <c r="E207">
        <v>10346813</v>
      </c>
      <c r="F207" t="s">
        <v>914</v>
      </c>
      <c r="G207" t="s">
        <v>1351</v>
      </c>
      <c r="H207" t="s">
        <v>1351</v>
      </c>
      <c r="I207" t="s">
        <v>1351</v>
      </c>
      <c r="J207" t="s">
        <v>1351</v>
      </c>
      <c r="K207" t="s">
        <v>1351</v>
      </c>
    </row>
    <row r="208" spans="3:11" x14ac:dyDescent="0.2">
      <c r="C208">
        <v>91767</v>
      </c>
      <c r="D208">
        <v>2</v>
      </c>
      <c r="E208">
        <v>10345269</v>
      </c>
      <c r="F208" t="s">
        <v>914</v>
      </c>
      <c r="G208" t="s">
        <v>1353</v>
      </c>
      <c r="H208" t="s">
        <v>1351</v>
      </c>
      <c r="I208" t="s">
        <v>1351</v>
      </c>
      <c r="J208" t="s">
        <v>1351</v>
      </c>
      <c r="K208" t="s">
        <v>1351</v>
      </c>
    </row>
    <row r="209" spans="3:11" x14ac:dyDescent="0.2">
      <c r="C209">
        <v>91711</v>
      </c>
      <c r="D209">
        <v>2</v>
      </c>
      <c r="E209">
        <v>10020070</v>
      </c>
      <c r="F209" t="s">
        <v>914</v>
      </c>
      <c r="G209" t="s">
        <v>1351</v>
      </c>
      <c r="H209" t="s">
        <v>1351</v>
      </c>
      <c r="I209" t="s">
        <v>1351</v>
      </c>
      <c r="J209" t="s">
        <v>1351</v>
      </c>
      <c r="K209" t="s">
        <v>1351</v>
      </c>
    </row>
    <row r="210" spans="3:11" x14ac:dyDescent="0.2">
      <c r="C210">
        <v>91711</v>
      </c>
      <c r="D210">
        <v>2</v>
      </c>
      <c r="E210">
        <v>10006767</v>
      </c>
      <c r="F210" t="s">
        <v>914</v>
      </c>
      <c r="G210" t="s">
        <v>1372</v>
      </c>
      <c r="H210" t="s">
        <v>1372</v>
      </c>
      <c r="I210" t="s">
        <v>1372</v>
      </c>
      <c r="J210" t="s">
        <v>1372</v>
      </c>
      <c r="K210" t="s">
        <v>1372</v>
      </c>
    </row>
    <row r="211" spans="3:11" x14ac:dyDescent="0.2">
      <c r="C211">
        <v>91711</v>
      </c>
      <c r="D211">
        <v>2</v>
      </c>
      <c r="E211">
        <v>10358014</v>
      </c>
      <c r="F211" t="s">
        <v>914</v>
      </c>
      <c r="G211" t="s">
        <v>1351</v>
      </c>
      <c r="H211" t="s">
        <v>1351</v>
      </c>
      <c r="I211" t="s">
        <v>1351</v>
      </c>
      <c r="J211" t="s">
        <v>1351</v>
      </c>
      <c r="K211" t="s">
        <v>1351</v>
      </c>
    </row>
    <row r="212" spans="3:11" x14ac:dyDescent="0.2">
      <c r="C212">
        <v>91711</v>
      </c>
      <c r="D212">
        <v>2</v>
      </c>
      <c r="E212">
        <v>100639</v>
      </c>
      <c r="F212" t="s">
        <v>914</v>
      </c>
      <c r="G212" t="s">
        <v>1351</v>
      </c>
      <c r="H212" t="s">
        <v>1351</v>
      </c>
      <c r="I212" t="s">
        <v>1351</v>
      </c>
      <c r="J212" t="s">
        <v>1351</v>
      </c>
      <c r="K212" t="s">
        <v>1351</v>
      </c>
    </row>
    <row r="213" spans="3:11" x14ac:dyDescent="0.2">
      <c r="C213">
        <v>91711</v>
      </c>
      <c r="D213">
        <v>2</v>
      </c>
      <c r="E213">
        <v>10042424</v>
      </c>
      <c r="F213" t="s">
        <v>914</v>
      </c>
      <c r="G213" t="s">
        <v>1351</v>
      </c>
      <c r="H213" t="s">
        <v>1351</v>
      </c>
      <c r="I213" t="s">
        <v>1351</v>
      </c>
      <c r="J213" t="s">
        <v>1351</v>
      </c>
      <c r="K213" t="s">
        <v>1351</v>
      </c>
    </row>
    <row r="214" spans="3:11" x14ac:dyDescent="0.2">
      <c r="C214">
        <v>91711</v>
      </c>
      <c r="D214">
        <v>2</v>
      </c>
      <c r="E214">
        <v>10352729</v>
      </c>
      <c r="F214" t="s">
        <v>919</v>
      </c>
      <c r="G214" t="s">
        <v>1353</v>
      </c>
      <c r="H214" t="s">
        <v>202</v>
      </c>
      <c r="I214" t="s">
        <v>1353</v>
      </c>
      <c r="J214" t="s">
        <v>202</v>
      </c>
      <c r="K214" t="s">
        <v>1351</v>
      </c>
    </row>
    <row r="215" spans="3:11" x14ac:dyDescent="0.2">
      <c r="C215">
        <v>91711</v>
      </c>
      <c r="D215">
        <v>2</v>
      </c>
      <c r="E215">
        <v>10190160</v>
      </c>
      <c r="F215" t="s">
        <v>914</v>
      </c>
      <c r="G215" t="s">
        <v>1351</v>
      </c>
      <c r="H215" t="s">
        <v>1351</v>
      </c>
      <c r="I215" t="s">
        <v>1351</v>
      </c>
      <c r="J215" t="s">
        <v>1351</v>
      </c>
      <c r="K215" t="s">
        <v>1351</v>
      </c>
    </row>
    <row r="216" spans="3:11" x14ac:dyDescent="0.2">
      <c r="C216">
        <v>91711</v>
      </c>
      <c r="D216">
        <v>2</v>
      </c>
      <c r="E216">
        <v>44119000</v>
      </c>
      <c r="F216" t="s">
        <v>919</v>
      </c>
      <c r="G216" t="s">
        <v>1351</v>
      </c>
      <c r="H216" t="s">
        <v>1351</v>
      </c>
      <c r="I216" t="s">
        <v>1351</v>
      </c>
      <c r="J216" t="s">
        <v>1351</v>
      </c>
      <c r="K216" t="s">
        <v>1351</v>
      </c>
    </row>
    <row r="217" spans="3:11" x14ac:dyDescent="0.2">
      <c r="C217">
        <v>91786</v>
      </c>
      <c r="D217">
        <v>2</v>
      </c>
      <c r="E217">
        <v>10043601</v>
      </c>
      <c r="F217" t="s">
        <v>914</v>
      </c>
      <c r="G217" t="s">
        <v>202</v>
      </c>
      <c r="H217" t="s">
        <v>1353</v>
      </c>
      <c r="I217" t="s">
        <v>1353</v>
      </c>
      <c r="J217" t="s">
        <v>1353</v>
      </c>
      <c r="K217" t="s">
        <v>202</v>
      </c>
    </row>
    <row r="218" spans="3:11" x14ac:dyDescent="0.2">
      <c r="C218">
        <v>91711</v>
      </c>
      <c r="D218">
        <v>2</v>
      </c>
      <c r="E218">
        <v>10290464</v>
      </c>
      <c r="F218" t="s">
        <v>914</v>
      </c>
      <c r="G218" t="s">
        <v>1351</v>
      </c>
      <c r="H218" t="s">
        <v>1351</v>
      </c>
      <c r="I218" t="s">
        <v>1351</v>
      </c>
      <c r="J218" t="s">
        <v>1351</v>
      </c>
      <c r="K218" t="s">
        <v>1351</v>
      </c>
    </row>
    <row r="219" spans="3:11" x14ac:dyDescent="0.2">
      <c r="C219">
        <v>91786</v>
      </c>
      <c r="D219">
        <v>2</v>
      </c>
      <c r="E219">
        <v>10313960</v>
      </c>
      <c r="F219" t="s">
        <v>914</v>
      </c>
      <c r="G219" t="s">
        <v>1351</v>
      </c>
      <c r="H219" t="s">
        <v>1353</v>
      </c>
      <c r="I219" t="s">
        <v>1353</v>
      </c>
      <c r="J219" t="s">
        <v>1351</v>
      </c>
      <c r="K219" t="s">
        <v>1353</v>
      </c>
    </row>
    <row r="220" spans="3:11" x14ac:dyDescent="0.2">
      <c r="C220">
        <v>91711</v>
      </c>
      <c r="D220">
        <v>2</v>
      </c>
      <c r="E220">
        <v>10120597</v>
      </c>
      <c r="F220" t="s">
        <v>914</v>
      </c>
      <c r="G220" t="s">
        <v>1351</v>
      </c>
      <c r="H220" t="s">
        <v>1351</v>
      </c>
      <c r="I220" t="s">
        <v>1351</v>
      </c>
      <c r="J220" t="s">
        <v>195</v>
      </c>
      <c r="K220" t="s">
        <v>195</v>
      </c>
    </row>
    <row r="221" spans="3:11" x14ac:dyDescent="0.2">
      <c r="C221">
        <v>91711</v>
      </c>
      <c r="D221">
        <v>2</v>
      </c>
      <c r="E221">
        <v>10033199</v>
      </c>
      <c r="F221" t="s">
        <v>914</v>
      </c>
      <c r="G221" t="s">
        <v>1351</v>
      </c>
      <c r="H221" t="s">
        <v>1351</v>
      </c>
      <c r="I221" t="s">
        <v>1353</v>
      </c>
      <c r="J221" t="s">
        <v>1351</v>
      </c>
      <c r="K221" t="s">
        <v>1351</v>
      </c>
    </row>
    <row r="222" spans="3:11" x14ac:dyDescent="0.2">
      <c r="C222">
        <v>91711</v>
      </c>
      <c r="D222">
        <v>2</v>
      </c>
      <c r="E222">
        <v>10199960</v>
      </c>
      <c r="F222" t="s">
        <v>914</v>
      </c>
      <c r="G222" t="s">
        <v>1353</v>
      </c>
      <c r="H222" t="s">
        <v>1353</v>
      </c>
      <c r="I222" t="s">
        <v>1353</v>
      </c>
      <c r="J222" t="s">
        <v>1353</v>
      </c>
      <c r="K222" t="s">
        <v>1353</v>
      </c>
    </row>
    <row r="223" spans="3:11" x14ac:dyDescent="0.2">
      <c r="C223">
        <v>91763</v>
      </c>
      <c r="D223">
        <v>2</v>
      </c>
      <c r="E223">
        <v>101999613</v>
      </c>
      <c r="F223" t="s">
        <v>914</v>
      </c>
      <c r="G223" t="s">
        <v>1353</v>
      </c>
      <c r="H223" t="s">
        <v>1353</v>
      </c>
      <c r="I223" t="s">
        <v>1353</v>
      </c>
      <c r="J223" t="s">
        <v>1353</v>
      </c>
      <c r="K223" t="s">
        <v>1353</v>
      </c>
    </row>
    <row r="224" spans="3:11" x14ac:dyDescent="0.2">
      <c r="C224">
        <v>91711</v>
      </c>
      <c r="D224">
        <v>2</v>
      </c>
      <c r="E224">
        <v>103597551</v>
      </c>
      <c r="F224" t="s">
        <v>914</v>
      </c>
      <c r="G224" t="s">
        <v>1351</v>
      </c>
      <c r="H224" t="s">
        <v>1351</v>
      </c>
      <c r="I224" t="s">
        <v>1353</v>
      </c>
      <c r="J224" t="s">
        <v>1351</v>
      </c>
      <c r="K224" t="s">
        <v>1351</v>
      </c>
    </row>
    <row r="225" spans="3:11" x14ac:dyDescent="0.2">
      <c r="C225">
        <v>91711</v>
      </c>
      <c r="D225">
        <v>2</v>
      </c>
      <c r="E225">
        <v>10358850</v>
      </c>
      <c r="F225" t="s">
        <v>914</v>
      </c>
      <c r="G225" t="s">
        <v>1351</v>
      </c>
      <c r="H225" t="s">
        <v>1351</v>
      </c>
      <c r="I225" t="s">
        <v>1373</v>
      </c>
      <c r="J225" t="s">
        <v>1351</v>
      </c>
      <c r="K225" t="s">
        <v>1351</v>
      </c>
    </row>
    <row r="226" spans="3:11" x14ac:dyDescent="0.2">
      <c r="C226">
        <v>91711</v>
      </c>
      <c r="D226">
        <v>2</v>
      </c>
      <c r="E226">
        <v>100691</v>
      </c>
      <c r="F226" t="s">
        <v>914</v>
      </c>
      <c r="G226" t="s">
        <v>1374</v>
      </c>
      <c r="H226" t="s">
        <v>1374</v>
      </c>
      <c r="I226" t="s">
        <v>1374</v>
      </c>
      <c r="J226" t="s">
        <v>1374</v>
      </c>
      <c r="K226" t="s">
        <v>1374</v>
      </c>
    </row>
    <row r="227" spans="3:11" x14ac:dyDescent="0.2">
      <c r="C227">
        <v>91711</v>
      </c>
      <c r="D227">
        <v>2</v>
      </c>
      <c r="E227">
        <v>10230045</v>
      </c>
      <c r="F227" t="s">
        <v>914</v>
      </c>
      <c r="G227" t="s">
        <v>1351</v>
      </c>
      <c r="H227" t="s">
        <v>1351</v>
      </c>
      <c r="I227" t="s">
        <v>1351</v>
      </c>
      <c r="J227" t="s">
        <v>1351</v>
      </c>
      <c r="K227" t="s">
        <v>1351</v>
      </c>
    </row>
    <row r="228" spans="3:11" x14ac:dyDescent="0.2">
      <c r="C228">
        <v>91711</v>
      </c>
      <c r="D228">
        <v>1</v>
      </c>
      <c r="E228">
        <v>10222395</v>
      </c>
      <c r="F228" t="s">
        <v>914</v>
      </c>
      <c r="G228" t="s">
        <v>1351</v>
      </c>
      <c r="H228" t="s">
        <v>1351</v>
      </c>
      <c r="I228" t="s">
        <v>1351</v>
      </c>
      <c r="J228" t="s">
        <v>1351</v>
      </c>
      <c r="K228" t="s">
        <v>1351</v>
      </c>
    </row>
    <row r="229" spans="3:11" x14ac:dyDescent="0.2">
      <c r="C229">
        <v>91711</v>
      </c>
      <c r="D229">
        <v>1</v>
      </c>
      <c r="E229">
        <v>103614792</v>
      </c>
      <c r="F229" t="s">
        <v>914</v>
      </c>
      <c r="G229" t="s">
        <v>1351</v>
      </c>
      <c r="H229" t="s">
        <v>1351</v>
      </c>
      <c r="I229" t="s">
        <v>1351</v>
      </c>
      <c r="J229" t="s">
        <v>1351</v>
      </c>
      <c r="K229" t="s">
        <v>1351</v>
      </c>
    </row>
    <row r="230" spans="3:11" x14ac:dyDescent="0.2">
      <c r="C230">
        <v>91711</v>
      </c>
      <c r="D230">
        <v>1</v>
      </c>
      <c r="E230">
        <v>10105699</v>
      </c>
      <c r="F230" t="s">
        <v>914</v>
      </c>
      <c r="G230" t="s">
        <v>1351</v>
      </c>
      <c r="H230" t="s">
        <v>1351</v>
      </c>
      <c r="I230" t="s">
        <v>1351</v>
      </c>
      <c r="J230" t="s">
        <v>1351</v>
      </c>
      <c r="K230" t="s">
        <v>1351</v>
      </c>
    </row>
    <row r="231" spans="3:11" x14ac:dyDescent="0.2">
      <c r="C231">
        <v>91786</v>
      </c>
      <c r="D231">
        <v>1</v>
      </c>
      <c r="E231">
        <v>10328519</v>
      </c>
      <c r="F231" t="s">
        <v>914</v>
      </c>
      <c r="G231" t="s">
        <v>1351</v>
      </c>
      <c r="H231" t="s">
        <v>1351</v>
      </c>
      <c r="I231" t="s">
        <v>1351</v>
      </c>
      <c r="J231" t="s">
        <v>1351</v>
      </c>
      <c r="K231" t="s">
        <v>1351</v>
      </c>
    </row>
    <row r="232" spans="3:11" x14ac:dyDescent="0.2">
      <c r="C232">
        <v>91786</v>
      </c>
      <c r="D232">
        <v>1</v>
      </c>
      <c r="E232">
        <v>10105644</v>
      </c>
      <c r="F232" t="s">
        <v>914</v>
      </c>
      <c r="G232" t="s">
        <v>1351</v>
      </c>
      <c r="H232" t="s">
        <v>1351</v>
      </c>
      <c r="I232" t="s">
        <v>1353</v>
      </c>
      <c r="J232" t="s">
        <v>1351</v>
      </c>
      <c r="K232" t="s">
        <v>1351</v>
      </c>
    </row>
    <row r="233" spans="3:11" x14ac:dyDescent="0.2">
      <c r="C233">
        <v>91711</v>
      </c>
      <c r="D233">
        <v>1</v>
      </c>
      <c r="E233">
        <v>800242</v>
      </c>
      <c r="F233" t="s">
        <v>919</v>
      </c>
      <c r="G233" t="s">
        <v>1351</v>
      </c>
      <c r="H233" t="s">
        <v>1351</v>
      </c>
      <c r="I233" t="s">
        <v>1351</v>
      </c>
      <c r="J233" t="s">
        <v>1351</v>
      </c>
      <c r="K233" t="s">
        <v>1351</v>
      </c>
    </row>
    <row r="234" spans="3:11" x14ac:dyDescent="0.2">
      <c r="C234">
        <v>91711</v>
      </c>
      <c r="D234">
        <v>1</v>
      </c>
      <c r="E234">
        <v>10042755</v>
      </c>
      <c r="F234" t="s">
        <v>914</v>
      </c>
      <c r="G234" t="s">
        <v>1351</v>
      </c>
      <c r="H234" t="s">
        <v>1351</v>
      </c>
      <c r="I234" t="s">
        <v>1351</v>
      </c>
      <c r="J234" t="s">
        <v>1353</v>
      </c>
      <c r="K234" t="s">
        <v>1351</v>
      </c>
    </row>
    <row r="235" spans="3:11" x14ac:dyDescent="0.2">
      <c r="C235">
        <v>91711</v>
      </c>
      <c r="D235">
        <v>1</v>
      </c>
      <c r="E235">
        <v>10042223</v>
      </c>
      <c r="F235" t="s">
        <v>914</v>
      </c>
      <c r="G235" t="s">
        <v>1353</v>
      </c>
      <c r="H235" t="s">
        <v>1353</v>
      </c>
      <c r="I235" t="s">
        <v>1353</v>
      </c>
      <c r="J235" t="s">
        <v>1353</v>
      </c>
      <c r="K235" t="s">
        <v>1353</v>
      </c>
    </row>
    <row r="236" spans="3:11" x14ac:dyDescent="0.2">
      <c r="C236">
        <v>91711</v>
      </c>
      <c r="D236">
        <v>1</v>
      </c>
      <c r="E236">
        <v>10028585</v>
      </c>
      <c r="F236" t="s">
        <v>914</v>
      </c>
      <c r="G236" t="s">
        <v>1351</v>
      </c>
      <c r="H236" t="s">
        <v>1351</v>
      </c>
      <c r="I236" t="s">
        <v>1351</v>
      </c>
      <c r="J236" t="s">
        <v>1351</v>
      </c>
      <c r="K236" t="s">
        <v>1351</v>
      </c>
    </row>
    <row r="237" spans="3:11" x14ac:dyDescent="0.2">
      <c r="C237">
        <v>91711</v>
      </c>
      <c r="D237">
        <v>1</v>
      </c>
      <c r="E237">
        <v>10346409</v>
      </c>
      <c r="F237" t="s">
        <v>914</v>
      </c>
      <c r="G237" t="s">
        <v>1351</v>
      </c>
      <c r="H237" t="s">
        <v>1351</v>
      </c>
      <c r="I237" t="s">
        <v>1358</v>
      </c>
      <c r="J237" t="s">
        <v>1351</v>
      </c>
      <c r="K237" t="s">
        <v>1351</v>
      </c>
    </row>
    <row r="238" spans="3:11" x14ac:dyDescent="0.2">
      <c r="C238">
        <v>91786</v>
      </c>
      <c r="D238">
        <v>1</v>
      </c>
      <c r="E238">
        <v>10361429</v>
      </c>
      <c r="F238" t="s">
        <v>914</v>
      </c>
      <c r="G238" t="s">
        <v>1351</v>
      </c>
      <c r="H238" t="s">
        <v>1351</v>
      </c>
      <c r="I238" t="s">
        <v>1351</v>
      </c>
      <c r="J238" t="s">
        <v>1351</v>
      </c>
      <c r="K238" t="s">
        <v>1351</v>
      </c>
    </row>
    <row r="239" spans="3:11" x14ac:dyDescent="0.2">
      <c r="C239">
        <v>91711</v>
      </c>
      <c r="D239">
        <v>1</v>
      </c>
      <c r="E239">
        <v>10237093</v>
      </c>
      <c r="F239" t="s">
        <v>914</v>
      </c>
      <c r="G239" t="s">
        <v>1351</v>
      </c>
      <c r="H239" t="s">
        <v>1351</v>
      </c>
      <c r="I239" t="s">
        <v>1351</v>
      </c>
      <c r="J239" t="s">
        <v>1351</v>
      </c>
      <c r="K239" t="s">
        <v>1351</v>
      </c>
    </row>
    <row r="240" spans="3:11" x14ac:dyDescent="0.2">
      <c r="C240">
        <v>91711</v>
      </c>
      <c r="D240">
        <v>1</v>
      </c>
      <c r="E240">
        <v>10090830</v>
      </c>
      <c r="F240" t="s">
        <v>914</v>
      </c>
      <c r="G240" t="s">
        <v>1351</v>
      </c>
      <c r="H240" t="s">
        <v>1351</v>
      </c>
      <c r="I240" t="s">
        <v>1351</v>
      </c>
      <c r="J240" t="s">
        <v>1351</v>
      </c>
      <c r="K240" t="s">
        <v>1351</v>
      </c>
    </row>
    <row r="241" spans="3:11" x14ac:dyDescent="0.2">
      <c r="C241">
        <v>91767</v>
      </c>
      <c r="D241">
        <v>1</v>
      </c>
      <c r="E241">
        <v>10148193</v>
      </c>
      <c r="F241" t="s">
        <v>914</v>
      </c>
      <c r="G241" t="s">
        <v>1351</v>
      </c>
      <c r="H241" t="s">
        <v>1351</v>
      </c>
      <c r="I241" t="s">
        <v>1351</v>
      </c>
      <c r="J241" t="s">
        <v>1351</v>
      </c>
      <c r="K241" t="s">
        <v>1351</v>
      </c>
    </row>
    <row r="242" spans="3:11" x14ac:dyDescent="0.2">
      <c r="C242">
        <v>91711</v>
      </c>
      <c r="D242">
        <v>1</v>
      </c>
      <c r="E242">
        <v>10341303</v>
      </c>
      <c r="F242" t="s">
        <v>914</v>
      </c>
      <c r="G242" t="s">
        <v>1351</v>
      </c>
      <c r="H242" t="s">
        <v>1351</v>
      </c>
      <c r="I242" t="s">
        <v>1351</v>
      </c>
      <c r="J242" t="s">
        <v>1351</v>
      </c>
      <c r="K242" t="s">
        <v>1351</v>
      </c>
    </row>
    <row r="243" spans="3:11" x14ac:dyDescent="0.2">
      <c r="C243">
        <v>91711</v>
      </c>
      <c r="D243">
        <v>1</v>
      </c>
      <c r="E243">
        <v>101269651</v>
      </c>
      <c r="F243" t="s">
        <v>914</v>
      </c>
      <c r="G243" t="s">
        <v>1351</v>
      </c>
      <c r="H243" t="s">
        <v>1372</v>
      </c>
      <c r="I243" t="s">
        <v>1372</v>
      </c>
      <c r="J243" t="s">
        <v>1372</v>
      </c>
      <c r="K243" t="s">
        <v>1372</v>
      </c>
    </row>
    <row r="244" spans="3:11" x14ac:dyDescent="0.2">
      <c r="C244">
        <v>91711</v>
      </c>
      <c r="D244">
        <v>1</v>
      </c>
      <c r="E244">
        <v>10165908</v>
      </c>
      <c r="F244" t="s">
        <v>914</v>
      </c>
      <c r="G244" t="s">
        <v>1351</v>
      </c>
      <c r="H244" t="s">
        <v>1351</v>
      </c>
      <c r="I244" t="s">
        <v>1351</v>
      </c>
      <c r="J244" t="s">
        <v>1351</v>
      </c>
      <c r="K244" t="s">
        <v>1351</v>
      </c>
    </row>
    <row r="245" spans="3:11" x14ac:dyDescent="0.2">
      <c r="C245">
        <v>91711</v>
      </c>
      <c r="D245">
        <v>1</v>
      </c>
      <c r="E245">
        <v>10364773</v>
      </c>
      <c r="F245" t="s">
        <v>919</v>
      </c>
      <c r="G245" t="s">
        <v>1351</v>
      </c>
      <c r="H245" t="s">
        <v>1351</v>
      </c>
      <c r="I245" t="s">
        <v>1351</v>
      </c>
      <c r="J245" t="s">
        <v>1351</v>
      </c>
      <c r="K245" t="s">
        <v>1351</v>
      </c>
    </row>
    <row r="246" spans="3:11" x14ac:dyDescent="0.2">
      <c r="C246">
        <v>91711</v>
      </c>
      <c r="D246">
        <v>1</v>
      </c>
      <c r="E246">
        <v>10042899</v>
      </c>
      <c r="F246" t="s">
        <v>914</v>
      </c>
      <c r="G246" t="s">
        <v>1351</v>
      </c>
      <c r="H246" t="s">
        <v>1351</v>
      </c>
      <c r="I246" t="s">
        <v>1351</v>
      </c>
      <c r="J246" t="s">
        <v>1351</v>
      </c>
      <c r="K246" t="s">
        <v>1351</v>
      </c>
    </row>
    <row r="247" spans="3:11" x14ac:dyDescent="0.2">
      <c r="C247">
        <v>91711</v>
      </c>
      <c r="D247">
        <v>1</v>
      </c>
      <c r="E247">
        <v>10257033</v>
      </c>
      <c r="F247" t="s">
        <v>914</v>
      </c>
      <c r="G247" t="s">
        <v>1351</v>
      </c>
      <c r="H247" t="s">
        <v>1351</v>
      </c>
      <c r="I247" t="s">
        <v>1351</v>
      </c>
      <c r="J247" t="s">
        <v>1351</v>
      </c>
      <c r="K247" t="s">
        <v>1351</v>
      </c>
    </row>
    <row r="248" spans="3:11" x14ac:dyDescent="0.2">
      <c r="C248">
        <v>91711</v>
      </c>
      <c r="D248">
        <v>1</v>
      </c>
      <c r="E248">
        <v>10159254</v>
      </c>
      <c r="F248" t="s">
        <v>914</v>
      </c>
      <c r="G248" t="s">
        <v>1372</v>
      </c>
      <c r="H248" t="s">
        <v>1351</v>
      </c>
      <c r="I248" t="s">
        <v>1372</v>
      </c>
      <c r="J248" t="s">
        <v>1372</v>
      </c>
      <c r="K248" t="s">
        <v>1351</v>
      </c>
    </row>
    <row r="249" spans="3:11" x14ac:dyDescent="0.2">
      <c r="C249">
        <v>91711</v>
      </c>
      <c r="D249">
        <v>1</v>
      </c>
      <c r="E249">
        <v>10085870</v>
      </c>
      <c r="F249" t="s">
        <v>914</v>
      </c>
      <c r="G249" t="s">
        <v>1358</v>
      </c>
      <c r="H249" t="s">
        <v>1351</v>
      </c>
      <c r="I249" t="s">
        <v>1358</v>
      </c>
      <c r="J249" t="s">
        <v>1358</v>
      </c>
      <c r="K249" t="s">
        <v>1351</v>
      </c>
    </row>
    <row r="250" spans="3:11" x14ac:dyDescent="0.2">
      <c r="C250">
        <v>91711</v>
      </c>
      <c r="D250">
        <v>1</v>
      </c>
      <c r="E250">
        <v>10348299</v>
      </c>
      <c r="F250" t="s">
        <v>919</v>
      </c>
      <c r="G250" t="s">
        <v>1351</v>
      </c>
      <c r="H250" t="s">
        <v>1351</v>
      </c>
      <c r="I250" t="s">
        <v>1351</v>
      </c>
      <c r="J250" t="s">
        <v>1351</v>
      </c>
      <c r="K250" t="s">
        <v>202</v>
      </c>
    </row>
    <row r="251" spans="3:11" x14ac:dyDescent="0.2">
      <c r="C251">
        <v>91711</v>
      </c>
      <c r="D251">
        <v>1</v>
      </c>
      <c r="E251">
        <v>10365043</v>
      </c>
      <c r="F251" t="s">
        <v>914</v>
      </c>
      <c r="G251" t="s">
        <v>1373</v>
      </c>
      <c r="H251" t="s">
        <v>1351</v>
      </c>
      <c r="I251" t="s">
        <v>1351</v>
      </c>
      <c r="J251" t="s">
        <v>1351</v>
      </c>
      <c r="K251" t="s">
        <v>1372</v>
      </c>
    </row>
    <row r="252" spans="3:11" x14ac:dyDescent="0.2">
      <c r="C252">
        <v>91711</v>
      </c>
      <c r="D252">
        <v>1</v>
      </c>
      <c r="E252">
        <v>104722</v>
      </c>
      <c r="F252" t="s">
        <v>914</v>
      </c>
      <c r="G252" t="s">
        <v>1351</v>
      </c>
      <c r="H252" t="s">
        <v>1351</v>
      </c>
      <c r="I252" t="s">
        <v>1351</v>
      </c>
      <c r="J252" t="s">
        <v>1351</v>
      </c>
      <c r="K252" t="s">
        <v>1351</v>
      </c>
    </row>
    <row r="253" spans="3:11" x14ac:dyDescent="0.2">
      <c r="C253">
        <v>91711</v>
      </c>
      <c r="D253">
        <v>1</v>
      </c>
      <c r="E253">
        <v>10013031</v>
      </c>
      <c r="F253" t="s">
        <v>914</v>
      </c>
      <c r="G253" t="s">
        <v>1351</v>
      </c>
      <c r="H253" t="s">
        <v>1351</v>
      </c>
      <c r="I253" t="s">
        <v>1351</v>
      </c>
      <c r="J253" t="s">
        <v>1351</v>
      </c>
      <c r="K253" t="s">
        <v>1351</v>
      </c>
    </row>
    <row r="254" spans="3:11" x14ac:dyDescent="0.2">
      <c r="C254">
        <v>91711</v>
      </c>
      <c r="D254">
        <v>0</v>
      </c>
      <c r="E254">
        <v>10002371</v>
      </c>
      <c r="F254" t="s">
        <v>914</v>
      </c>
      <c r="G254" t="s">
        <v>1353</v>
      </c>
      <c r="H254" t="s">
        <v>1353</v>
      </c>
      <c r="I254" t="s">
        <v>1353</v>
      </c>
      <c r="J254" t="s">
        <v>1353</v>
      </c>
      <c r="K254" t="s">
        <v>1351</v>
      </c>
    </row>
    <row r="255" spans="3:11" x14ac:dyDescent="0.2">
      <c r="C255">
        <v>91711</v>
      </c>
      <c r="D255">
        <v>0</v>
      </c>
      <c r="E255">
        <v>10229063</v>
      </c>
      <c r="F255" t="s">
        <v>914</v>
      </c>
      <c r="G255" t="s">
        <v>1351</v>
      </c>
      <c r="H255" t="s">
        <v>1351</v>
      </c>
      <c r="I255" t="s">
        <v>1351</v>
      </c>
      <c r="J255" t="s">
        <v>1351</v>
      </c>
      <c r="K255" t="s">
        <v>1351</v>
      </c>
    </row>
    <row r="256" spans="3:11" x14ac:dyDescent="0.2">
      <c r="C256">
        <v>91711</v>
      </c>
      <c r="D256">
        <v>0</v>
      </c>
      <c r="E256">
        <v>10099341</v>
      </c>
      <c r="F256" t="s">
        <v>914</v>
      </c>
      <c r="G256" t="s">
        <v>1351</v>
      </c>
      <c r="H256" t="s">
        <v>1351</v>
      </c>
      <c r="I256" t="s">
        <v>1351</v>
      </c>
      <c r="J256" t="s">
        <v>1351</v>
      </c>
      <c r="K256" t="s">
        <v>1351</v>
      </c>
    </row>
    <row r="257" spans="3:11" x14ac:dyDescent="0.2">
      <c r="C257">
        <v>95660</v>
      </c>
      <c r="D257">
        <v>0</v>
      </c>
      <c r="E257">
        <v>112578</v>
      </c>
      <c r="F257" t="s">
        <v>919</v>
      </c>
      <c r="G257" t="s">
        <v>202</v>
      </c>
      <c r="H257" t="s">
        <v>1351</v>
      </c>
      <c r="I257" t="s">
        <v>1351</v>
      </c>
      <c r="J257" t="s">
        <v>1351</v>
      </c>
      <c r="K257" t="s">
        <v>202</v>
      </c>
    </row>
    <row r="258" spans="3:11" x14ac:dyDescent="0.2">
      <c r="C258">
        <v>80203</v>
      </c>
      <c r="D258">
        <v>0</v>
      </c>
      <c r="E258">
        <v>800809</v>
      </c>
      <c r="F258" t="s">
        <v>919</v>
      </c>
      <c r="G258" t="s">
        <v>1351</v>
      </c>
      <c r="H258" t="s">
        <v>1351</v>
      </c>
      <c r="I258" t="s">
        <v>1351</v>
      </c>
      <c r="J258" t="s">
        <v>1351</v>
      </c>
      <c r="K258" t="s">
        <v>1351</v>
      </c>
    </row>
    <row r="259" spans="3:11" x14ac:dyDescent="0.2">
      <c r="C259">
        <v>91711</v>
      </c>
      <c r="D259">
        <v>0</v>
      </c>
      <c r="E259">
        <v>10257626</v>
      </c>
      <c r="F259" t="s">
        <v>914</v>
      </c>
      <c r="G259" t="s">
        <v>1351</v>
      </c>
      <c r="H259" t="s">
        <v>1351</v>
      </c>
      <c r="I259" t="s">
        <v>1351</v>
      </c>
      <c r="J259" t="s">
        <v>1351</v>
      </c>
      <c r="K259" t="s">
        <v>1351</v>
      </c>
    </row>
    <row r="260" spans="3:11" x14ac:dyDescent="0.2">
      <c r="C260">
        <v>91710</v>
      </c>
      <c r="D260">
        <v>0</v>
      </c>
      <c r="E260">
        <v>10364131</v>
      </c>
      <c r="F260" t="s">
        <v>914</v>
      </c>
      <c r="G260" t="s">
        <v>1351</v>
      </c>
      <c r="H260" t="s">
        <v>1351</v>
      </c>
      <c r="I260" t="s">
        <v>1351</v>
      </c>
      <c r="J260" t="s">
        <v>1351</v>
      </c>
      <c r="K260" t="s">
        <v>1351</v>
      </c>
    </row>
    <row r="261" spans="3:11" x14ac:dyDescent="0.2">
      <c r="C261">
        <v>91766</v>
      </c>
      <c r="D261">
        <v>0</v>
      </c>
      <c r="E261">
        <v>10090606</v>
      </c>
      <c r="F261" t="s">
        <v>914</v>
      </c>
      <c r="G261" t="s">
        <v>1351</v>
      </c>
      <c r="H261" t="s">
        <v>1351</v>
      </c>
      <c r="I261" t="s">
        <v>1351</v>
      </c>
      <c r="J261" t="s">
        <v>1351</v>
      </c>
      <c r="K261" t="s">
        <v>1351</v>
      </c>
    </row>
    <row r="262" spans="3:11" x14ac:dyDescent="0.2">
      <c r="C262">
        <v>92832</v>
      </c>
      <c r="D262">
        <v>0</v>
      </c>
      <c r="E262">
        <v>106917</v>
      </c>
      <c r="F262" t="s">
        <v>914</v>
      </c>
      <c r="G262" t="s">
        <v>1374</v>
      </c>
      <c r="H262" t="s">
        <v>1374</v>
      </c>
      <c r="I262" t="s">
        <v>1374</v>
      </c>
      <c r="J262" t="s">
        <v>1374</v>
      </c>
      <c r="K262" t="s">
        <v>1374</v>
      </c>
    </row>
  </sheetData>
  <mergeCells count="12">
    <mergeCell ref="M1:W1"/>
    <mergeCell ref="M8:X8"/>
    <mergeCell ref="O12:Q12"/>
    <mergeCell ref="O13:P13"/>
    <mergeCell ref="O14:P14"/>
    <mergeCell ref="O20:P20"/>
    <mergeCell ref="O21:P21"/>
    <mergeCell ref="O15:P15"/>
    <mergeCell ref="O16:P16"/>
    <mergeCell ref="O17:P17"/>
    <mergeCell ref="O18:P18"/>
    <mergeCell ref="O19:P19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5428-D4BA-44EE-B840-CE7F79EF9CD6}">
  <dimension ref="A1:V451"/>
  <sheetViews>
    <sheetView workbookViewId="0">
      <selection activeCell="K2" sqref="K2:S3"/>
    </sheetView>
  </sheetViews>
  <sheetFormatPr baseColWidth="10" defaultColWidth="8.83203125" defaultRowHeight="15" x14ac:dyDescent="0.2"/>
  <cols>
    <col min="1" max="1" width="14.6640625" customWidth="1"/>
    <col min="2" max="2" width="15.5" bestFit="1" customWidth="1"/>
    <col min="3" max="3" width="35.5" bestFit="1" customWidth="1"/>
    <col min="4" max="7" width="34.6640625" bestFit="1" customWidth="1"/>
    <col min="8" max="8" width="25.83203125" bestFit="1" customWidth="1"/>
    <col min="10" max="10" width="32.83203125" customWidth="1"/>
    <col min="11" max="11" width="14.6640625" customWidth="1"/>
    <col min="12" max="12" width="9.1640625" bestFit="1" customWidth="1"/>
    <col min="13" max="13" width="12.6640625" customWidth="1"/>
    <col min="14" max="14" width="16.33203125" customWidth="1"/>
    <col min="15" max="15" width="17.33203125" customWidth="1"/>
    <col min="16" max="16" width="13.6640625" customWidth="1"/>
    <col min="17" max="17" width="13.83203125" customWidth="1"/>
    <col min="18" max="18" width="18.5" customWidth="1"/>
    <col min="19" max="19" width="15" customWidth="1"/>
    <col min="20" max="20" width="9.1640625" bestFit="1" customWidth="1"/>
    <col min="21" max="21" width="17.1640625" customWidth="1"/>
  </cols>
  <sheetData>
    <row r="1" spans="1:22" x14ac:dyDescent="0.2">
      <c r="A1" t="s">
        <v>2</v>
      </c>
      <c r="B1" t="s">
        <v>1349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s="79" t="s">
        <v>11</v>
      </c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2" x14ac:dyDescent="0.2">
      <c r="A2">
        <v>2138</v>
      </c>
      <c r="B2">
        <v>3000</v>
      </c>
      <c r="C2" t="s">
        <v>914</v>
      </c>
      <c r="D2" t="s">
        <v>1351</v>
      </c>
      <c r="E2" t="s">
        <v>1351</v>
      </c>
      <c r="F2" t="s">
        <v>1351</v>
      </c>
      <c r="G2" t="s">
        <v>1351</v>
      </c>
      <c r="H2" t="s">
        <v>1351</v>
      </c>
      <c r="J2" s="18"/>
      <c r="K2" s="18" t="s">
        <v>17</v>
      </c>
      <c r="L2" s="18" t="s">
        <v>18</v>
      </c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19" t="s">
        <v>25</v>
      </c>
      <c r="T2" s="20" t="s">
        <v>26</v>
      </c>
    </row>
    <row r="3" spans="1:22" x14ac:dyDescent="0.2">
      <c r="A3">
        <v>85201</v>
      </c>
      <c r="B3">
        <v>400</v>
      </c>
      <c r="C3" t="s">
        <v>914</v>
      </c>
      <c r="D3" t="s">
        <v>1351</v>
      </c>
      <c r="E3" t="s">
        <v>1351</v>
      </c>
      <c r="F3" t="s">
        <v>1351</v>
      </c>
      <c r="G3" t="s">
        <v>1351</v>
      </c>
      <c r="H3" t="s">
        <v>1351</v>
      </c>
      <c r="J3" s="10" t="s">
        <v>32</v>
      </c>
      <c r="K3" s="24" cm="1">
        <f t="array" ref="K3">SUM(COUNTIF(D:H,{"A.*","B.*"}))/T10</f>
        <v>0.17012987012987013</v>
      </c>
      <c r="L3" s="21">
        <f>COUNTIF(D:H,"T.*")/T10</f>
        <v>5.1948051948051948E-3</v>
      </c>
      <c r="M3" s="21" cm="1">
        <f t="array" ref="M3">SUM(COUNTIF(D:H,{"C.*","D.*","E.*","F.*","G.*","H.*","I.*","J.*","K.*","L.*","M.*","N.*","O.*","P.*"})/T10)</f>
        <v>6.4935064935064939E-3</v>
      </c>
      <c r="N3" s="21">
        <f>COUNTIF(D:H,"R.*")/T10</f>
        <v>3.246753246753247E-3</v>
      </c>
      <c r="O3" s="21">
        <f>COUNTIF(D:H,"U.*")/T10</f>
        <v>2.5974025974025974E-3</v>
      </c>
      <c r="P3" s="21">
        <v>0</v>
      </c>
      <c r="Q3" s="21">
        <f>COUNTIF(D:H,"Q.*")/T10</f>
        <v>0</v>
      </c>
      <c r="R3" s="21">
        <f>COUNTIF(D:H,"V.*")/T10</f>
        <v>0.79675324675324677</v>
      </c>
      <c r="S3" s="21">
        <f>COUNTIF(D:H,"S.*")/T10</f>
        <v>1.5584415584415584E-2</v>
      </c>
      <c r="T3" s="21">
        <f>SUM(K3:S3)</f>
        <v>1</v>
      </c>
    </row>
    <row r="4" spans="1:22" ht="16" x14ac:dyDescent="0.2">
      <c r="A4">
        <v>92311</v>
      </c>
      <c r="B4">
        <v>150</v>
      </c>
      <c r="C4" t="s">
        <v>914</v>
      </c>
      <c r="D4" t="s">
        <v>199</v>
      </c>
      <c r="E4" t="s">
        <v>199</v>
      </c>
      <c r="F4" t="s">
        <v>199</v>
      </c>
      <c r="G4" t="s">
        <v>199</v>
      </c>
      <c r="H4" t="s">
        <v>199</v>
      </c>
      <c r="J4" s="29" t="s">
        <v>38</v>
      </c>
      <c r="K4" s="30" cm="1">
        <f t="array" ref="K4">SUM(_xlfn.BYCOL(D:H,_xlfn.LAMBDA(_xlpm.col,SUMIF(_xlpm.col,"A.*",B:B)+SUMIF(_xlpm.col,"B.*",B:B))))/K10</f>
        <v>14.015152671755729</v>
      </c>
      <c r="L4" s="31" cm="1">
        <f t="array" ref="L4">SUM(_xlfn.BYCOL(D:H,_xlfn.LAMBDA(_xlpm.col,SUMIF(_xlpm.col,"T.*",B:B))))/L10</f>
        <v>1.4</v>
      </c>
      <c r="M4" s="32" cm="1">
        <f t="array" ref="M4">SUM(_xlfn.BYCOL($D:$H,_xlfn.LAMBDA(_xlpm.col,SUMIF(_xlpm.col,"C.*",B:B)+SUMIF(_xlpm.col,"D.*",B:B)+SUMIF(_xlpm.col,"E.*",B:B)+SUMIF(_xlpm.col,"F.*",B:B)+SUMIF(_xlpm.col,"G.*",B:B)+SUMIF(_xlpm.col,"H.*",B:B)+SUMIF(_xlpm.col,"I.*",B:B)+SUMIF(_xlpm.col,"J.*",B:B)+SUMIF(_xlpm.col,"K.*",B:B)+SUMIF(_xlpm.col,"L.*",B:B)+SUMIF(_xlpm.col,"M.*",B:B)+SUMIF(_xlpm.col,"N.*",B:B)+SUMIF(_xlpm.col,"O.*",B:B)+SUMIF(_xlpm.col,"P.*",B:B))))/M10</f>
        <v>13.3</v>
      </c>
      <c r="N4" s="32" cm="1">
        <f t="array" ref="N4">SUM(_xlfn.BYCOL(D:H,_xlfn.LAMBDA(_xlpm.col,SUMIF(_xlpm.col,"R.*",B:B))))/N10</f>
        <v>30</v>
      </c>
      <c r="O4" s="32" cm="1">
        <f t="array" ref="O4">SUM(_xlfn.BYCOL(D:H,_xlfn.LAMBDA(_xlpm.col,SUMIF(_xlpm.col,"U.*",B:B))))/O10</f>
        <v>0.89999999999999991</v>
      </c>
      <c r="P4" s="32"/>
      <c r="Q4" s="32"/>
      <c r="R4" s="32"/>
      <c r="S4" s="32" cm="1">
        <f t="array" ref="S4">SUM(_xlfn.BYCOL(D:H,_xlfn.LAMBDA(_xlpm.col,SUMIF(_xlpm.col,"S.*",B:B))))/T10</f>
        <v>1.4999999999999999E-2</v>
      </c>
      <c r="T4" s="30">
        <f>AVERAGE(K4:S4)</f>
        <v>9.9383587786259557</v>
      </c>
    </row>
    <row r="5" spans="1:22" x14ac:dyDescent="0.2">
      <c r="A5">
        <v>92555</v>
      </c>
      <c r="B5">
        <v>101</v>
      </c>
      <c r="C5" t="s">
        <v>914</v>
      </c>
      <c r="D5" t="s">
        <v>199</v>
      </c>
      <c r="E5" t="s">
        <v>199</v>
      </c>
      <c r="F5" t="s">
        <v>199</v>
      </c>
      <c r="G5" t="s">
        <v>199</v>
      </c>
      <c r="H5" t="s">
        <v>199</v>
      </c>
      <c r="J5" s="33" t="s">
        <v>44</v>
      </c>
      <c r="K5" s="33"/>
      <c r="L5" s="33"/>
      <c r="M5" s="39" cm="1">
        <f t="array" ref="M5">SUM(_xlfn.BYCOL(D:H,_xlfn.LAMBDA(_xlpm.col,SUMIF(_xlpm.col,"C.*",B:B)*2+SUMIF(_xlpm.col,"D.*",B:B)*3+SUMIF(_xlpm.col,"E.*",B:B)*4+SUMIF(_xlpm.col,"F.*",B:B)*5+SUMIF(_xlpm.col,"G.*",B:B)*6+SUMIF(_xlpm.col,"H.*",B:B)*7+SUMIF(_xlpm.col,"I.*",B:B)*8+SUMIF(_xlpm.col,"J.*",B:B)*9+SUMIF(_xlpm.col,"K.*",B:B)*10+SUMIF(_xlpm.col,"L.*",B:B)*11+SUMIF(_xlpm.col,"M.*",B:B)*12+SUMIF(_xlpm.col,"N.*",B:B)*13+SUMIF(_xlpm.col,"O.*",B:B)*14+SUMIF(_xlpm.col,"P.*",B:B)*15)))/M10</f>
        <v>26.6</v>
      </c>
      <c r="N5" s="33"/>
      <c r="O5" s="33"/>
      <c r="P5" s="33"/>
      <c r="Q5" s="33"/>
      <c r="R5" s="33"/>
      <c r="S5" s="33"/>
      <c r="T5" s="33"/>
    </row>
    <row r="6" spans="1:22" x14ac:dyDescent="0.2">
      <c r="A6">
        <v>92344</v>
      </c>
      <c r="B6">
        <v>96</v>
      </c>
      <c r="C6" t="s">
        <v>914</v>
      </c>
      <c r="D6" t="s">
        <v>199</v>
      </c>
      <c r="E6" t="s">
        <v>199</v>
      </c>
      <c r="F6" t="s">
        <v>199</v>
      </c>
      <c r="G6" t="s">
        <v>199</v>
      </c>
      <c r="H6" t="s">
        <v>199</v>
      </c>
      <c r="J6" s="40" t="s">
        <v>47</v>
      </c>
      <c r="K6" s="40"/>
      <c r="L6" s="40"/>
      <c r="M6" s="41">
        <f>M5/M4</f>
        <v>2</v>
      </c>
      <c r="N6" s="40"/>
      <c r="O6" s="40"/>
      <c r="P6" s="40"/>
      <c r="Q6" s="40"/>
      <c r="R6" s="40"/>
      <c r="S6" s="40"/>
      <c r="T6" s="40"/>
    </row>
    <row r="7" spans="1:22" x14ac:dyDescent="0.2">
      <c r="A7">
        <v>92346</v>
      </c>
      <c r="B7">
        <v>89</v>
      </c>
      <c r="C7" t="s">
        <v>914</v>
      </c>
      <c r="D7" t="s">
        <v>199</v>
      </c>
      <c r="E7" t="s">
        <v>199</v>
      </c>
      <c r="F7" t="s">
        <v>199</v>
      </c>
      <c r="G7" t="s">
        <v>199</v>
      </c>
      <c r="H7" t="s">
        <v>199</v>
      </c>
      <c r="M7" s="35"/>
    </row>
    <row r="8" spans="1:22" x14ac:dyDescent="0.2">
      <c r="A8">
        <v>92408</v>
      </c>
      <c r="B8">
        <v>88</v>
      </c>
      <c r="C8" t="s">
        <v>914</v>
      </c>
      <c r="D8" t="s">
        <v>199</v>
      </c>
      <c r="E8" t="s">
        <v>199</v>
      </c>
      <c r="F8" t="s">
        <v>199</v>
      </c>
      <c r="G8" t="s">
        <v>199</v>
      </c>
      <c r="H8" t="s">
        <v>199</v>
      </c>
      <c r="J8" s="69" t="s">
        <v>54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0"/>
    </row>
    <row r="9" spans="1:22" x14ac:dyDescent="0.2">
      <c r="A9">
        <v>92408</v>
      </c>
      <c r="B9">
        <v>88</v>
      </c>
      <c r="C9" t="s">
        <v>914</v>
      </c>
      <c r="D9" t="s">
        <v>199</v>
      </c>
      <c r="E9" t="s">
        <v>199</v>
      </c>
      <c r="F9" t="s">
        <v>199</v>
      </c>
      <c r="G9" t="s">
        <v>199</v>
      </c>
      <c r="H9" t="s">
        <v>199</v>
      </c>
      <c r="J9" s="36"/>
      <c r="K9" s="36" t="s">
        <v>17</v>
      </c>
      <c r="L9" s="36" t="s">
        <v>18</v>
      </c>
      <c r="M9" s="36" t="s">
        <v>19</v>
      </c>
      <c r="N9" s="36" t="s">
        <v>20</v>
      </c>
      <c r="O9" s="36" t="s">
        <v>21</v>
      </c>
      <c r="P9" s="36" t="s">
        <v>22</v>
      </c>
      <c r="Q9" s="36" t="s">
        <v>23</v>
      </c>
      <c r="R9" s="36" t="s">
        <v>24</v>
      </c>
      <c r="S9" s="36" t="s">
        <v>25</v>
      </c>
      <c r="T9" s="37" t="s">
        <v>26</v>
      </c>
      <c r="U9" s="36" t="s">
        <v>59</v>
      </c>
    </row>
    <row r="10" spans="1:22" x14ac:dyDescent="0.2">
      <c r="A10">
        <v>92504</v>
      </c>
      <c r="B10">
        <v>88</v>
      </c>
      <c r="C10" t="s">
        <v>914</v>
      </c>
      <c r="D10" t="s">
        <v>199</v>
      </c>
      <c r="E10" t="s">
        <v>199</v>
      </c>
      <c r="F10" t="s">
        <v>199</v>
      </c>
      <c r="G10" t="s">
        <v>199</v>
      </c>
      <c r="H10" t="s">
        <v>199</v>
      </c>
      <c r="J10" s="4" t="s">
        <v>63</v>
      </c>
      <c r="K10" s="4" cm="1">
        <f t="array" ref="K10">SUM(COUNTIF(D:H,{"A.*","B.*"}))</f>
        <v>262</v>
      </c>
      <c r="L10" s="4">
        <f>COUNTIF(D:H,"T.*")</f>
        <v>8</v>
      </c>
      <c r="M10" s="4" cm="1">
        <f t="array" ref="M10">SUM(COUNTIF(D:H,{"C.*","D.*","E.*","F.*","G.*","H.*","I.*","J.*","K.*","L.*","M.*","N.*","O.*","P.*"}))</f>
        <v>10</v>
      </c>
      <c r="N10" s="23">
        <f>COUNTIF(D:H,"R.*")</f>
        <v>5</v>
      </c>
      <c r="O10" s="4">
        <f>COUNTIF(D:H,"U.*")</f>
        <v>4</v>
      </c>
      <c r="P10" s="4">
        <v>0</v>
      </c>
      <c r="Q10" s="4">
        <f>COUNTIF(D:H,"Q.*")</f>
        <v>0</v>
      </c>
      <c r="R10" s="4">
        <f>COUNTIF(D:H,"V.*")</f>
        <v>1227</v>
      </c>
      <c r="S10" s="4">
        <f>COUNTIF(D:H,"S.*")</f>
        <v>24</v>
      </c>
      <c r="T10" s="14">
        <f>SUM(K10:S10)</f>
        <v>1540</v>
      </c>
      <c r="U10" s="4">
        <f>COUNTIFS($D$2:$H$1000,"&lt;&gt;",$D$2:$H$1000,"&lt;&gt;OFF.*",$D$2:$H$1000,"&lt;&gt;AA.*",$D$2:$H$1000,"&lt;&gt;BB.*",$D$2:$H$1000,"&lt;&gt;W.*",$D$2:$H$1000,"&lt;&gt;X.*",$D$2:$H$1000,"&lt;&gt;CC.*")</f>
        <v>1540</v>
      </c>
      <c r="V10" s="4"/>
    </row>
    <row r="11" spans="1:22" x14ac:dyDescent="0.2">
      <c r="A11">
        <v>92408</v>
      </c>
      <c r="B11">
        <v>88</v>
      </c>
      <c r="C11" t="s">
        <v>914</v>
      </c>
      <c r="D11" t="s">
        <v>199</v>
      </c>
      <c r="E11" t="s">
        <v>199</v>
      </c>
      <c r="F11" t="s">
        <v>199</v>
      </c>
      <c r="G11" t="s">
        <v>199</v>
      </c>
      <c r="H11" t="s">
        <v>199</v>
      </c>
    </row>
    <row r="12" spans="1:22" ht="16" x14ac:dyDescent="0.2">
      <c r="A12">
        <v>92404</v>
      </c>
      <c r="B12">
        <v>86</v>
      </c>
      <c r="C12" t="s">
        <v>914</v>
      </c>
      <c r="D12" t="s">
        <v>199</v>
      </c>
      <c r="E12" t="s">
        <v>199</v>
      </c>
      <c r="F12" t="s">
        <v>199</v>
      </c>
      <c r="G12" t="s">
        <v>199</v>
      </c>
      <c r="H12" t="s">
        <v>199</v>
      </c>
      <c r="J12" s="38" t="s">
        <v>1386</v>
      </c>
      <c r="L12" s="69" t="s">
        <v>69</v>
      </c>
      <c r="M12" s="73"/>
      <c r="N12" s="70"/>
    </row>
    <row r="13" spans="1:22" ht="16" x14ac:dyDescent="0.2">
      <c r="A13">
        <v>92404</v>
      </c>
      <c r="B13">
        <v>86</v>
      </c>
      <c r="C13" t="s">
        <v>914</v>
      </c>
      <c r="D13" t="s">
        <v>199</v>
      </c>
      <c r="E13" t="s">
        <v>199</v>
      </c>
      <c r="F13" t="s">
        <v>199</v>
      </c>
      <c r="G13" t="s">
        <v>199</v>
      </c>
      <c r="H13" t="s">
        <v>199</v>
      </c>
      <c r="J13" s="63" t="s">
        <v>1353</v>
      </c>
      <c r="L13" s="74" t="s">
        <v>75</v>
      </c>
      <c r="M13" s="74"/>
      <c r="N13" s="36">
        <f>2*T10/COUNTIF(A2:A1000,"&lt;&gt;")</f>
        <v>6.8444444444444441</v>
      </c>
    </row>
    <row r="14" spans="1:22" ht="16" x14ac:dyDescent="0.2">
      <c r="A14">
        <v>92410</v>
      </c>
      <c r="B14">
        <v>86</v>
      </c>
      <c r="C14" t="s">
        <v>914</v>
      </c>
      <c r="D14" t="s">
        <v>199</v>
      </c>
      <c r="E14" t="s">
        <v>199</v>
      </c>
      <c r="F14" t="s">
        <v>199</v>
      </c>
      <c r="G14" t="s">
        <v>199</v>
      </c>
      <c r="H14" t="s">
        <v>199</v>
      </c>
      <c r="J14" s="63" t="s">
        <v>1355</v>
      </c>
      <c r="L14" s="72" t="s">
        <v>82</v>
      </c>
      <c r="M14" s="72"/>
      <c r="N14" s="4">
        <v>682</v>
      </c>
    </row>
    <row r="15" spans="1:22" ht="16" x14ac:dyDescent="0.2">
      <c r="A15">
        <v>92503</v>
      </c>
      <c r="B15">
        <v>84</v>
      </c>
      <c r="C15" t="s">
        <v>914</v>
      </c>
      <c r="D15" t="s">
        <v>199</v>
      </c>
      <c r="E15" t="s">
        <v>199</v>
      </c>
      <c r="F15" t="s">
        <v>199</v>
      </c>
      <c r="G15" t="s">
        <v>199</v>
      </c>
      <c r="H15" t="s">
        <v>199</v>
      </c>
      <c r="J15" s="63" t="s">
        <v>1352</v>
      </c>
      <c r="L15" s="75" t="s">
        <v>86</v>
      </c>
      <c r="M15" s="75"/>
      <c r="N15" s="59">
        <f>COUNTIF(A2:A1000,"&lt;&gt;")</f>
        <v>450</v>
      </c>
    </row>
    <row r="16" spans="1:22" ht="16" x14ac:dyDescent="0.2">
      <c r="A16">
        <v>92407</v>
      </c>
      <c r="B16">
        <v>83</v>
      </c>
      <c r="C16" t="s">
        <v>914</v>
      </c>
      <c r="D16" t="s">
        <v>199</v>
      </c>
      <c r="E16" t="s">
        <v>199</v>
      </c>
      <c r="F16" t="s">
        <v>199</v>
      </c>
      <c r="G16" t="s">
        <v>199</v>
      </c>
      <c r="H16" t="s">
        <v>199</v>
      </c>
      <c r="J16" s="63" t="s">
        <v>1356</v>
      </c>
      <c r="L16" s="72" t="s">
        <v>93</v>
      </c>
      <c r="M16" s="69"/>
      <c r="N16" s="61">
        <f>N15/N14</f>
        <v>0.65982404692082108</v>
      </c>
    </row>
    <row r="17" spans="1:14" ht="16" x14ac:dyDescent="0.2">
      <c r="A17">
        <v>92505</v>
      </c>
      <c r="B17">
        <v>83</v>
      </c>
      <c r="C17" t="s">
        <v>914</v>
      </c>
      <c r="D17" t="s">
        <v>199</v>
      </c>
      <c r="E17" t="s">
        <v>199</v>
      </c>
      <c r="F17" t="s">
        <v>199</v>
      </c>
      <c r="G17" t="s">
        <v>199</v>
      </c>
      <c r="H17" t="s">
        <v>199</v>
      </c>
      <c r="J17" s="63" t="s">
        <v>1357</v>
      </c>
      <c r="L17" s="77" t="s">
        <v>99</v>
      </c>
      <c r="M17" s="78"/>
      <c r="N17" s="60">
        <v>49</v>
      </c>
    </row>
    <row r="18" spans="1:14" ht="16" x14ac:dyDescent="0.2">
      <c r="A18">
        <v>92316</v>
      </c>
      <c r="B18">
        <v>80</v>
      </c>
      <c r="C18" t="s">
        <v>914</v>
      </c>
      <c r="D18" t="s">
        <v>199</v>
      </c>
      <c r="E18" t="s">
        <v>199</v>
      </c>
      <c r="F18" t="s">
        <v>199</v>
      </c>
      <c r="G18" t="s">
        <v>199</v>
      </c>
      <c r="H18" t="s">
        <v>199</v>
      </c>
      <c r="J18" s="63" t="s">
        <v>1359</v>
      </c>
      <c r="L18" s="69" t="s">
        <v>104</v>
      </c>
      <c r="M18" s="70"/>
      <c r="N18" s="4">
        <f>AVERAGE(B6:B1000)</f>
        <v>23.696524663677152</v>
      </c>
    </row>
    <row r="19" spans="1:14" ht="16" x14ac:dyDescent="0.2">
      <c r="A19">
        <v>92376</v>
      </c>
      <c r="B19">
        <v>80</v>
      </c>
      <c r="C19" t="s">
        <v>914</v>
      </c>
      <c r="D19" t="s">
        <v>199</v>
      </c>
      <c r="E19" t="s">
        <v>199</v>
      </c>
      <c r="F19" t="s">
        <v>199</v>
      </c>
      <c r="G19" t="s">
        <v>199</v>
      </c>
      <c r="H19" t="s">
        <v>199</v>
      </c>
      <c r="J19" s="63" t="s">
        <v>1360</v>
      </c>
      <c r="L19" s="69" t="s">
        <v>109</v>
      </c>
      <c r="M19" s="70"/>
      <c r="N19" s="4">
        <f>MEDIAN(B2:B1000)</f>
        <v>12</v>
      </c>
    </row>
    <row r="20" spans="1:14" ht="16" x14ac:dyDescent="0.2">
      <c r="A20">
        <v>92376</v>
      </c>
      <c r="B20">
        <v>80</v>
      </c>
      <c r="C20" t="s">
        <v>914</v>
      </c>
      <c r="D20" t="s">
        <v>199</v>
      </c>
      <c r="E20" t="s">
        <v>199</v>
      </c>
      <c r="F20" t="s">
        <v>199</v>
      </c>
      <c r="G20" t="s">
        <v>199</v>
      </c>
      <c r="H20" t="s">
        <v>199</v>
      </c>
      <c r="J20" s="63" t="s">
        <v>1361</v>
      </c>
      <c r="L20" s="69" t="s">
        <v>114</v>
      </c>
      <c r="M20" s="70"/>
      <c r="N20" s="4">
        <f>SUM(B2:B1000)</f>
        <v>14219.650000000011</v>
      </c>
    </row>
    <row r="21" spans="1:14" ht="16" x14ac:dyDescent="0.2">
      <c r="A21">
        <v>92509</v>
      </c>
      <c r="B21">
        <v>79</v>
      </c>
      <c r="C21" t="s">
        <v>914</v>
      </c>
      <c r="D21" t="s">
        <v>199</v>
      </c>
      <c r="E21" t="s">
        <v>199</v>
      </c>
      <c r="F21" t="s">
        <v>199</v>
      </c>
      <c r="G21" t="s">
        <v>199</v>
      </c>
      <c r="H21" t="s">
        <v>199</v>
      </c>
      <c r="J21" s="63" t="s">
        <v>1362</v>
      </c>
      <c r="L21" s="69" t="s">
        <v>119</v>
      </c>
      <c r="M21" s="70"/>
      <c r="N21" s="61">
        <f>COUNTIF(B:B,"&lt;=5")/N15</f>
        <v>0.32444444444444442</v>
      </c>
    </row>
    <row r="22" spans="1:14" ht="16" x14ac:dyDescent="0.2">
      <c r="A22">
        <v>92509</v>
      </c>
      <c r="B22">
        <v>79</v>
      </c>
      <c r="C22" t="s">
        <v>914</v>
      </c>
      <c r="D22" t="s">
        <v>199</v>
      </c>
      <c r="E22" t="s">
        <v>199</v>
      </c>
      <c r="F22" t="s">
        <v>199</v>
      </c>
      <c r="G22" t="s">
        <v>199</v>
      </c>
      <c r="H22" t="s">
        <v>199</v>
      </c>
      <c r="J22" s="63" t="s">
        <v>1363</v>
      </c>
    </row>
    <row r="23" spans="1:14" ht="16" x14ac:dyDescent="0.2">
      <c r="A23">
        <v>92337</v>
      </c>
      <c r="B23">
        <v>78</v>
      </c>
      <c r="C23" t="s">
        <v>914</v>
      </c>
      <c r="D23" t="s">
        <v>199</v>
      </c>
      <c r="E23" t="s">
        <v>199</v>
      </c>
      <c r="F23" t="s">
        <v>199</v>
      </c>
      <c r="G23" t="s">
        <v>199</v>
      </c>
      <c r="H23" t="s">
        <v>199</v>
      </c>
      <c r="J23" s="63" t="s">
        <v>1364</v>
      </c>
    </row>
    <row r="24" spans="1:14" ht="16" x14ac:dyDescent="0.2">
      <c r="A24">
        <v>92337</v>
      </c>
      <c r="B24">
        <v>78</v>
      </c>
      <c r="C24" t="s">
        <v>914</v>
      </c>
      <c r="D24" t="s">
        <v>199</v>
      </c>
      <c r="E24" t="s">
        <v>199</v>
      </c>
      <c r="F24" t="s">
        <v>199</v>
      </c>
      <c r="G24" t="s">
        <v>199</v>
      </c>
      <c r="H24" t="s">
        <v>199</v>
      </c>
      <c r="J24" s="63" t="s">
        <v>1365</v>
      </c>
    </row>
    <row r="25" spans="1:14" ht="16" x14ac:dyDescent="0.2">
      <c r="A25">
        <v>92377</v>
      </c>
      <c r="B25">
        <v>78</v>
      </c>
      <c r="C25" t="s">
        <v>914</v>
      </c>
      <c r="D25" t="s">
        <v>199</v>
      </c>
      <c r="E25" t="s">
        <v>199</v>
      </c>
      <c r="F25" t="s">
        <v>199</v>
      </c>
      <c r="G25" t="s">
        <v>199</v>
      </c>
      <c r="H25" t="s">
        <v>199</v>
      </c>
      <c r="J25" s="63" t="s">
        <v>1366</v>
      </c>
    </row>
    <row r="26" spans="1:14" ht="16" x14ac:dyDescent="0.2">
      <c r="A26">
        <v>92377</v>
      </c>
      <c r="B26">
        <v>78</v>
      </c>
      <c r="C26" t="s">
        <v>914</v>
      </c>
      <c r="D26" t="s">
        <v>199</v>
      </c>
      <c r="E26" t="s">
        <v>199</v>
      </c>
      <c r="F26" t="s">
        <v>199</v>
      </c>
      <c r="G26" t="s">
        <v>199</v>
      </c>
      <c r="H26" t="s">
        <v>199</v>
      </c>
      <c r="J26" s="63" t="s">
        <v>1368</v>
      </c>
    </row>
    <row r="27" spans="1:14" ht="16" x14ac:dyDescent="0.2">
      <c r="A27">
        <v>92335</v>
      </c>
      <c r="B27">
        <v>76</v>
      </c>
      <c r="C27" t="s">
        <v>914</v>
      </c>
      <c r="D27" t="s">
        <v>199</v>
      </c>
      <c r="E27" t="s">
        <v>199</v>
      </c>
      <c r="F27" t="s">
        <v>199</v>
      </c>
      <c r="G27" t="s">
        <v>199</v>
      </c>
      <c r="H27" t="s">
        <v>199</v>
      </c>
      <c r="J27" s="63" t="s">
        <v>1369</v>
      </c>
    </row>
    <row r="28" spans="1:14" ht="16" x14ac:dyDescent="0.2">
      <c r="A28">
        <v>92335</v>
      </c>
      <c r="B28">
        <v>76</v>
      </c>
      <c r="C28" t="s">
        <v>914</v>
      </c>
      <c r="D28" t="s">
        <v>199</v>
      </c>
      <c r="E28" t="s">
        <v>199</v>
      </c>
      <c r="F28" t="s">
        <v>199</v>
      </c>
      <c r="G28" t="s">
        <v>199</v>
      </c>
      <c r="H28" t="s">
        <v>199</v>
      </c>
      <c r="J28" s="63" t="s">
        <v>1370</v>
      </c>
    </row>
    <row r="29" spans="1:14" ht="16" x14ac:dyDescent="0.2">
      <c r="A29">
        <v>92335</v>
      </c>
      <c r="B29">
        <v>76</v>
      </c>
      <c r="C29" t="s">
        <v>914</v>
      </c>
      <c r="D29" t="s">
        <v>199</v>
      </c>
      <c r="E29" t="s">
        <v>199</v>
      </c>
      <c r="F29" t="s">
        <v>199</v>
      </c>
      <c r="G29" t="s">
        <v>199</v>
      </c>
      <c r="H29" t="s">
        <v>199</v>
      </c>
      <c r="J29" s="63" t="s">
        <v>1371</v>
      </c>
    </row>
    <row r="30" spans="1:14" ht="16" x14ac:dyDescent="0.2">
      <c r="A30">
        <v>92335</v>
      </c>
      <c r="B30">
        <v>76</v>
      </c>
      <c r="C30" t="s">
        <v>914</v>
      </c>
      <c r="D30" t="s">
        <v>199</v>
      </c>
      <c r="E30" t="s">
        <v>199</v>
      </c>
      <c r="F30" t="s">
        <v>199</v>
      </c>
      <c r="G30" t="s">
        <v>199</v>
      </c>
      <c r="H30" t="s">
        <v>199</v>
      </c>
      <c r="J30" s="63" t="s">
        <v>1367</v>
      </c>
    </row>
    <row r="31" spans="1:14" ht="16" x14ac:dyDescent="0.2">
      <c r="A31">
        <v>92335</v>
      </c>
      <c r="B31">
        <v>76</v>
      </c>
      <c r="C31" t="s">
        <v>914</v>
      </c>
      <c r="D31" t="s">
        <v>199</v>
      </c>
      <c r="E31" t="s">
        <v>199</v>
      </c>
      <c r="F31" t="s">
        <v>199</v>
      </c>
      <c r="G31" t="s">
        <v>199</v>
      </c>
      <c r="H31" t="s">
        <v>199</v>
      </c>
      <c r="J31" s="63" t="s">
        <v>1372</v>
      </c>
    </row>
    <row r="32" spans="1:14" ht="16" x14ac:dyDescent="0.2">
      <c r="A32">
        <v>92262</v>
      </c>
      <c r="B32">
        <v>75</v>
      </c>
      <c r="C32" t="s">
        <v>914</v>
      </c>
      <c r="D32" t="s">
        <v>1351</v>
      </c>
      <c r="E32" t="s">
        <v>1351</v>
      </c>
      <c r="F32" t="s">
        <v>1351</v>
      </c>
      <c r="G32" t="s">
        <v>1351</v>
      </c>
      <c r="H32" t="s">
        <v>1351</v>
      </c>
      <c r="J32" s="63" t="s">
        <v>1373</v>
      </c>
    </row>
    <row r="33" spans="1:10" ht="16" x14ac:dyDescent="0.2">
      <c r="A33">
        <v>91752</v>
      </c>
      <c r="B33">
        <v>74</v>
      </c>
      <c r="C33" t="s">
        <v>914</v>
      </c>
      <c r="D33" t="s">
        <v>199</v>
      </c>
      <c r="E33" t="s">
        <v>199</v>
      </c>
      <c r="F33" t="s">
        <v>199</v>
      </c>
      <c r="G33" t="s">
        <v>199</v>
      </c>
      <c r="H33" t="s">
        <v>199</v>
      </c>
      <c r="J33" s="63" t="s">
        <v>1358</v>
      </c>
    </row>
    <row r="34" spans="1:10" ht="16" x14ac:dyDescent="0.2">
      <c r="A34">
        <v>92336</v>
      </c>
      <c r="B34">
        <v>73</v>
      </c>
      <c r="C34" t="s">
        <v>914</v>
      </c>
      <c r="D34" t="s">
        <v>199</v>
      </c>
      <c r="E34" t="s">
        <v>199</v>
      </c>
      <c r="F34" t="s">
        <v>199</v>
      </c>
      <c r="G34" t="s">
        <v>199</v>
      </c>
      <c r="H34" t="s">
        <v>199</v>
      </c>
      <c r="J34" s="63" t="s">
        <v>1351</v>
      </c>
    </row>
    <row r="35" spans="1:10" ht="16" x14ac:dyDescent="0.2">
      <c r="A35">
        <v>91739</v>
      </c>
      <c r="B35">
        <v>70</v>
      </c>
      <c r="C35" t="s">
        <v>914</v>
      </c>
      <c r="D35" t="s">
        <v>199</v>
      </c>
      <c r="E35" t="s">
        <v>199</v>
      </c>
      <c r="F35" t="s">
        <v>199</v>
      </c>
      <c r="G35" t="s">
        <v>199</v>
      </c>
      <c r="H35" t="s">
        <v>199</v>
      </c>
      <c r="J35" s="63" t="s">
        <v>1374</v>
      </c>
    </row>
    <row r="36" spans="1:10" ht="16" x14ac:dyDescent="0.2">
      <c r="A36">
        <v>91761</v>
      </c>
      <c r="B36">
        <v>70</v>
      </c>
      <c r="C36" t="s">
        <v>914</v>
      </c>
      <c r="D36" t="s">
        <v>199</v>
      </c>
      <c r="E36" t="s">
        <v>199</v>
      </c>
      <c r="F36" t="s">
        <v>199</v>
      </c>
      <c r="G36" t="s">
        <v>199</v>
      </c>
      <c r="H36" t="s">
        <v>199</v>
      </c>
      <c r="J36" s="63" t="s">
        <v>179</v>
      </c>
    </row>
    <row r="37" spans="1:10" ht="16" x14ac:dyDescent="0.2">
      <c r="A37">
        <v>91730</v>
      </c>
      <c r="B37">
        <v>68</v>
      </c>
      <c r="C37" t="s">
        <v>914</v>
      </c>
      <c r="D37" t="s">
        <v>199</v>
      </c>
      <c r="E37" t="s">
        <v>199</v>
      </c>
      <c r="F37" t="s">
        <v>199</v>
      </c>
      <c r="G37" t="s">
        <v>199</v>
      </c>
      <c r="H37" t="s">
        <v>199</v>
      </c>
      <c r="J37" s="63" t="s">
        <v>191</v>
      </c>
    </row>
    <row r="38" spans="1:10" ht="16" x14ac:dyDescent="0.2">
      <c r="A38">
        <v>91730</v>
      </c>
      <c r="B38">
        <v>68</v>
      </c>
      <c r="C38" t="s">
        <v>914</v>
      </c>
      <c r="D38" t="s">
        <v>199</v>
      </c>
      <c r="E38" t="s">
        <v>199</v>
      </c>
      <c r="F38" t="s">
        <v>199</v>
      </c>
      <c r="G38" t="s">
        <v>199</v>
      </c>
      <c r="H38" t="s">
        <v>199</v>
      </c>
      <c r="J38" s="63" t="s">
        <v>195</v>
      </c>
    </row>
    <row r="39" spans="1:10" ht="16" x14ac:dyDescent="0.2">
      <c r="A39">
        <v>91730</v>
      </c>
      <c r="B39">
        <v>68</v>
      </c>
      <c r="C39" t="s">
        <v>914</v>
      </c>
      <c r="D39" t="s">
        <v>199</v>
      </c>
      <c r="E39" t="s">
        <v>199</v>
      </c>
      <c r="F39" t="s">
        <v>199</v>
      </c>
      <c r="G39" t="s">
        <v>199</v>
      </c>
      <c r="H39" t="s">
        <v>199</v>
      </c>
      <c r="J39" s="63" t="s">
        <v>199</v>
      </c>
    </row>
    <row r="40" spans="1:10" ht="16" x14ac:dyDescent="0.2">
      <c r="A40">
        <v>91730</v>
      </c>
      <c r="B40">
        <v>68</v>
      </c>
      <c r="C40" t="s">
        <v>914</v>
      </c>
      <c r="D40" t="s">
        <v>199</v>
      </c>
      <c r="E40" t="s">
        <v>199</v>
      </c>
      <c r="F40" t="s">
        <v>199</v>
      </c>
      <c r="G40" t="s">
        <v>199</v>
      </c>
      <c r="H40" t="s">
        <v>199</v>
      </c>
      <c r="J40" s="64" t="s">
        <v>202</v>
      </c>
    </row>
    <row r="41" spans="1:10" x14ac:dyDescent="0.2">
      <c r="A41">
        <v>91730</v>
      </c>
      <c r="B41">
        <v>68</v>
      </c>
      <c r="C41" t="s">
        <v>914</v>
      </c>
      <c r="D41" t="s">
        <v>199</v>
      </c>
      <c r="E41" t="s">
        <v>199</v>
      </c>
      <c r="F41" t="s">
        <v>199</v>
      </c>
      <c r="G41" t="s">
        <v>199</v>
      </c>
      <c r="H41" t="s">
        <v>199</v>
      </c>
    </row>
    <row r="42" spans="1:10" x14ac:dyDescent="0.2">
      <c r="A42">
        <v>91764</v>
      </c>
      <c r="B42">
        <v>67</v>
      </c>
      <c r="C42" t="s">
        <v>914</v>
      </c>
      <c r="D42" t="s">
        <v>199</v>
      </c>
      <c r="E42" t="s">
        <v>199</v>
      </c>
      <c r="F42" t="s">
        <v>199</v>
      </c>
      <c r="G42" t="s">
        <v>199</v>
      </c>
      <c r="H42" t="s">
        <v>199</v>
      </c>
    </row>
    <row r="43" spans="1:10" x14ac:dyDescent="0.2">
      <c r="A43">
        <v>91764</v>
      </c>
      <c r="B43">
        <v>67</v>
      </c>
      <c r="C43" t="s">
        <v>914</v>
      </c>
      <c r="D43" t="s">
        <v>199</v>
      </c>
      <c r="E43" t="s">
        <v>199</v>
      </c>
      <c r="F43" t="s">
        <v>199</v>
      </c>
      <c r="G43" t="s">
        <v>199</v>
      </c>
      <c r="H43" t="s">
        <v>199</v>
      </c>
    </row>
    <row r="44" spans="1:10" x14ac:dyDescent="0.2">
      <c r="A44">
        <v>91764</v>
      </c>
      <c r="B44">
        <v>67</v>
      </c>
      <c r="C44" t="s">
        <v>914</v>
      </c>
      <c r="D44" t="s">
        <v>199</v>
      </c>
      <c r="E44" t="s">
        <v>199</v>
      </c>
      <c r="F44" t="s">
        <v>199</v>
      </c>
      <c r="G44" t="s">
        <v>199</v>
      </c>
      <c r="H44" t="s">
        <v>199</v>
      </c>
    </row>
    <row r="45" spans="1:10" x14ac:dyDescent="0.2">
      <c r="A45">
        <v>91764</v>
      </c>
      <c r="B45">
        <v>67</v>
      </c>
      <c r="C45" t="s">
        <v>914</v>
      </c>
      <c r="D45" t="s">
        <v>199</v>
      </c>
      <c r="E45" t="s">
        <v>199</v>
      </c>
      <c r="F45" t="s">
        <v>199</v>
      </c>
      <c r="G45" t="s">
        <v>199</v>
      </c>
      <c r="H45" t="s">
        <v>199</v>
      </c>
    </row>
    <row r="46" spans="1:10" x14ac:dyDescent="0.2">
      <c r="A46">
        <v>91764</v>
      </c>
      <c r="B46">
        <v>67</v>
      </c>
      <c r="C46" t="s">
        <v>914</v>
      </c>
      <c r="D46" t="s">
        <v>199</v>
      </c>
      <c r="E46" t="s">
        <v>199</v>
      </c>
      <c r="F46" t="s">
        <v>199</v>
      </c>
      <c r="G46" t="s">
        <v>199</v>
      </c>
      <c r="H46" t="s">
        <v>199</v>
      </c>
    </row>
    <row r="47" spans="1:10" x14ac:dyDescent="0.2">
      <c r="A47">
        <v>91764</v>
      </c>
      <c r="B47">
        <v>67</v>
      </c>
      <c r="C47" t="s">
        <v>914</v>
      </c>
      <c r="D47" t="s">
        <v>199</v>
      </c>
      <c r="E47" t="s">
        <v>199</v>
      </c>
      <c r="F47" t="s">
        <v>199</v>
      </c>
      <c r="G47" t="s">
        <v>199</v>
      </c>
      <c r="H47" t="s">
        <v>199</v>
      </c>
    </row>
    <row r="48" spans="1:10" x14ac:dyDescent="0.2">
      <c r="A48">
        <v>91764</v>
      </c>
      <c r="B48">
        <v>67</v>
      </c>
      <c r="C48" t="s">
        <v>914</v>
      </c>
      <c r="D48" t="s">
        <v>199</v>
      </c>
      <c r="E48" t="s">
        <v>199</v>
      </c>
      <c r="F48" t="s">
        <v>199</v>
      </c>
      <c r="G48" t="s">
        <v>199</v>
      </c>
      <c r="H48" t="s">
        <v>199</v>
      </c>
    </row>
    <row r="49" spans="1:8" x14ac:dyDescent="0.2">
      <c r="A49">
        <v>91764</v>
      </c>
      <c r="B49">
        <v>67</v>
      </c>
      <c r="C49" t="s">
        <v>914</v>
      </c>
      <c r="D49" t="s">
        <v>199</v>
      </c>
      <c r="E49" t="s">
        <v>199</v>
      </c>
      <c r="F49" t="s">
        <v>199</v>
      </c>
      <c r="G49" t="s">
        <v>199</v>
      </c>
      <c r="H49" t="s">
        <v>199</v>
      </c>
    </row>
    <row r="50" spans="1:8" x14ac:dyDescent="0.2">
      <c r="A50">
        <v>91764</v>
      </c>
      <c r="B50">
        <v>67</v>
      </c>
      <c r="C50" t="s">
        <v>914</v>
      </c>
      <c r="D50" t="s">
        <v>199</v>
      </c>
      <c r="E50" t="s">
        <v>199</v>
      </c>
      <c r="F50" t="s">
        <v>199</v>
      </c>
      <c r="G50" t="s">
        <v>199</v>
      </c>
      <c r="H50" t="s">
        <v>199</v>
      </c>
    </row>
    <row r="51" spans="1:8" x14ac:dyDescent="0.2">
      <c r="A51">
        <v>91764</v>
      </c>
      <c r="B51">
        <v>67</v>
      </c>
      <c r="C51" t="s">
        <v>914</v>
      </c>
      <c r="D51" t="s">
        <v>199</v>
      </c>
      <c r="E51" t="s">
        <v>199</v>
      </c>
      <c r="F51" t="s">
        <v>199</v>
      </c>
      <c r="G51" t="s">
        <v>199</v>
      </c>
      <c r="H51" t="s">
        <v>199</v>
      </c>
    </row>
    <row r="52" spans="1:8" x14ac:dyDescent="0.2">
      <c r="A52">
        <v>91709</v>
      </c>
      <c r="B52">
        <v>66</v>
      </c>
      <c r="C52" t="s">
        <v>914</v>
      </c>
      <c r="D52" t="s">
        <v>199</v>
      </c>
      <c r="E52" t="s">
        <v>199</v>
      </c>
      <c r="F52" t="s">
        <v>199</v>
      </c>
      <c r="G52" t="s">
        <v>199</v>
      </c>
      <c r="H52" t="s">
        <v>199</v>
      </c>
    </row>
    <row r="53" spans="1:8" x14ac:dyDescent="0.2">
      <c r="A53">
        <v>91762</v>
      </c>
      <c r="B53">
        <v>66</v>
      </c>
      <c r="C53" t="s">
        <v>914</v>
      </c>
      <c r="D53" t="s">
        <v>199</v>
      </c>
      <c r="E53" t="s">
        <v>199</v>
      </c>
      <c r="F53" t="s">
        <v>199</v>
      </c>
      <c r="G53" t="s">
        <v>199</v>
      </c>
      <c r="H53" t="s">
        <v>199</v>
      </c>
    </row>
    <row r="54" spans="1:8" x14ac:dyDescent="0.2">
      <c r="A54">
        <v>91762</v>
      </c>
      <c r="B54">
        <v>66</v>
      </c>
      <c r="C54" t="s">
        <v>914</v>
      </c>
      <c r="D54" t="s">
        <v>199</v>
      </c>
      <c r="E54" t="s">
        <v>199</v>
      </c>
      <c r="F54" t="s">
        <v>199</v>
      </c>
      <c r="G54" t="s">
        <v>199</v>
      </c>
      <c r="H54" t="s">
        <v>199</v>
      </c>
    </row>
    <row r="55" spans="1:8" x14ac:dyDescent="0.2">
      <c r="A55">
        <v>91762</v>
      </c>
      <c r="B55">
        <v>66</v>
      </c>
      <c r="C55" t="s">
        <v>914</v>
      </c>
      <c r="D55" t="s">
        <v>199</v>
      </c>
      <c r="E55" t="s">
        <v>199</v>
      </c>
      <c r="F55" t="s">
        <v>199</v>
      </c>
      <c r="G55" t="s">
        <v>199</v>
      </c>
      <c r="H55" t="s">
        <v>199</v>
      </c>
    </row>
    <row r="56" spans="1:8" x14ac:dyDescent="0.2">
      <c r="A56">
        <v>91762</v>
      </c>
      <c r="B56">
        <v>66</v>
      </c>
      <c r="C56" t="s">
        <v>914</v>
      </c>
      <c r="D56" t="s">
        <v>199</v>
      </c>
      <c r="E56" t="s">
        <v>199</v>
      </c>
      <c r="F56" t="s">
        <v>199</v>
      </c>
      <c r="G56" t="s">
        <v>199</v>
      </c>
      <c r="H56" t="s">
        <v>199</v>
      </c>
    </row>
    <row r="57" spans="1:8" x14ac:dyDescent="0.2">
      <c r="A57">
        <v>91762</v>
      </c>
      <c r="B57">
        <v>66</v>
      </c>
      <c r="C57" t="s">
        <v>914</v>
      </c>
      <c r="D57" t="s">
        <v>199</v>
      </c>
      <c r="E57" t="s">
        <v>199</v>
      </c>
      <c r="F57" t="s">
        <v>199</v>
      </c>
      <c r="G57" t="s">
        <v>199</v>
      </c>
      <c r="H57" t="s">
        <v>199</v>
      </c>
    </row>
    <row r="58" spans="1:8" x14ac:dyDescent="0.2">
      <c r="A58">
        <v>91701</v>
      </c>
      <c r="B58">
        <v>64</v>
      </c>
      <c r="C58" t="s">
        <v>914</v>
      </c>
      <c r="D58" t="s">
        <v>199</v>
      </c>
      <c r="E58" t="s">
        <v>199</v>
      </c>
      <c r="F58" t="s">
        <v>199</v>
      </c>
      <c r="G58" t="s">
        <v>199</v>
      </c>
      <c r="H58" t="s">
        <v>199</v>
      </c>
    </row>
    <row r="59" spans="1:8" x14ac:dyDescent="0.2">
      <c r="A59">
        <v>91701</v>
      </c>
      <c r="B59">
        <v>64</v>
      </c>
      <c r="C59" t="s">
        <v>914</v>
      </c>
      <c r="D59" t="s">
        <v>199</v>
      </c>
      <c r="E59" t="s">
        <v>199</v>
      </c>
      <c r="F59" t="s">
        <v>199</v>
      </c>
      <c r="G59" t="s">
        <v>199</v>
      </c>
      <c r="H59" t="s">
        <v>199</v>
      </c>
    </row>
    <row r="60" spans="1:8" x14ac:dyDescent="0.2">
      <c r="A60">
        <v>91711</v>
      </c>
      <c r="B60">
        <v>64</v>
      </c>
      <c r="C60" t="s">
        <v>914</v>
      </c>
      <c r="D60" t="s">
        <v>199</v>
      </c>
      <c r="E60" t="s">
        <v>199</v>
      </c>
      <c r="F60" t="s">
        <v>199</v>
      </c>
      <c r="G60" t="s">
        <v>199</v>
      </c>
      <c r="H60" t="s">
        <v>199</v>
      </c>
    </row>
    <row r="61" spans="1:8" x14ac:dyDescent="0.2">
      <c r="A61">
        <v>91711</v>
      </c>
      <c r="B61">
        <v>64</v>
      </c>
      <c r="C61" t="s">
        <v>914</v>
      </c>
      <c r="D61" t="s">
        <v>199</v>
      </c>
      <c r="E61" t="s">
        <v>199</v>
      </c>
      <c r="F61" t="s">
        <v>199</v>
      </c>
      <c r="G61" t="s">
        <v>199</v>
      </c>
      <c r="H61" t="s">
        <v>199</v>
      </c>
    </row>
    <row r="62" spans="1:8" x14ac:dyDescent="0.2">
      <c r="A62">
        <v>91711</v>
      </c>
      <c r="B62">
        <v>64</v>
      </c>
      <c r="C62" t="s">
        <v>914</v>
      </c>
      <c r="D62" t="s">
        <v>199</v>
      </c>
      <c r="E62" t="s">
        <v>199</v>
      </c>
      <c r="F62" t="s">
        <v>199</v>
      </c>
      <c r="G62" t="s">
        <v>199</v>
      </c>
      <c r="H62" t="s">
        <v>199</v>
      </c>
    </row>
    <row r="63" spans="1:8" x14ac:dyDescent="0.2">
      <c r="A63">
        <v>91711</v>
      </c>
      <c r="B63">
        <v>64</v>
      </c>
      <c r="C63" t="s">
        <v>914</v>
      </c>
      <c r="D63" t="s">
        <v>199</v>
      </c>
      <c r="E63" t="s">
        <v>199</v>
      </c>
      <c r="F63" t="s">
        <v>199</v>
      </c>
      <c r="G63" t="s">
        <v>199</v>
      </c>
      <c r="H63" t="s">
        <v>199</v>
      </c>
    </row>
    <row r="64" spans="1:8" x14ac:dyDescent="0.2">
      <c r="A64">
        <v>91711</v>
      </c>
      <c r="B64">
        <v>64</v>
      </c>
      <c r="C64" t="s">
        <v>914</v>
      </c>
      <c r="D64" t="s">
        <v>199</v>
      </c>
      <c r="E64" t="s">
        <v>199</v>
      </c>
      <c r="F64" t="s">
        <v>199</v>
      </c>
      <c r="G64" t="s">
        <v>199</v>
      </c>
      <c r="H64" t="s">
        <v>199</v>
      </c>
    </row>
    <row r="65" spans="1:8" x14ac:dyDescent="0.2">
      <c r="A65">
        <v>91763</v>
      </c>
      <c r="B65">
        <v>63</v>
      </c>
      <c r="C65" t="s">
        <v>914</v>
      </c>
      <c r="D65" t="s">
        <v>199</v>
      </c>
      <c r="E65" t="s">
        <v>199</v>
      </c>
      <c r="F65" t="s">
        <v>199</v>
      </c>
      <c r="G65" t="s">
        <v>199</v>
      </c>
      <c r="H65" t="s">
        <v>199</v>
      </c>
    </row>
    <row r="66" spans="1:8" x14ac:dyDescent="0.2">
      <c r="A66">
        <v>91763</v>
      </c>
      <c r="B66">
        <v>63</v>
      </c>
      <c r="C66" t="s">
        <v>914</v>
      </c>
      <c r="D66" t="s">
        <v>199</v>
      </c>
      <c r="E66" t="s">
        <v>199</v>
      </c>
      <c r="F66" t="s">
        <v>199</v>
      </c>
      <c r="G66" t="s">
        <v>199</v>
      </c>
      <c r="H66" t="s">
        <v>199</v>
      </c>
    </row>
    <row r="67" spans="1:8" x14ac:dyDescent="0.2">
      <c r="A67">
        <v>91763</v>
      </c>
      <c r="B67">
        <v>63</v>
      </c>
      <c r="C67" t="s">
        <v>914</v>
      </c>
      <c r="D67" t="s">
        <v>199</v>
      </c>
      <c r="E67" t="s">
        <v>199</v>
      </c>
      <c r="F67" t="s">
        <v>199</v>
      </c>
      <c r="G67" t="s">
        <v>199</v>
      </c>
      <c r="H67" t="s">
        <v>199</v>
      </c>
    </row>
    <row r="68" spans="1:8" x14ac:dyDescent="0.2">
      <c r="A68">
        <v>91763</v>
      </c>
      <c r="B68">
        <v>63</v>
      </c>
      <c r="C68" t="s">
        <v>914</v>
      </c>
      <c r="D68" t="s">
        <v>199</v>
      </c>
      <c r="E68" t="s">
        <v>199</v>
      </c>
      <c r="F68" t="s">
        <v>199</v>
      </c>
      <c r="G68" t="s">
        <v>199</v>
      </c>
      <c r="H68" t="s">
        <v>199</v>
      </c>
    </row>
    <row r="69" spans="1:8" x14ac:dyDescent="0.2">
      <c r="A69">
        <v>91763</v>
      </c>
      <c r="B69">
        <v>63</v>
      </c>
      <c r="C69" t="s">
        <v>914</v>
      </c>
      <c r="D69" t="s">
        <v>199</v>
      </c>
      <c r="E69" t="s">
        <v>199</v>
      </c>
      <c r="F69" t="s">
        <v>199</v>
      </c>
      <c r="G69" t="s">
        <v>199</v>
      </c>
      <c r="H69" t="s">
        <v>199</v>
      </c>
    </row>
    <row r="70" spans="1:8" x14ac:dyDescent="0.2">
      <c r="A70">
        <v>91763</v>
      </c>
      <c r="B70">
        <v>63</v>
      </c>
      <c r="C70" t="s">
        <v>914</v>
      </c>
      <c r="D70" t="s">
        <v>199</v>
      </c>
      <c r="E70" t="s">
        <v>199</v>
      </c>
      <c r="F70" t="s">
        <v>199</v>
      </c>
      <c r="G70" t="s">
        <v>199</v>
      </c>
      <c r="H70" t="s">
        <v>199</v>
      </c>
    </row>
    <row r="71" spans="1:8" x14ac:dyDescent="0.2">
      <c r="A71">
        <v>91763</v>
      </c>
      <c r="B71">
        <v>63</v>
      </c>
      <c r="C71" t="s">
        <v>914</v>
      </c>
      <c r="D71" t="s">
        <v>199</v>
      </c>
      <c r="E71" t="s">
        <v>199</v>
      </c>
      <c r="F71" t="s">
        <v>199</v>
      </c>
      <c r="G71" t="s">
        <v>199</v>
      </c>
      <c r="H71" t="s">
        <v>199</v>
      </c>
    </row>
    <row r="72" spans="1:8" x14ac:dyDescent="0.2">
      <c r="A72">
        <v>91763</v>
      </c>
      <c r="B72">
        <v>63</v>
      </c>
      <c r="C72" t="s">
        <v>914</v>
      </c>
      <c r="D72" t="s">
        <v>199</v>
      </c>
      <c r="E72" t="s">
        <v>199</v>
      </c>
      <c r="F72" t="s">
        <v>199</v>
      </c>
      <c r="G72" t="s">
        <v>199</v>
      </c>
      <c r="H72" t="s">
        <v>199</v>
      </c>
    </row>
    <row r="73" spans="1:8" x14ac:dyDescent="0.2">
      <c r="A73">
        <v>91763</v>
      </c>
      <c r="B73">
        <v>63</v>
      </c>
      <c r="C73" t="s">
        <v>914</v>
      </c>
      <c r="D73" t="s">
        <v>199</v>
      </c>
      <c r="E73" t="s">
        <v>199</v>
      </c>
      <c r="F73" t="s">
        <v>199</v>
      </c>
      <c r="G73" t="s">
        <v>199</v>
      </c>
      <c r="H73" t="s">
        <v>199</v>
      </c>
    </row>
    <row r="74" spans="1:8" x14ac:dyDescent="0.2">
      <c r="A74">
        <v>91763</v>
      </c>
      <c r="B74">
        <v>63</v>
      </c>
      <c r="C74" t="s">
        <v>914</v>
      </c>
      <c r="D74" t="s">
        <v>199</v>
      </c>
      <c r="E74" t="s">
        <v>199</v>
      </c>
      <c r="F74" t="s">
        <v>199</v>
      </c>
      <c r="G74" t="s">
        <v>199</v>
      </c>
      <c r="H74" t="s">
        <v>199</v>
      </c>
    </row>
    <row r="75" spans="1:8" x14ac:dyDescent="0.2">
      <c r="A75">
        <v>91763</v>
      </c>
      <c r="B75">
        <v>63</v>
      </c>
      <c r="C75" t="s">
        <v>914</v>
      </c>
      <c r="D75" t="s">
        <v>199</v>
      </c>
      <c r="E75" t="s">
        <v>199</v>
      </c>
      <c r="F75" t="s">
        <v>199</v>
      </c>
      <c r="G75" t="s">
        <v>199</v>
      </c>
      <c r="H75" t="s">
        <v>199</v>
      </c>
    </row>
    <row r="76" spans="1:8" x14ac:dyDescent="0.2">
      <c r="A76">
        <v>91763</v>
      </c>
      <c r="B76">
        <v>63</v>
      </c>
      <c r="C76" t="s">
        <v>914</v>
      </c>
      <c r="D76" t="s">
        <v>199</v>
      </c>
      <c r="E76" t="s">
        <v>199</v>
      </c>
      <c r="F76" t="s">
        <v>199</v>
      </c>
      <c r="G76" t="s">
        <v>199</v>
      </c>
      <c r="H76" t="s">
        <v>199</v>
      </c>
    </row>
    <row r="77" spans="1:8" x14ac:dyDescent="0.2">
      <c r="A77">
        <v>91763</v>
      </c>
      <c r="B77">
        <v>63</v>
      </c>
      <c r="C77" t="s">
        <v>914</v>
      </c>
      <c r="D77" t="s">
        <v>199</v>
      </c>
      <c r="E77" t="s">
        <v>199</v>
      </c>
      <c r="F77" t="s">
        <v>199</v>
      </c>
      <c r="G77" t="s">
        <v>199</v>
      </c>
      <c r="H77" t="s">
        <v>199</v>
      </c>
    </row>
    <row r="78" spans="1:8" x14ac:dyDescent="0.2">
      <c r="A78">
        <v>91786</v>
      </c>
      <c r="B78">
        <v>63</v>
      </c>
      <c r="C78" t="s">
        <v>914</v>
      </c>
      <c r="D78" t="s">
        <v>199</v>
      </c>
      <c r="E78" t="s">
        <v>199</v>
      </c>
      <c r="F78" t="s">
        <v>199</v>
      </c>
      <c r="G78" t="s">
        <v>199</v>
      </c>
      <c r="H78" t="s">
        <v>199</v>
      </c>
    </row>
    <row r="79" spans="1:8" x14ac:dyDescent="0.2">
      <c r="A79">
        <v>91786</v>
      </c>
      <c r="B79">
        <v>63</v>
      </c>
      <c r="C79" t="s">
        <v>914</v>
      </c>
      <c r="D79" t="s">
        <v>199</v>
      </c>
      <c r="E79" t="s">
        <v>199</v>
      </c>
      <c r="F79" t="s">
        <v>199</v>
      </c>
      <c r="G79" t="s">
        <v>199</v>
      </c>
      <c r="H79" t="s">
        <v>199</v>
      </c>
    </row>
    <row r="80" spans="1:8" x14ac:dyDescent="0.2">
      <c r="A80">
        <v>91786</v>
      </c>
      <c r="B80">
        <v>63</v>
      </c>
      <c r="C80" t="s">
        <v>914</v>
      </c>
      <c r="D80" t="s">
        <v>199</v>
      </c>
      <c r="E80" t="s">
        <v>199</v>
      </c>
      <c r="F80" t="s">
        <v>199</v>
      </c>
      <c r="G80" t="s">
        <v>199</v>
      </c>
      <c r="H80" t="s">
        <v>199</v>
      </c>
    </row>
    <row r="81" spans="1:8" x14ac:dyDescent="0.2">
      <c r="A81">
        <v>91786</v>
      </c>
      <c r="B81">
        <v>63</v>
      </c>
      <c r="C81" t="s">
        <v>914</v>
      </c>
      <c r="D81" t="s">
        <v>199</v>
      </c>
      <c r="E81" t="s">
        <v>199</v>
      </c>
      <c r="F81" t="s">
        <v>199</v>
      </c>
      <c r="G81" t="s">
        <v>199</v>
      </c>
      <c r="H81" t="s">
        <v>199</v>
      </c>
    </row>
    <row r="82" spans="1:8" x14ac:dyDescent="0.2">
      <c r="A82">
        <v>91763</v>
      </c>
      <c r="B82">
        <v>62</v>
      </c>
      <c r="C82" t="s">
        <v>914</v>
      </c>
      <c r="D82" t="s">
        <v>199</v>
      </c>
      <c r="E82" t="s">
        <v>199</v>
      </c>
      <c r="F82" t="s">
        <v>199</v>
      </c>
      <c r="G82" t="s">
        <v>199</v>
      </c>
      <c r="H82" t="s">
        <v>199</v>
      </c>
    </row>
    <row r="83" spans="1:8" x14ac:dyDescent="0.2">
      <c r="A83">
        <v>91750</v>
      </c>
      <c r="B83">
        <v>61</v>
      </c>
      <c r="C83" t="s">
        <v>914</v>
      </c>
      <c r="D83" t="s">
        <v>199</v>
      </c>
      <c r="E83" t="s">
        <v>199</v>
      </c>
      <c r="F83" t="s">
        <v>199</v>
      </c>
      <c r="G83" t="s">
        <v>199</v>
      </c>
      <c r="H83" t="s">
        <v>199</v>
      </c>
    </row>
    <row r="84" spans="1:8" x14ac:dyDescent="0.2">
      <c r="A84">
        <v>91765</v>
      </c>
      <c r="B84">
        <v>61</v>
      </c>
      <c r="C84" t="s">
        <v>914</v>
      </c>
      <c r="D84" t="s">
        <v>199</v>
      </c>
      <c r="E84" t="s">
        <v>199</v>
      </c>
      <c r="F84" t="s">
        <v>199</v>
      </c>
      <c r="G84" t="s">
        <v>199</v>
      </c>
      <c r="H84" t="s">
        <v>199</v>
      </c>
    </row>
    <row r="85" spans="1:8" x14ac:dyDescent="0.2">
      <c r="A85">
        <v>91766</v>
      </c>
      <c r="B85">
        <v>60</v>
      </c>
      <c r="C85" t="s">
        <v>914</v>
      </c>
      <c r="D85" t="s">
        <v>199</v>
      </c>
      <c r="E85" t="s">
        <v>199</v>
      </c>
      <c r="F85" t="s">
        <v>199</v>
      </c>
      <c r="G85" t="s">
        <v>199</v>
      </c>
      <c r="H85" t="s">
        <v>199</v>
      </c>
    </row>
    <row r="86" spans="1:8" x14ac:dyDescent="0.2">
      <c r="A86">
        <v>91766</v>
      </c>
      <c r="B86">
        <v>60</v>
      </c>
      <c r="C86" t="s">
        <v>914</v>
      </c>
      <c r="D86" t="s">
        <v>199</v>
      </c>
      <c r="E86" t="s">
        <v>199</v>
      </c>
      <c r="F86" t="s">
        <v>199</v>
      </c>
      <c r="G86" t="s">
        <v>199</v>
      </c>
      <c r="H86" t="s">
        <v>199</v>
      </c>
    </row>
    <row r="87" spans="1:8" x14ac:dyDescent="0.2">
      <c r="A87">
        <v>91766</v>
      </c>
      <c r="B87">
        <v>60</v>
      </c>
      <c r="C87" t="s">
        <v>914</v>
      </c>
      <c r="D87" t="s">
        <v>199</v>
      </c>
      <c r="E87" t="s">
        <v>199</v>
      </c>
      <c r="F87" t="s">
        <v>199</v>
      </c>
      <c r="G87" t="s">
        <v>199</v>
      </c>
      <c r="H87" t="s">
        <v>199</v>
      </c>
    </row>
    <row r="88" spans="1:8" x14ac:dyDescent="0.2">
      <c r="A88">
        <v>91767</v>
      </c>
      <c r="B88">
        <v>60</v>
      </c>
      <c r="C88" t="s">
        <v>914</v>
      </c>
      <c r="D88" t="s">
        <v>199</v>
      </c>
      <c r="E88" t="s">
        <v>199</v>
      </c>
      <c r="F88" t="s">
        <v>199</v>
      </c>
      <c r="G88" t="s">
        <v>199</v>
      </c>
      <c r="H88" t="s">
        <v>199</v>
      </c>
    </row>
    <row r="89" spans="1:8" x14ac:dyDescent="0.2">
      <c r="A89">
        <v>91767</v>
      </c>
      <c r="B89">
        <v>60</v>
      </c>
      <c r="C89" t="s">
        <v>914</v>
      </c>
      <c r="D89" t="s">
        <v>199</v>
      </c>
      <c r="E89" t="s">
        <v>199</v>
      </c>
      <c r="F89" t="s">
        <v>199</v>
      </c>
      <c r="G89" t="s">
        <v>199</v>
      </c>
      <c r="H89" t="s">
        <v>199</v>
      </c>
    </row>
    <row r="90" spans="1:8" x14ac:dyDescent="0.2">
      <c r="A90">
        <v>91767</v>
      </c>
      <c r="B90">
        <v>60</v>
      </c>
      <c r="C90" t="s">
        <v>914</v>
      </c>
      <c r="D90" t="s">
        <v>199</v>
      </c>
      <c r="E90" t="s">
        <v>199</v>
      </c>
      <c r="F90" t="s">
        <v>199</v>
      </c>
      <c r="G90" t="s">
        <v>199</v>
      </c>
      <c r="H90" t="s">
        <v>199</v>
      </c>
    </row>
    <row r="91" spans="1:8" x14ac:dyDescent="0.2">
      <c r="A91">
        <v>91767</v>
      </c>
      <c r="B91">
        <v>60</v>
      </c>
      <c r="C91" t="s">
        <v>914</v>
      </c>
      <c r="D91" t="s">
        <v>199</v>
      </c>
      <c r="E91" t="s">
        <v>199</v>
      </c>
      <c r="F91" t="s">
        <v>199</v>
      </c>
      <c r="G91" t="s">
        <v>199</v>
      </c>
      <c r="H91" t="s">
        <v>199</v>
      </c>
    </row>
    <row r="92" spans="1:8" x14ac:dyDescent="0.2">
      <c r="A92">
        <v>91767</v>
      </c>
      <c r="B92">
        <v>60</v>
      </c>
      <c r="C92" t="s">
        <v>914</v>
      </c>
      <c r="D92" t="s">
        <v>199</v>
      </c>
      <c r="E92" t="s">
        <v>199</v>
      </c>
      <c r="F92" t="s">
        <v>199</v>
      </c>
      <c r="G92" t="s">
        <v>199</v>
      </c>
      <c r="H92" t="s">
        <v>199</v>
      </c>
    </row>
    <row r="93" spans="1:8" x14ac:dyDescent="0.2">
      <c r="A93">
        <v>91767</v>
      </c>
      <c r="B93">
        <v>60</v>
      </c>
      <c r="C93" t="s">
        <v>914</v>
      </c>
      <c r="D93" t="s">
        <v>199</v>
      </c>
      <c r="E93" t="s">
        <v>199</v>
      </c>
      <c r="F93" t="s">
        <v>199</v>
      </c>
      <c r="G93" t="s">
        <v>199</v>
      </c>
      <c r="H93" t="s">
        <v>199</v>
      </c>
    </row>
    <row r="94" spans="1:8" x14ac:dyDescent="0.2">
      <c r="A94">
        <v>91768</v>
      </c>
      <c r="B94">
        <v>57</v>
      </c>
      <c r="C94" t="s">
        <v>914</v>
      </c>
      <c r="D94" t="s">
        <v>199</v>
      </c>
      <c r="E94" t="s">
        <v>199</v>
      </c>
      <c r="F94" t="s">
        <v>199</v>
      </c>
      <c r="G94" t="s">
        <v>199</v>
      </c>
      <c r="H94" t="s">
        <v>199</v>
      </c>
    </row>
    <row r="95" spans="1:8" x14ac:dyDescent="0.2">
      <c r="A95">
        <v>91364</v>
      </c>
      <c r="B95">
        <v>56</v>
      </c>
      <c r="C95" t="s">
        <v>914</v>
      </c>
      <c r="D95" t="s">
        <v>1351</v>
      </c>
      <c r="E95" t="s">
        <v>1351</v>
      </c>
      <c r="F95" t="s">
        <v>1351</v>
      </c>
      <c r="G95" t="s">
        <v>1351</v>
      </c>
      <c r="H95" t="s">
        <v>1351</v>
      </c>
    </row>
    <row r="96" spans="1:8" x14ac:dyDescent="0.2">
      <c r="A96">
        <v>91791</v>
      </c>
      <c r="B96">
        <v>53</v>
      </c>
      <c r="C96" t="s">
        <v>914</v>
      </c>
      <c r="D96" t="s">
        <v>199</v>
      </c>
      <c r="E96" t="s">
        <v>199</v>
      </c>
      <c r="F96" t="s">
        <v>199</v>
      </c>
      <c r="G96" t="s">
        <v>199</v>
      </c>
      <c r="H96" t="s">
        <v>199</v>
      </c>
    </row>
    <row r="97" spans="1:8" x14ac:dyDescent="0.2">
      <c r="A97">
        <v>92223</v>
      </c>
      <c r="B97">
        <v>50</v>
      </c>
      <c r="C97" t="s">
        <v>914</v>
      </c>
      <c r="D97" t="s">
        <v>1351</v>
      </c>
      <c r="E97" t="s">
        <v>1353</v>
      </c>
      <c r="F97" t="s">
        <v>1351</v>
      </c>
      <c r="G97" t="s">
        <v>1351</v>
      </c>
      <c r="H97" t="s">
        <v>1351</v>
      </c>
    </row>
    <row r="98" spans="1:8" x14ac:dyDescent="0.2">
      <c r="A98" t="s">
        <v>1389</v>
      </c>
      <c r="B98">
        <v>48</v>
      </c>
      <c r="C98" t="s">
        <v>914</v>
      </c>
      <c r="D98" t="s">
        <v>195</v>
      </c>
      <c r="E98" t="s">
        <v>1351</v>
      </c>
      <c r="F98" t="s">
        <v>1351</v>
      </c>
      <c r="G98" t="s">
        <v>1351</v>
      </c>
      <c r="H98" t="s">
        <v>1351</v>
      </c>
    </row>
    <row r="99" spans="1:8" x14ac:dyDescent="0.2">
      <c r="A99">
        <v>92508</v>
      </c>
      <c r="B99">
        <v>48</v>
      </c>
      <c r="C99" t="s">
        <v>1390</v>
      </c>
      <c r="D99" t="s">
        <v>1351</v>
      </c>
      <c r="E99" t="s">
        <v>1351</v>
      </c>
      <c r="F99" t="s">
        <v>1351</v>
      </c>
      <c r="G99" t="s">
        <v>1351</v>
      </c>
      <c r="H99" t="s">
        <v>1351</v>
      </c>
    </row>
    <row r="100" spans="1:8" x14ac:dyDescent="0.2">
      <c r="A100">
        <v>92630</v>
      </c>
      <c r="B100">
        <v>45</v>
      </c>
      <c r="C100" t="s">
        <v>914</v>
      </c>
      <c r="D100" t="s">
        <v>1351</v>
      </c>
      <c r="E100" t="s">
        <v>1351</v>
      </c>
      <c r="F100" t="s">
        <v>1351</v>
      </c>
      <c r="G100" t="s">
        <v>1351</v>
      </c>
      <c r="H100" t="s">
        <v>1351</v>
      </c>
    </row>
    <row r="101" spans="1:8" x14ac:dyDescent="0.2">
      <c r="A101">
        <v>92584</v>
      </c>
      <c r="B101">
        <v>45</v>
      </c>
      <c r="C101" t="s">
        <v>914</v>
      </c>
      <c r="D101" t="s">
        <v>1353</v>
      </c>
      <c r="E101" t="s">
        <v>1353</v>
      </c>
      <c r="F101" t="s">
        <v>1353</v>
      </c>
      <c r="G101" t="s">
        <v>1353</v>
      </c>
      <c r="H101" t="s">
        <v>1353</v>
      </c>
    </row>
    <row r="102" spans="1:8" x14ac:dyDescent="0.2">
      <c r="A102">
        <v>91423</v>
      </c>
      <c r="B102">
        <v>45</v>
      </c>
      <c r="C102" t="s">
        <v>914</v>
      </c>
      <c r="D102" t="s">
        <v>1351</v>
      </c>
      <c r="E102" t="s">
        <v>1351</v>
      </c>
      <c r="F102" t="s">
        <v>1351</v>
      </c>
      <c r="G102" t="s">
        <v>1351</v>
      </c>
      <c r="H102" t="s">
        <v>1351</v>
      </c>
    </row>
    <row r="103" spans="1:8" x14ac:dyDescent="0.2">
      <c r="A103">
        <v>90807</v>
      </c>
      <c r="B103">
        <v>45</v>
      </c>
      <c r="C103" t="s">
        <v>914</v>
      </c>
      <c r="D103" t="s">
        <v>1351</v>
      </c>
      <c r="E103" t="s">
        <v>1351</v>
      </c>
      <c r="F103" t="s">
        <v>1351</v>
      </c>
      <c r="G103" t="s">
        <v>1351</v>
      </c>
      <c r="H103" t="s">
        <v>1351</v>
      </c>
    </row>
    <row r="104" spans="1:8" x14ac:dyDescent="0.2">
      <c r="A104">
        <v>91607</v>
      </c>
      <c r="B104">
        <v>45</v>
      </c>
      <c r="C104" t="s">
        <v>914</v>
      </c>
      <c r="D104" t="s">
        <v>1351</v>
      </c>
      <c r="E104" t="s">
        <v>1351</v>
      </c>
      <c r="F104" t="s">
        <v>1351</v>
      </c>
      <c r="G104" t="s">
        <v>1351</v>
      </c>
      <c r="H104" t="s">
        <v>1351</v>
      </c>
    </row>
    <row r="105" spans="1:8" x14ac:dyDescent="0.2">
      <c r="A105">
        <v>92397</v>
      </c>
      <c r="B105">
        <v>45</v>
      </c>
      <c r="C105" t="s">
        <v>914</v>
      </c>
      <c r="D105" t="s">
        <v>202</v>
      </c>
      <c r="E105" t="s">
        <v>202</v>
      </c>
      <c r="F105" t="s">
        <v>202</v>
      </c>
      <c r="G105" t="s">
        <v>1351</v>
      </c>
      <c r="H105" t="s">
        <v>1351</v>
      </c>
    </row>
    <row r="106" spans="1:8" x14ac:dyDescent="0.2">
      <c r="A106">
        <v>92373</v>
      </c>
      <c r="B106">
        <v>44</v>
      </c>
      <c r="C106" t="s">
        <v>914</v>
      </c>
      <c r="D106" t="s">
        <v>1351</v>
      </c>
      <c r="E106" t="s">
        <v>1351</v>
      </c>
      <c r="F106" t="s">
        <v>1351</v>
      </c>
      <c r="G106" t="s">
        <v>1351</v>
      </c>
      <c r="H106" t="s">
        <v>1351</v>
      </c>
    </row>
    <row r="107" spans="1:8" x14ac:dyDescent="0.2">
      <c r="A107" t="s">
        <v>1391</v>
      </c>
      <c r="B107">
        <v>43</v>
      </c>
      <c r="C107" t="s">
        <v>914</v>
      </c>
      <c r="D107" t="s">
        <v>1351</v>
      </c>
      <c r="E107" t="s">
        <v>1351</v>
      </c>
      <c r="F107" t="s">
        <v>1351</v>
      </c>
      <c r="G107" t="s">
        <v>1351</v>
      </c>
      <c r="H107" t="s">
        <v>1351</v>
      </c>
    </row>
    <row r="108" spans="1:8" x14ac:dyDescent="0.2">
      <c r="A108" t="s">
        <v>1392</v>
      </c>
      <c r="B108">
        <v>43</v>
      </c>
      <c r="C108" t="s">
        <v>914</v>
      </c>
      <c r="D108" t="s">
        <v>1351</v>
      </c>
      <c r="E108" t="s">
        <v>1351</v>
      </c>
      <c r="F108" t="s">
        <v>1351</v>
      </c>
      <c r="G108" t="s">
        <v>202</v>
      </c>
      <c r="H108" t="s">
        <v>202</v>
      </c>
    </row>
    <row r="109" spans="1:8" x14ac:dyDescent="0.2">
      <c r="A109">
        <v>90066</v>
      </c>
      <c r="B109">
        <v>41.41</v>
      </c>
      <c r="C109" t="s">
        <v>914</v>
      </c>
      <c r="D109" t="s">
        <v>1351</v>
      </c>
      <c r="E109" t="s">
        <v>1351</v>
      </c>
      <c r="F109" t="s">
        <v>1351</v>
      </c>
      <c r="G109" t="s">
        <v>1351</v>
      </c>
      <c r="H109" t="s">
        <v>1351</v>
      </c>
    </row>
    <row r="110" spans="1:8" x14ac:dyDescent="0.2">
      <c r="A110">
        <v>92627</v>
      </c>
      <c r="B110">
        <v>41</v>
      </c>
      <c r="C110" t="s">
        <v>914</v>
      </c>
      <c r="D110" t="s">
        <v>1351</v>
      </c>
      <c r="E110" t="s">
        <v>1351</v>
      </c>
      <c r="F110" t="s">
        <v>1351</v>
      </c>
      <c r="G110" t="s">
        <v>1351</v>
      </c>
      <c r="H110" t="s">
        <v>1351</v>
      </c>
    </row>
    <row r="111" spans="1:8" x14ac:dyDescent="0.2">
      <c r="A111">
        <v>92344</v>
      </c>
      <c r="B111">
        <v>40</v>
      </c>
      <c r="C111" t="s">
        <v>914</v>
      </c>
      <c r="D111" t="s">
        <v>1351</v>
      </c>
      <c r="E111" t="s">
        <v>1351</v>
      </c>
      <c r="F111" t="s">
        <v>1351</v>
      </c>
      <c r="G111" t="s">
        <v>1351</v>
      </c>
      <c r="H111" t="s">
        <v>1351</v>
      </c>
    </row>
    <row r="112" spans="1:8" x14ac:dyDescent="0.2">
      <c r="A112">
        <v>92373</v>
      </c>
      <c r="B112">
        <v>40</v>
      </c>
      <c r="C112" t="s">
        <v>914</v>
      </c>
      <c r="D112" t="s">
        <v>1351</v>
      </c>
      <c r="E112" t="s">
        <v>1351</v>
      </c>
      <c r="F112" t="s">
        <v>1351</v>
      </c>
      <c r="G112" t="s">
        <v>1351</v>
      </c>
      <c r="H112" t="s">
        <v>1351</v>
      </c>
    </row>
    <row r="113" spans="1:8" x14ac:dyDescent="0.2">
      <c r="A113">
        <v>90031</v>
      </c>
      <c r="B113">
        <v>40</v>
      </c>
      <c r="C113" t="s">
        <v>914</v>
      </c>
      <c r="D113" t="s">
        <v>1351</v>
      </c>
      <c r="E113" t="s">
        <v>1351</v>
      </c>
      <c r="F113" t="s">
        <v>1351</v>
      </c>
      <c r="G113" t="s">
        <v>1351</v>
      </c>
      <c r="H113" t="s">
        <v>1351</v>
      </c>
    </row>
    <row r="114" spans="1:8" x14ac:dyDescent="0.2">
      <c r="A114">
        <v>90013</v>
      </c>
      <c r="B114">
        <v>40</v>
      </c>
      <c r="C114" t="s">
        <v>914</v>
      </c>
      <c r="D114" t="s">
        <v>1351</v>
      </c>
      <c r="E114" t="s">
        <v>1351</v>
      </c>
      <c r="F114" t="s">
        <v>1351</v>
      </c>
      <c r="G114" t="s">
        <v>1351</v>
      </c>
      <c r="H114" t="s">
        <v>1351</v>
      </c>
    </row>
    <row r="115" spans="1:8" x14ac:dyDescent="0.2">
      <c r="A115">
        <v>92504</v>
      </c>
      <c r="B115">
        <v>38</v>
      </c>
      <c r="C115" t="s">
        <v>914</v>
      </c>
      <c r="D115" t="s">
        <v>1351</v>
      </c>
      <c r="E115" t="s">
        <v>1351</v>
      </c>
      <c r="F115" t="s">
        <v>1351</v>
      </c>
      <c r="G115" t="s">
        <v>1351</v>
      </c>
      <c r="H115" t="s">
        <v>1351</v>
      </c>
    </row>
    <row r="116" spans="1:8" x14ac:dyDescent="0.2">
      <c r="A116">
        <v>92620</v>
      </c>
      <c r="B116">
        <v>37.700000000000003</v>
      </c>
      <c r="C116" t="s">
        <v>914</v>
      </c>
      <c r="D116" t="s">
        <v>1351</v>
      </c>
      <c r="E116" t="s">
        <v>1351</v>
      </c>
      <c r="F116" t="s">
        <v>1351</v>
      </c>
      <c r="G116" t="s">
        <v>1351</v>
      </c>
      <c r="H116" t="s">
        <v>1351</v>
      </c>
    </row>
    <row r="117" spans="1:8" x14ac:dyDescent="0.2">
      <c r="A117">
        <v>92374</v>
      </c>
      <c r="B117">
        <v>36</v>
      </c>
      <c r="C117" t="s">
        <v>914</v>
      </c>
      <c r="D117" t="s">
        <v>1351</v>
      </c>
      <c r="E117" t="s">
        <v>1351</v>
      </c>
      <c r="F117" t="s">
        <v>1351</v>
      </c>
      <c r="G117" t="s">
        <v>1351</v>
      </c>
      <c r="H117" t="s">
        <v>1351</v>
      </c>
    </row>
    <row r="118" spans="1:8" x14ac:dyDescent="0.2">
      <c r="A118">
        <v>91001</v>
      </c>
      <c r="B118">
        <v>36</v>
      </c>
      <c r="C118" t="s">
        <v>914</v>
      </c>
      <c r="D118" t="s">
        <v>1351</v>
      </c>
      <c r="E118" t="s">
        <v>1351</v>
      </c>
      <c r="F118" t="s">
        <v>1351</v>
      </c>
      <c r="G118" t="s">
        <v>1351</v>
      </c>
      <c r="H118" t="s">
        <v>1351</v>
      </c>
    </row>
    <row r="119" spans="1:8" x14ac:dyDescent="0.2">
      <c r="A119" t="s">
        <v>1393</v>
      </c>
      <c r="B119">
        <v>35</v>
      </c>
      <c r="C119" t="s">
        <v>914</v>
      </c>
      <c r="D119" t="s">
        <v>1351</v>
      </c>
      <c r="E119" t="s">
        <v>1351</v>
      </c>
      <c r="F119" t="s">
        <v>1351</v>
      </c>
      <c r="G119" t="s">
        <v>1351</v>
      </c>
      <c r="H119" t="s">
        <v>1351</v>
      </c>
    </row>
    <row r="120" spans="1:8" x14ac:dyDescent="0.2">
      <c r="A120">
        <v>92557</v>
      </c>
      <c r="B120">
        <v>35</v>
      </c>
      <c r="C120" t="s">
        <v>914</v>
      </c>
      <c r="D120" t="s">
        <v>1351</v>
      </c>
      <c r="E120" t="s">
        <v>1351</v>
      </c>
      <c r="F120" t="s">
        <v>1351</v>
      </c>
      <c r="G120" t="s">
        <v>1351</v>
      </c>
      <c r="H120" t="s">
        <v>1351</v>
      </c>
    </row>
    <row r="121" spans="1:8" x14ac:dyDescent="0.2">
      <c r="A121">
        <v>91103</v>
      </c>
      <c r="B121">
        <v>35</v>
      </c>
      <c r="C121" t="s">
        <v>914</v>
      </c>
      <c r="D121" t="s">
        <v>1351</v>
      </c>
      <c r="E121" t="s">
        <v>1351</v>
      </c>
      <c r="F121" t="s">
        <v>1351</v>
      </c>
      <c r="G121" t="s">
        <v>1351</v>
      </c>
      <c r="H121" t="s">
        <v>1351</v>
      </c>
    </row>
    <row r="122" spans="1:8" x14ac:dyDescent="0.2">
      <c r="A122">
        <v>90606</v>
      </c>
      <c r="B122">
        <v>35</v>
      </c>
      <c r="C122" t="s">
        <v>914</v>
      </c>
      <c r="D122" t="s">
        <v>1353</v>
      </c>
      <c r="E122" t="s">
        <v>202</v>
      </c>
      <c r="F122" t="s">
        <v>202</v>
      </c>
      <c r="G122" t="s">
        <v>1353</v>
      </c>
      <c r="H122" t="s">
        <v>1353</v>
      </c>
    </row>
    <row r="123" spans="1:8" x14ac:dyDescent="0.2">
      <c r="A123">
        <v>91030</v>
      </c>
      <c r="B123">
        <v>35</v>
      </c>
      <c r="C123" t="s">
        <v>914</v>
      </c>
      <c r="D123" t="s">
        <v>1351</v>
      </c>
      <c r="E123" t="s">
        <v>1351</v>
      </c>
      <c r="F123" t="s">
        <v>1351</v>
      </c>
      <c r="G123" t="s">
        <v>1351</v>
      </c>
      <c r="H123" t="s">
        <v>1351</v>
      </c>
    </row>
    <row r="124" spans="1:8" x14ac:dyDescent="0.2">
      <c r="A124">
        <v>91104</v>
      </c>
      <c r="B124">
        <v>35</v>
      </c>
      <c r="C124" t="s">
        <v>914</v>
      </c>
      <c r="D124" t="s">
        <v>199</v>
      </c>
      <c r="E124" t="s">
        <v>199</v>
      </c>
      <c r="F124" t="s">
        <v>199</v>
      </c>
      <c r="G124" t="s">
        <v>199</v>
      </c>
      <c r="H124" t="s">
        <v>199</v>
      </c>
    </row>
    <row r="125" spans="1:8" x14ac:dyDescent="0.2">
      <c r="A125" t="s">
        <v>1394</v>
      </c>
      <c r="B125">
        <v>34</v>
      </c>
      <c r="C125" t="s">
        <v>914</v>
      </c>
      <c r="D125" t="s">
        <v>1353</v>
      </c>
      <c r="E125" t="s">
        <v>1351</v>
      </c>
      <c r="F125" t="s">
        <v>1353</v>
      </c>
      <c r="G125" t="s">
        <v>1351</v>
      </c>
      <c r="H125" t="s">
        <v>1353</v>
      </c>
    </row>
    <row r="126" spans="1:8" x14ac:dyDescent="0.2">
      <c r="A126">
        <v>90602</v>
      </c>
      <c r="B126">
        <v>34</v>
      </c>
      <c r="C126" t="s">
        <v>914</v>
      </c>
      <c r="D126" t="s">
        <v>202</v>
      </c>
      <c r="E126" t="s">
        <v>1353</v>
      </c>
      <c r="F126" t="s">
        <v>202</v>
      </c>
      <c r="G126" t="s">
        <v>202</v>
      </c>
      <c r="H126" t="s">
        <v>202</v>
      </c>
    </row>
    <row r="127" spans="1:8" x14ac:dyDescent="0.2">
      <c r="A127">
        <v>92506</v>
      </c>
      <c r="B127">
        <v>33</v>
      </c>
      <c r="C127" t="s">
        <v>914</v>
      </c>
      <c r="D127" t="s">
        <v>1351</v>
      </c>
      <c r="E127" t="s">
        <v>1351</v>
      </c>
      <c r="F127" t="s">
        <v>1351</v>
      </c>
      <c r="G127" t="s">
        <v>1351</v>
      </c>
      <c r="H127" t="s">
        <v>1351</v>
      </c>
    </row>
    <row r="128" spans="1:8" x14ac:dyDescent="0.2">
      <c r="A128">
        <v>91105</v>
      </c>
      <c r="B128">
        <v>33</v>
      </c>
      <c r="C128" t="s">
        <v>914</v>
      </c>
      <c r="D128" t="s">
        <v>1351</v>
      </c>
      <c r="E128" t="s">
        <v>1351</v>
      </c>
      <c r="F128" t="s">
        <v>1351</v>
      </c>
      <c r="G128" t="s">
        <v>1351</v>
      </c>
      <c r="H128" t="s">
        <v>1351</v>
      </c>
    </row>
    <row r="129" spans="1:8" x14ac:dyDescent="0.2">
      <c r="A129">
        <v>92505</v>
      </c>
      <c r="B129">
        <v>33</v>
      </c>
      <c r="C129" t="s">
        <v>914</v>
      </c>
      <c r="D129" t="s">
        <v>1351</v>
      </c>
      <c r="E129" t="s">
        <v>1351</v>
      </c>
      <c r="F129" t="s">
        <v>195</v>
      </c>
      <c r="G129" t="s">
        <v>1351</v>
      </c>
      <c r="H129" t="s">
        <v>1351</v>
      </c>
    </row>
    <row r="130" spans="1:8" x14ac:dyDescent="0.2">
      <c r="A130">
        <v>92345</v>
      </c>
      <c r="B130">
        <v>32.75</v>
      </c>
      <c r="C130" t="s">
        <v>914</v>
      </c>
      <c r="D130" t="s">
        <v>1351</v>
      </c>
      <c r="E130" t="s">
        <v>1351</v>
      </c>
      <c r="F130" t="s">
        <v>1351</v>
      </c>
      <c r="G130" t="s">
        <v>1351</v>
      </c>
      <c r="H130" t="s">
        <v>1351</v>
      </c>
    </row>
    <row r="131" spans="1:8" x14ac:dyDescent="0.2">
      <c r="A131" t="s">
        <v>1395</v>
      </c>
      <c r="B131">
        <v>32</v>
      </c>
      <c r="C131" t="s">
        <v>914</v>
      </c>
      <c r="D131" t="s">
        <v>1351</v>
      </c>
      <c r="E131" t="s">
        <v>1351</v>
      </c>
      <c r="F131" t="s">
        <v>1351</v>
      </c>
      <c r="G131" t="s">
        <v>1351</v>
      </c>
      <c r="H131" t="s">
        <v>1351</v>
      </c>
    </row>
    <row r="132" spans="1:8" x14ac:dyDescent="0.2">
      <c r="A132">
        <v>92404</v>
      </c>
      <c r="B132">
        <v>32</v>
      </c>
      <c r="C132" t="s">
        <v>914</v>
      </c>
      <c r="D132" t="s">
        <v>202</v>
      </c>
      <c r="E132" t="s">
        <v>1353</v>
      </c>
      <c r="F132" t="s">
        <v>1353</v>
      </c>
      <c r="G132" t="s">
        <v>1353</v>
      </c>
      <c r="H132" t="s">
        <v>1353</v>
      </c>
    </row>
    <row r="133" spans="1:8" x14ac:dyDescent="0.2">
      <c r="A133">
        <v>92410</v>
      </c>
      <c r="B133">
        <v>31</v>
      </c>
      <c r="C133" t="s">
        <v>914</v>
      </c>
      <c r="D133" t="s">
        <v>202</v>
      </c>
      <c r="E133" t="s">
        <v>202</v>
      </c>
      <c r="F133" t="s">
        <v>202</v>
      </c>
      <c r="G133" t="s">
        <v>202</v>
      </c>
      <c r="H133" t="s">
        <v>202</v>
      </c>
    </row>
    <row r="134" spans="1:8" x14ac:dyDescent="0.2">
      <c r="A134">
        <v>90032</v>
      </c>
      <c r="B134">
        <v>30</v>
      </c>
      <c r="C134" t="s">
        <v>1390</v>
      </c>
      <c r="D134" t="s">
        <v>1351</v>
      </c>
      <c r="E134" t="s">
        <v>1351</v>
      </c>
      <c r="F134" t="s">
        <v>1351</v>
      </c>
      <c r="G134" t="s">
        <v>1351</v>
      </c>
      <c r="H134" t="s">
        <v>1351</v>
      </c>
    </row>
    <row r="135" spans="1:8" x14ac:dyDescent="0.2">
      <c r="A135">
        <v>91001</v>
      </c>
      <c r="B135">
        <v>30</v>
      </c>
      <c r="C135" t="s">
        <v>914</v>
      </c>
      <c r="D135" t="s">
        <v>1351</v>
      </c>
      <c r="E135" t="s">
        <v>1351</v>
      </c>
      <c r="F135" t="s">
        <v>1351</v>
      </c>
      <c r="G135" t="s">
        <v>1351</v>
      </c>
      <c r="H135" t="s">
        <v>1351</v>
      </c>
    </row>
    <row r="136" spans="1:8" x14ac:dyDescent="0.2">
      <c r="A136">
        <v>92411</v>
      </c>
      <c r="B136">
        <v>30</v>
      </c>
      <c r="C136" t="s">
        <v>914</v>
      </c>
      <c r="D136" t="s">
        <v>1351</v>
      </c>
      <c r="E136" t="s">
        <v>1351</v>
      </c>
      <c r="F136" t="s">
        <v>1351</v>
      </c>
      <c r="G136" t="s">
        <v>1351</v>
      </c>
      <c r="H136" t="s">
        <v>1351</v>
      </c>
    </row>
    <row r="137" spans="1:8" x14ac:dyDescent="0.2">
      <c r="A137">
        <v>92405</v>
      </c>
      <c r="B137">
        <v>30</v>
      </c>
      <c r="C137" t="s">
        <v>914</v>
      </c>
      <c r="D137" t="s">
        <v>1367</v>
      </c>
      <c r="E137" t="s">
        <v>1367</v>
      </c>
      <c r="F137" t="s">
        <v>1367</v>
      </c>
      <c r="G137" t="s">
        <v>1367</v>
      </c>
      <c r="H137" t="s">
        <v>1367</v>
      </c>
    </row>
    <row r="138" spans="1:8" x14ac:dyDescent="0.2">
      <c r="A138">
        <v>90302</v>
      </c>
      <c r="B138">
        <v>30</v>
      </c>
      <c r="C138" t="s">
        <v>914</v>
      </c>
      <c r="D138" t="s">
        <v>1351</v>
      </c>
      <c r="E138" t="s">
        <v>1351</v>
      </c>
      <c r="F138" t="s">
        <v>1351</v>
      </c>
      <c r="G138" t="s">
        <v>1351</v>
      </c>
      <c r="H138" t="s">
        <v>1351</v>
      </c>
    </row>
    <row r="139" spans="1:8" x14ac:dyDescent="0.2">
      <c r="A139" t="s">
        <v>1396</v>
      </c>
      <c r="B139">
        <v>30</v>
      </c>
      <c r="C139" t="s">
        <v>914</v>
      </c>
      <c r="D139" t="s">
        <v>1351</v>
      </c>
      <c r="E139" t="s">
        <v>1353</v>
      </c>
      <c r="F139" t="s">
        <v>1351</v>
      </c>
      <c r="G139" t="s">
        <v>1353</v>
      </c>
      <c r="H139" t="s">
        <v>1351</v>
      </c>
    </row>
    <row r="140" spans="1:8" x14ac:dyDescent="0.2">
      <c r="A140">
        <v>90723</v>
      </c>
      <c r="B140">
        <v>29.47</v>
      </c>
      <c r="C140" t="s">
        <v>914</v>
      </c>
      <c r="D140" t="s">
        <v>1351</v>
      </c>
      <c r="E140" t="s">
        <v>1351</v>
      </c>
      <c r="F140" t="s">
        <v>1351</v>
      </c>
      <c r="G140" t="s">
        <v>1351</v>
      </c>
      <c r="H140" t="s">
        <v>1351</v>
      </c>
    </row>
    <row r="141" spans="1:8" x14ac:dyDescent="0.2">
      <c r="A141">
        <v>92405</v>
      </c>
      <c r="B141">
        <v>29</v>
      </c>
      <c r="C141" t="s">
        <v>914</v>
      </c>
      <c r="D141" t="s">
        <v>1351</v>
      </c>
      <c r="E141" t="s">
        <v>1351</v>
      </c>
      <c r="F141" t="s">
        <v>1351</v>
      </c>
      <c r="G141" t="s">
        <v>1351</v>
      </c>
      <c r="H141" t="s">
        <v>1351</v>
      </c>
    </row>
    <row r="142" spans="1:8" x14ac:dyDescent="0.2">
      <c r="A142">
        <v>92404</v>
      </c>
      <c r="B142">
        <v>27.6</v>
      </c>
      <c r="C142" t="s">
        <v>914</v>
      </c>
      <c r="D142" t="s">
        <v>1351</v>
      </c>
      <c r="E142" t="s">
        <v>1351</v>
      </c>
      <c r="F142" t="s">
        <v>1351</v>
      </c>
      <c r="G142" t="s">
        <v>1351</v>
      </c>
      <c r="H142" t="s">
        <v>1351</v>
      </c>
    </row>
    <row r="143" spans="1:8" x14ac:dyDescent="0.2">
      <c r="A143">
        <v>92865</v>
      </c>
      <c r="B143">
        <v>27</v>
      </c>
      <c r="C143" t="s">
        <v>914</v>
      </c>
      <c r="D143" t="s">
        <v>1351</v>
      </c>
      <c r="E143" t="s">
        <v>1351</v>
      </c>
      <c r="F143" t="s">
        <v>1351</v>
      </c>
      <c r="G143" t="s">
        <v>1351</v>
      </c>
      <c r="H143" t="s">
        <v>1351</v>
      </c>
    </row>
    <row r="144" spans="1:8" x14ac:dyDescent="0.2">
      <c r="A144">
        <v>91106</v>
      </c>
      <c r="B144">
        <v>27</v>
      </c>
      <c r="C144" t="s">
        <v>914</v>
      </c>
      <c r="D144" t="s">
        <v>191</v>
      </c>
      <c r="E144" t="s">
        <v>1351</v>
      </c>
      <c r="F144" t="s">
        <v>1351</v>
      </c>
      <c r="G144" t="s">
        <v>1351</v>
      </c>
      <c r="H144" t="s">
        <v>191</v>
      </c>
    </row>
    <row r="145" spans="1:8" x14ac:dyDescent="0.2">
      <c r="A145">
        <v>92411</v>
      </c>
      <c r="B145">
        <v>27</v>
      </c>
      <c r="C145" t="s">
        <v>914</v>
      </c>
      <c r="D145" t="s">
        <v>202</v>
      </c>
      <c r="E145" t="s">
        <v>202</v>
      </c>
      <c r="F145" t="s">
        <v>202</v>
      </c>
      <c r="G145" t="s">
        <v>202</v>
      </c>
      <c r="H145" t="s">
        <v>202</v>
      </c>
    </row>
    <row r="146" spans="1:8" x14ac:dyDescent="0.2">
      <c r="A146">
        <v>92880</v>
      </c>
      <c r="B146">
        <v>27</v>
      </c>
      <c r="C146" t="s">
        <v>914</v>
      </c>
      <c r="D146" t="s">
        <v>1351</v>
      </c>
      <c r="E146" t="s">
        <v>1351</v>
      </c>
      <c r="F146" t="s">
        <v>1351</v>
      </c>
      <c r="G146" t="s">
        <v>1351</v>
      </c>
      <c r="H146" t="s">
        <v>1351</v>
      </c>
    </row>
    <row r="147" spans="1:8" x14ac:dyDescent="0.2">
      <c r="A147">
        <v>91104</v>
      </c>
      <c r="B147">
        <v>27</v>
      </c>
      <c r="C147" t="s">
        <v>914</v>
      </c>
      <c r="D147" t="s">
        <v>1351</v>
      </c>
      <c r="E147" t="s">
        <v>1351</v>
      </c>
      <c r="F147" t="s">
        <v>1351</v>
      </c>
      <c r="G147" t="s">
        <v>1351</v>
      </c>
      <c r="H147" t="s">
        <v>1351</v>
      </c>
    </row>
    <row r="148" spans="1:8" x14ac:dyDescent="0.2">
      <c r="A148" t="s">
        <v>1397</v>
      </c>
      <c r="B148">
        <v>26</v>
      </c>
      <c r="C148" t="s">
        <v>914</v>
      </c>
      <c r="D148" t="s">
        <v>1353</v>
      </c>
      <c r="E148" t="s">
        <v>1353</v>
      </c>
      <c r="F148" t="s">
        <v>1353</v>
      </c>
      <c r="G148" t="s">
        <v>1353</v>
      </c>
      <c r="H148" t="s">
        <v>1353</v>
      </c>
    </row>
    <row r="149" spans="1:8" x14ac:dyDescent="0.2">
      <c r="A149">
        <v>91725</v>
      </c>
      <c r="B149">
        <v>26</v>
      </c>
      <c r="C149" t="s">
        <v>914</v>
      </c>
      <c r="D149" t="s">
        <v>1351</v>
      </c>
      <c r="E149" t="s">
        <v>1351</v>
      </c>
      <c r="F149" t="s">
        <v>1351</v>
      </c>
      <c r="G149" t="s">
        <v>1351</v>
      </c>
      <c r="H149" t="s">
        <v>1351</v>
      </c>
    </row>
    <row r="150" spans="1:8" x14ac:dyDescent="0.2">
      <c r="A150" t="s">
        <v>1398</v>
      </c>
      <c r="B150">
        <v>26</v>
      </c>
      <c r="C150" t="s">
        <v>914</v>
      </c>
      <c r="D150" t="s">
        <v>1353</v>
      </c>
      <c r="E150" t="s">
        <v>1353</v>
      </c>
      <c r="F150" t="s">
        <v>1353</v>
      </c>
      <c r="G150" t="s">
        <v>1353</v>
      </c>
      <c r="H150" t="s">
        <v>1353</v>
      </c>
    </row>
    <row r="151" spans="1:8" x14ac:dyDescent="0.2">
      <c r="A151">
        <v>91780</v>
      </c>
      <c r="B151">
        <v>25</v>
      </c>
      <c r="C151" t="s">
        <v>914</v>
      </c>
      <c r="D151" t="s">
        <v>1351</v>
      </c>
      <c r="E151" t="s">
        <v>1351</v>
      </c>
      <c r="F151" t="s">
        <v>1351</v>
      </c>
      <c r="G151" t="s">
        <v>1351</v>
      </c>
      <c r="H151" t="s">
        <v>1351</v>
      </c>
    </row>
    <row r="152" spans="1:8" x14ac:dyDescent="0.2">
      <c r="A152" t="s">
        <v>1399</v>
      </c>
      <c r="B152">
        <v>25</v>
      </c>
      <c r="C152" t="s">
        <v>914</v>
      </c>
      <c r="D152" t="s">
        <v>1351</v>
      </c>
      <c r="E152" t="s">
        <v>1351</v>
      </c>
      <c r="F152" t="s">
        <v>1351</v>
      </c>
      <c r="G152" t="s">
        <v>1351</v>
      </c>
      <c r="H152" t="s">
        <v>1351</v>
      </c>
    </row>
    <row r="153" spans="1:8" x14ac:dyDescent="0.2">
      <c r="A153">
        <v>92882</v>
      </c>
      <c r="B153">
        <v>25</v>
      </c>
      <c r="C153" t="s">
        <v>914</v>
      </c>
      <c r="D153" t="s">
        <v>1351</v>
      </c>
      <c r="E153" t="s">
        <v>1351</v>
      </c>
      <c r="F153" t="s">
        <v>1351</v>
      </c>
      <c r="G153" t="s">
        <v>1351</v>
      </c>
      <c r="H153" t="s">
        <v>1351</v>
      </c>
    </row>
    <row r="154" spans="1:8" x14ac:dyDescent="0.2">
      <c r="A154">
        <v>92376</v>
      </c>
      <c r="B154">
        <v>25</v>
      </c>
      <c r="C154" t="s">
        <v>914</v>
      </c>
      <c r="D154" t="s">
        <v>1353</v>
      </c>
      <c r="E154" t="s">
        <v>1353</v>
      </c>
      <c r="F154" t="s">
        <v>202</v>
      </c>
      <c r="G154" t="s">
        <v>1353</v>
      </c>
      <c r="H154" t="s">
        <v>1353</v>
      </c>
    </row>
    <row r="155" spans="1:8" x14ac:dyDescent="0.2">
      <c r="A155">
        <v>92316</v>
      </c>
      <c r="B155">
        <v>25</v>
      </c>
      <c r="C155" t="s">
        <v>914</v>
      </c>
      <c r="D155" t="s">
        <v>202</v>
      </c>
      <c r="E155" t="s">
        <v>202</v>
      </c>
      <c r="F155" t="s">
        <v>202</v>
      </c>
      <c r="G155" t="s">
        <v>202</v>
      </c>
      <c r="H155" t="s">
        <v>1353</v>
      </c>
    </row>
    <row r="156" spans="1:8" x14ac:dyDescent="0.2">
      <c r="A156">
        <v>92316</v>
      </c>
      <c r="B156">
        <v>25</v>
      </c>
      <c r="C156" t="s">
        <v>914</v>
      </c>
      <c r="D156" t="s">
        <v>202</v>
      </c>
      <c r="E156" t="s">
        <v>202</v>
      </c>
      <c r="F156" t="s">
        <v>202</v>
      </c>
      <c r="G156" t="s">
        <v>202</v>
      </c>
      <c r="H156" t="s">
        <v>202</v>
      </c>
    </row>
    <row r="157" spans="1:8" x14ac:dyDescent="0.2">
      <c r="A157">
        <v>92376</v>
      </c>
      <c r="B157">
        <v>25</v>
      </c>
      <c r="C157" t="s">
        <v>914</v>
      </c>
      <c r="D157" t="s">
        <v>202</v>
      </c>
      <c r="E157" t="s">
        <v>1353</v>
      </c>
      <c r="F157" t="s">
        <v>202</v>
      </c>
      <c r="G157" t="s">
        <v>1353</v>
      </c>
      <c r="H157" t="s">
        <v>202</v>
      </c>
    </row>
    <row r="158" spans="1:8" x14ac:dyDescent="0.2">
      <c r="A158">
        <v>92376</v>
      </c>
      <c r="B158">
        <v>25</v>
      </c>
      <c r="C158" t="s">
        <v>914</v>
      </c>
      <c r="D158" t="s">
        <v>202</v>
      </c>
      <c r="E158" t="s">
        <v>1353</v>
      </c>
      <c r="F158" t="s">
        <v>1353</v>
      </c>
      <c r="G158" t="s">
        <v>202</v>
      </c>
      <c r="H158" t="s">
        <v>202</v>
      </c>
    </row>
    <row r="159" spans="1:8" x14ac:dyDescent="0.2">
      <c r="A159">
        <v>91101</v>
      </c>
      <c r="B159">
        <v>25</v>
      </c>
      <c r="C159" t="s">
        <v>914</v>
      </c>
      <c r="D159" t="s">
        <v>1353</v>
      </c>
      <c r="E159" t="s">
        <v>1353</v>
      </c>
      <c r="F159" t="s">
        <v>1353</v>
      </c>
      <c r="G159" t="s">
        <v>1353</v>
      </c>
      <c r="H159" t="s">
        <v>1353</v>
      </c>
    </row>
    <row r="160" spans="1:8" x14ac:dyDescent="0.2">
      <c r="A160">
        <v>92405</v>
      </c>
      <c r="B160">
        <v>25</v>
      </c>
      <c r="C160" t="s">
        <v>914</v>
      </c>
      <c r="D160" t="s">
        <v>202</v>
      </c>
      <c r="E160" t="s">
        <v>202</v>
      </c>
      <c r="F160" t="s">
        <v>202</v>
      </c>
      <c r="G160" t="s">
        <v>202</v>
      </c>
      <c r="H160" t="s">
        <v>202</v>
      </c>
    </row>
    <row r="161" spans="1:8" x14ac:dyDescent="0.2">
      <c r="A161" t="s">
        <v>1400</v>
      </c>
      <c r="B161">
        <v>25</v>
      </c>
      <c r="C161" t="s">
        <v>914</v>
      </c>
      <c r="D161" t="s">
        <v>1351</v>
      </c>
      <c r="E161" t="s">
        <v>1351</v>
      </c>
      <c r="F161" t="s">
        <v>1351</v>
      </c>
      <c r="G161" t="s">
        <v>1351</v>
      </c>
      <c r="H161" t="s">
        <v>1351</v>
      </c>
    </row>
    <row r="162" spans="1:8" x14ac:dyDescent="0.2">
      <c r="A162">
        <v>91106</v>
      </c>
      <c r="B162">
        <v>24.8</v>
      </c>
      <c r="C162" t="s">
        <v>914</v>
      </c>
      <c r="D162" t="s">
        <v>1351</v>
      </c>
      <c r="E162" t="s">
        <v>1351</v>
      </c>
      <c r="F162" t="s">
        <v>1351</v>
      </c>
      <c r="G162" t="s">
        <v>1351</v>
      </c>
      <c r="H162" t="s">
        <v>1351</v>
      </c>
    </row>
    <row r="163" spans="1:8" x14ac:dyDescent="0.2">
      <c r="A163">
        <v>92880</v>
      </c>
      <c r="B163">
        <v>23</v>
      </c>
      <c r="C163" t="s">
        <v>914</v>
      </c>
      <c r="D163" t="s">
        <v>1351</v>
      </c>
      <c r="E163" t="s">
        <v>1351</v>
      </c>
      <c r="F163" t="s">
        <v>1351</v>
      </c>
      <c r="G163" t="s">
        <v>1351</v>
      </c>
      <c r="H163" t="s">
        <v>1351</v>
      </c>
    </row>
    <row r="164" spans="1:8" x14ac:dyDescent="0.2">
      <c r="A164">
        <v>92336</v>
      </c>
      <c r="B164">
        <v>23</v>
      </c>
      <c r="C164" t="s">
        <v>1390</v>
      </c>
      <c r="D164" t="s">
        <v>1355</v>
      </c>
      <c r="E164" t="s">
        <v>1355</v>
      </c>
      <c r="F164" t="s">
        <v>1355</v>
      </c>
      <c r="G164" t="s">
        <v>1355</v>
      </c>
      <c r="H164" t="s">
        <v>1355</v>
      </c>
    </row>
    <row r="165" spans="1:8" x14ac:dyDescent="0.2">
      <c r="A165">
        <v>92501</v>
      </c>
      <c r="B165">
        <v>23</v>
      </c>
      <c r="C165" t="s">
        <v>914</v>
      </c>
      <c r="D165" t="s">
        <v>199</v>
      </c>
      <c r="E165" t="s">
        <v>199</v>
      </c>
      <c r="F165" t="s">
        <v>199</v>
      </c>
      <c r="G165" t="s">
        <v>199</v>
      </c>
      <c r="H165" t="s">
        <v>199</v>
      </c>
    </row>
    <row r="166" spans="1:8" x14ac:dyDescent="0.2">
      <c r="A166">
        <v>92880</v>
      </c>
      <c r="B166">
        <v>23</v>
      </c>
      <c r="C166" t="s">
        <v>914</v>
      </c>
      <c r="D166" t="s">
        <v>1351</v>
      </c>
      <c r="E166" t="s">
        <v>1351</v>
      </c>
      <c r="F166" t="s">
        <v>1351</v>
      </c>
      <c r="G166" t="s">
        <v>1351</v>
      </c>
      <c r="H166" t="s">
        <v>1351</v>
      </c>
    </row>
    <row r="167" spans="1:8" x14ac:dyDescent="0.2">
      <c r="A167">
        <v>91007</v>
      </c>
      <c r="B167">
        <v>22</v>
      </c>
      <c r="C167" t="s">
        <v>914</v>
      </c>
      <c r="D167" t="s">
        <v>202</v>
      </c>
      <c r="E167" t="s">
        <v>202</v>
      </c>
      <c r="F167" t="s">
        <v>1353</v>
      </c>
      <c r="G167" t="s">
        <v>1353</v>
      </c>
      <c r="H167" t="s">
        <v>1353</v>
      </c>
    </row>
    <row r="168" spans="1:8" x14ac:dyDescent="0.2">
      <c r="A168">
        <v>92337</v>
      </c>
      <c r="B168">
        <v>22</v>
      </c>
      <c r="C168" t="s">
        <v>914</v>
      </c>
      <c r="D168" t="s">
        <v>1353</v>
      </c>
      <c r="E168" t="s">
        <v>1353</v>
      </c>
      <c r="F168" t="s">
        <v>1353</v>
      </c>
      <c r="G168" t="s">
        <v>1353</v>
      </c>
      <c r="H168" t="s">
        <v>1353</v>
      </c>
    </row>
    <row r="169" spans="1:8" x14ac:dyDescent="0.2">
      <c r="A169">
        <v>91791</v>
      </c>
      <c r="B169">
        <v>22</v>
      </c>
      <c r="C169" t="s">
        <v>914</v>
      </c>
      <c r="D169" t="s">
        <v>1353</v>
      </c>
      <c r="E169" t="s">
        <v>202</v>
      </c>
      <c r="F169" t="s">
        <v>202</v>
      </c>
      <c r="G169" t="s">
        <v>1353</v>
      </c>
      <c r="H169" t="s">
        <v>1353</v>
      </c>
    </row>
    <row r="170" spans="1:8" x14ac:dyDescent="0.2">
      <c r="A170">
        <v>92335</v>
      </c>
      <c r="B170">
        <v>22</v>
      </c>
      <c r="C170" t="s">
        <v>914</v>
      </c>
      <c r="D170" t="s">
        <v>202</v>
      </c>
      <c r="E170" t="s">
        <v>1353</v>
      </c>
      <c r="F170" t="s">
        <v>1353</v>
      </c>
      <c r="G170" t="s">
        <v>202</v>
      </c>
      <c r="H170" t="s">
        <v>202</v>
      </c>
    </row>
    <row r="171" spans="1:8" x14ac:dyDescent="0.2">
      <c r="A171">
        <v>91790</v>
      </c>
      <c r="B171">
        <v>22</v>
      </c>
      <c r="C171" t="s">
        <v>914</v>
      </c>
      <c r="D171" t="s">
        <v>202</v>
      </c>
      <c r="E171" t="s">
        <v>1353</v>
      </c>
      <c r="F171" t="s">
        <v>1353</v>
      </c>
      <c r="G171" t="s">
        <v>202</v>
      </c>
      <c r="H171" t="s">
        <v>202</v>
      </c>
    </row>
    <row r="172" spans="1:8" x14ac:dyDescent="0.2">
      <c r="A172">
        <v>92835</v>
      </c>
      <c r="B172">
        <v>21</v>
      </c>
      <c r="C172" t="s">
        <v>914</v>
      </c>
      <c r="D172" t="s">
        <v>1351</v>
      </c>
      <c r="E172" t="s">
        <v>1351</v>
      </c>
      <c r="F172" t="s">
        <v>1351</v>
      </c>
      <c r="G172" t="s">
        <v>1351</v>
      </c>
      <c r="H172" t="s">
        <v>1351</v>
      </c>
    </row>
    <row r="173" spans="1:8" x14ac:dyDescent="0.2">
      <c r="A173">
        <v>92880</v>
      </c>
      <c r="B173">
        <v>21</v>
      </c>
      <c r="C173" t="s">
        <v>914</v>
      </c>
      <c r="D173" t="s">
        <v>1351</v>
      </c>
      <c r="E173" t="s">
        <v>195</v>
      </c>
      <c r="F173" t="s">
        <v>1351</v>
      </c>
      <c r="G173" t="s">
        <v>1351</v>
      </c>
      <c r="H173" t="s">
        <v>1351</v>
      </c>
    </row>
    <row r="174" spans="1:8" x14ac:dyDescent="0.2">
      <c r="A174">
        <v>92335</v>
      </c>
      <c r="B174">
        <v>21</v>
      </c>
      <c r="C174" t="s">
        <v>914</v>
      </c>
      <c r="D174" t="s">
        <v>1353</v>
      </c>
      <c r="E174" t="s">
        <v>1353</v>
      </c>
      <c r="F174" t="s">
        <v>1353</v>
      </c>
      <c r="G174" t="s">
        <v>1353</v>
      </c>
      <c r="H174" t="s">
        <v>1353</v>
      </c>
    </row>
    <row r="175" spans="1:8" x14ac:dyDescent="0.2">
      <c r="A175">
        <v>92335</v>
      </c>
      <c r="B175">
        <v>21</v>
      </c>
      <c r="C175" t="s">
        <v>914</v>
      </c>
      <c r="D175" t="s">
        <v>202</v>
      </c>
      <c r="E175" t="s">
        <v>202</v>
      </c>
      <c r="F175" t="s">
        <v>202</v>
      </c>
      <c r="G175" t="s">
        <v>202</v>
      </c>
      <c r="H175" t="s">
        <v>202</v>
      </c>
    </row>
    <row r="176" spans="1:8" x14ac:dyDescent="0.2">
      <c r="A176">
        <v>91105</v>
      </c>
      <c r="B176">
        <v>20</v>
      </c>
      <c r="C176" t="s">
        <v>914</v>
      </c>
      <c r="D176" t="s">
        <v>1351</v>
      </c>
      <c r="E176" t="s">
        <v>1351</v>
      </c>
      <c r="F176" t="s">
        <v>1351</v>
      </c>
      <c r="G176" t="s">
        <v>1351</v>
      </c>
      <c r="H176" t="s">
        <v>1351</v>
      </c>
    </row>
    <row r="177" spans="1:8" x14ac:dyDescent="0.2">
      <c r="A177">
        <v>91761</v>
      </c>
      <c r="B177">
        <v>20</v>
      </c>
      <c r="C177" t="s">
        <v>914</v>
      </c>
      <c r="D177" t="s">
        <v>1353</v>
      </c>
      <c r="E177" t="s">
        <v>199</v>
      </c>
      <c r="F177" t="s">
        <v>1353</v>
      </c>
      <c r="G177" t="s">
        <v>1353</v>
      </c>
      <c r="H177" t="s">
        <v>199</v>
      </c>
    </row>
    <row r="178" spans="1:8" x14ac:dyDescent="0.2">
      <c r="A178">
        <v>92337</v>
      </c>
      <c r="B178">
        <v>20</v>
      </c>
      <c r="C178" t="s">
        <v>914</v>
      </c>
      <c r="D178" t="s">
        <v>1351</v>
      </c>
      <c r="E178" t="s">
        <v>1351</v>
      </c>
      <c r="F178" t="s">
        <v>1351</v>
      </c>
      <c r="G178" t="s">
        <v>1351</v>
      </c>
      <c r="H178" t="s">
        <v>1351</v>
      </c>
    </row>
    <row r="179" spans="1:8" x14ac:dyDescent="0.2">
      <c r="A179">
        <v>92335</v>
      </c>
      <c r="B179">
        <v>20</v>
      </c>
      <c r="C179" t="s">
        <v>914</v>
      </c>
      <c r="D179" t="s">
        <v>1353</v>
      </c>
      <c r="E179" t="s">
        <v>1353</v>
      </c>
      <c r="F179" t="s">
        <v>1353</v>
      </c>
      <c r="G179" t="s">
        <v>1353</v>
      </c>
      <c r="H179" t="s">
        <v>1353</v>
      </c>
    </row>
    <row r="180" spans="1:8" x14ac:dyDescent="0.2">
      <c r="A180">
        <v>92337</v>
      </c>
      <c r="B180">
        <v>20</v>
      </c>
      <c r="C180" t="s">
        <v>914</v>
      </c>
      <c r="D180" t="s">
        <v>1353</v>
      </c>
      <c r="E180" t="s">
        <v>1353</v>
      </c>
      <c r="F180" t="s">
        <v>1353</v>
      </c>
      <c r="G180" t="s">
        <v>1353</v>
      </c>
      <c r="H180" t="s">
        <v>202</v>
      </c>
    </row>
    <row r="181" spans="1:8" x14ac:dyDescent="0.2">
      <c r="A181">
        <v>91761</v>
      </c>
      <c r="B181">
        <v>20</v>
      </c>
      <c r="C181" t="s">
        <v>914</v>
      </c>
      <c r="D181" t="s">
        <v>202</v>
      </c>
      <c r="E181" t="s">
        <v>1353</v>
      </c>
      <c r="F181" t="s">
        <v>1353</v>
      </c>
      <c r="G181" t="s">
        <v>202</v>
      </c>
      <c r="H181" t="s">
        <v>202</v>
      </c>
    </row>
    <row r="182" spans="1:8" x14ac:dyDescent="0.2">
      <c r="A182">
        <v>92336</v>
      </c>
      <c r="B182">
        <v>20</v>
      </c>
      <c r="C182" t="s">
        <v>914</v>
      </c>
      <c r="D182" t="s">
        <v>1353</v>
      </c>
      <c r="E182" t="s">
        <v>1353</v>
      </c>
      <c r="F182" t="s">
        <v>1353</v>
      </c>
      <c r="G182" t="s">
        <v>1353</v>
      </c>
      <c r="H182" t="s">
        <v>1353</v>
      </c>
    </row>
    <row r="183" spans="1:8" x14ac:dyDescent="0.2">
      <c r="A183">
        <v>92337</v>
      </c>
      <c r="B183">
        <v>19</v>
      </c>
      <c r="C183" t="s">
        <v>914</v>
      </c>
      <c r="D183" t="s">
        <v>1351</v>
      </c>
      <c r="E183" t="s">
        <v>1353</v>
      </c>
      <c r="F183" t="s">
        <v>1351</v>
      </c>
      <c r="G183" t="s">
        <v>1353</v>
      </c>
      <c r="H183" t="s">
        <v>1351</v>
      </c>
    </row>
    <row r="184" spans="1:8" x14ac:dyDescent="0.2">
      <c r="A184">
        <v>91739</v>
      </c>
      <c r="B184">
        <v>19</v>
      </c>
      <c r="C184" t="s">
        <v>914</v>
      </c>
      <c r="D184" t="s">
        <v>1351</v>
      </c>
      <c r="E184" t="s">
        <v>191</v>
      </c>
      <c r="F184" t="s">
        <v>1351</v>
      </c>
      <c r="G184" t="s">
        <v>1351</v>
      </c>
      <c r="H184" t="s">
        <v>1351</v>
      </c>
    </row>
    <row r="185" spans="1:8" x14ac:dyDescent="0.2">
      <c r="A185">
        <v>92336</v>
      </c>
      <c r="B185">
        <v>18</v>
      </c>
      <c r="C185" t="s">
        <v>914</v>
      </c>
      <c r="D185" t="s">
        <v>1351</v>
      </c>
      <c r="E185" t="s">
        <v>1351</v>
      </c>
      <c r="F185" t="s">
        <v>1351</v>
      </c>
      <c r="G185" t="s">
        <v>1351</v>
      </c>
      <c r="H185" t="s">
        <v>1351</v>
      </c>
    </row>
    <row r="186" spans="1:8" x14ac:dyDescent="0.2">
      <c r="A186">
        <v>91706</v>
      </c>
      <c r="B186">
        <v>18</v>
      </c>
      <c r="C186" t="s">
        <v>914</v>
      </c>
      <c r="D186" t="s">
        <v>1351</v>
      </c>
      <c r="E186" t="s">
        <v>1351</v>
      </c>
      <c r="F186" t="s">
        <v>1351</v>
      </c>
      <c r="G186" t="s">
        <v>1351</v>
      </c>
      <c r="H186" t="s">
        <v>1351</v>
      </c>
    </row>
    <row r="187" spans="1:8" x14ac:dyDescent="0.2">
      <c r="A187">
        <v>92337</v>
      </c>
      <c r="B187">
        <v>18</v>
      </c>
      <c r="C187" t="s">
        <v>914</v>
      </c>
      <c r="D187" t="s">
        <v>1353</v>
      </c>
      <c r="E187" t="s">
        <v>1353</v>
      </c>
      <c r="F187" t="s">
        <v>1351</v>
      </c>
      <c r="G187" t="s">
        <v>1351</v>
      </c>
      <c r="H187" t="s">
        <v>1353</v>
      </c>
    </row>
    <row r="188" spans="1:8" x14ac:dyDescent="0.2">
      <c r="A188">
        <v>91761</v>
      </c>
      <c r="B188">
        <v>18</v>
      </c>
      <c r="C188" t="s">
        <v>914</v>
      </c>
      <c r="D188" t="s">
        <v>1353</v>
      </c>
      <c r="E188" t="s">
        <v>1353</v>
      </c>
      <c r="F188" t="s">
        <v>202</v>
      </c>
      <c r="G188" t="s">
        <v>202</v>
      </c>
      <c r="H188" t="s">
        <v>1353</v>
      </c>
    </row>
    <row r="189" spans="1:8" x14ac:dyDescent="0.2">
      <c r="A189">
        <v>92336</v>
      </c>
      <c r="B189">
        <v>17.600000000000001</v>
      </c>
      <c r="C189" t="s">
        <v>914</v>
      </c>
      <c r="D189" t="s">
        <v>1352</v>
      </c>
      <c r="E189" t="s">
        <v>1352</v>
      </c>
      <c r="F189" t="s">
        <v>1352</v>
      </c>
      <c r="G189" t="s">
        <v>1352</v>
      </c>
      <c r="H189" t="s">
        <v>1352</v>
      </c>
    </row>
    <row r="190" spans="1:8" x14ac:dyDescent="0.2">
      <c r="A190">
        <v>92336</v>
      </c>
      <c r="B190">
        <v>17</v>
      </c>
      <c r="C190" t="s">
        <v>914</v>
      </c>
      <c r="D190" t="s">
        <v>1353</v>
      </c>
      <c r="E190" t="s">
        <v>1353</v>
      </c>
      <c r="F190" t="s">
        <v>1353</v>
      </c>
      <c r="G190" t="s">
        <v>199</v>
      </c>
      <c r="H190" t="s">
        <v>199</v>
      </c>
    </row>
    <row r="191" spans="1:8" x14ac:dyDescent="0.2">
      <c r="A191">
        <v>91761</v>
      </c>
      <c r="B191">
        <v>17</v>
      </c>
      <c r="C191" t="s">
        <v>914</v>
      </c>
      <c r="D191" t="s">
        <v>1353</v>
      </c>
      <c r="E191" t="s">
        <v>1353</v>
      </c>
      <c r="F191" t="s">
        <v>1353</v>
      </c>
      <c r="G191" t="s">
        <v>1353</v>
      </c>
      <c r="H191" t="s">
        <v>1353</v>
      </c>
    </row>
    <row r="192" spans="1:8" x14ac:dyDescent="0.2">
      <c r="A192">
        <v>92337</v>
      </c>
      <c r="B192">
        <v>16</v>
      </c>
      <c r="C192" t="s">
        <v>914</v>
      </c>
      <c r="D192" t="s">
        <v>1351</v>
      </c>
      <c r="E192" t="s">
        <v>1353</v>
      </c>
      <c r="F192" t="s">
        <v>1351</v>
      </c>
      <c r="G192" t="s">
        <v>1353</v>
      </c>
      <c r="H192" t="s">
        <v>1351</v>
      </c>
    </row>
    <row r="193" spans="1:8" x14ac:dyDescent="0.2">
      <c r="A193" t="s">
        <v>1401</v>
      </c>
      <c r="B193">
        <v>16</v>
      </c>
      <c r="C193" t="s">
        <v>914</v>
      </c>
      <c r="D193" t="s">
        <v>1351</v>
      </c>
      <c r="E193" t="s">
        <v>1351</v>
      </c>
      <c r="F193" t="s">
        <v>1351</v>
      </c>
      <c r="G193" t="s">
        <v>1351</v>
      </c>
      <c r="H193" t="s">
        <v>1351</v>
      </c>
    </row>
    <row r="194" spans="1:8" x14ac:dyDescent="0.2">
      <c r="A194">
        <v>92336</v>
      </c>
      <c r="B194">
        <v>16</v>
      </c>
      <c r="C194" t="s">
        <v>914</v>
      </c>
      <c r="D194" t="s">
        <v>1351</v>
      </c>
      <c r="E194" t="s">
        <v>1351</v>
      </c>
      <c r="F194" t="s">
        <v>1351</v>
      </c>
      <c r="G194" t="s">
        <v>1351</v>
      </c>
      <c r="H194" t="s">
        <v>1351</v>
      </c>
    </row>
    <row r="195" spans="1:8" x14ac:dyDescent="0.2">
      <c r="A195">
        <v>92336</v>
      </c>
      <c r="B195">
        <v>16</v>
      </c>
      <c r="C195" t="s">
        <v>914</v>
      </c>
      <c r="D195" t="s">
        <v>1351</v>
      </c>
      <c r="E195" t="s">
        <v>1351</v>
      </c>
      <c r="F195" t="s">
        <v>1351</v>
      </c>
      <c r="G195" t="s">
        <v>1351</v>
      </c>
      <c r="H195" t="s">
        <v>1351</v>
      </c>
    </row>
    <row r="196" spans="1:8" x14ac:dyDescent="0.2">
      <c r="A196">
        <v>91744</v>
      </c>
      <c r="B196">
        <v>16</v>
      </c>
      <c r="C196" t="s">
        <v>914</v>
      </c>
      <c r="D196" t="s">
        <v>1351</v>
      </c>
      <c r="E196" t="s">
        <v>1351</v>
      </c>
      <c r="F196" t="s">
        <v>1351</v>
      </c>
      <c r="G196" t="s">
        <v>1351</v>
      </c>
      <c r="H196" t="s">
        <v>1351</v>
      </c>
    </row>
    <row r="197" spans="1:8" x14ac:dyDescent="0.2">
      <c r="A197">
        <v>91706</v>
      </c>
      <c r="B197">
        <v>15</v>
      </c>
      <c r="C197" t="s">
        <v>914</v>
      </c>
      <c r="D197" t="s">
        <v>1351</v>
      </c>
      <c r="E197" t="s">
        <v>1351</v>
      </c>
      <c r="F197" t="s">
        <v>1351</v>
      </c>
      <c r="G197" t="s">
        <v>1351</v>
      </c>
      <c r="H197" t="s">
        <v>1351</v>
      </c>
    </row>
    <row r="198" spans="1:8" x14ac:dyDescent="0.2">
      <c r="A198">
        <v>91708</v>
      </c>
      <c r="B198">
        <v>15</v>
      </c>
      <c r="C198" t="s">
        <v>914</v>
      </c>
      <c r="D198" t="s">
        <v>1351</v>
      </c>
      <c r="E198" t="s">
        <v>1351</v>
      </c>
      <c r="F198" t="s">
        <v>1351</v>
      </c>
      <c r="G198" t="s">
        <v>1351</v>
      </c>
      <c r="H198" t="s">
        <v>1351</v>
      </c>
    </row>
    <row r="199" spans="1:8" x14ac:dyDescent="0.2">
      <c r="A199">
        <v>91739</v>
      </c>
      <c r="B199">
        <v>15</v>
      </c>
      <c r="C199" t="s">
        <v>914</v>
      </c>
      <c r="D199" t="s">
        <v>1351</v>
      </c>
      <c r="E199" t="s">
        <v>1351</v>
      </c>
      <c r="F199" t="s">
        <v>1351</v>
      </c>
      <c r="G199" t="s">
        <v>1351</v>
      </c>
      <c r="H199" t="s">
        <v>1351</v>
      </c>
    </row>
    <row r="200" spans="1:8" x14ac:dyDescent="0.2">
      <c r="A200">
        <v>91722</v>
      </c>
      <c r="B200">
        <v>15</v>
      </c>
      <c r="C200" t="s">
        <v>914</v>
      </c>
      <c r="D200" t="s">
        <v>1351</v>
      </c>
      <c r="E200" t="s">
        <v>1351</v>
      </c>
      <c r="F200" t="s">
        <v>1351</v>
      </c>
      <c r="G200" t="s">
        <v>1351</v>
      </c>
      <c r="H200" t="s">
        <v>1351</v>
      </c>
    </row>
    <row r="201" spans="1:8" x14ac:dyDescent="0.2">
      <c r="A201">
        <v>91790</v>
      </c>
      <c r="B201">
        <v>15</v>
      </c>
      <c r="C201" t="s">
        <v>914</v>
      </c>
      <c r="D201" t="s">
        <v>1353</v>
      </c>
      <c r="E201" t="s">
        <v>1351</v>
      </c>
      <c r="F201" t="s">
        <v>1351</v>
      </c>
      <c r="G201" t="s">
        <v>1351</v>
      </c>
      <c r="H201" t="s">
        <v>1351</v>
      </c>
    </row>
    <row r="202" spans="1:8" x14ac:dyDescent="0.2">
      <c r="A202">
        <v>92336</v>
      </c>
      <c r="B202">
        <v>15</v>
      </c>
      <c r="C202" t="s">
        <v>914</v>
      </c>
      <c r="D202" t="s">
        <v>202</v>
      </c>
      <c r="E202" t="s">
        <v>202</v>
      </c>
      <c r="F202" t="s">
        <v>202</v>
      </c>
      <c r="G202" t="s">
        <v>202</v>
      </c>
      <c r="H202" t="s">
        <v>202</v>
      </c>
    </row>
    <row r="203" spans="1:8" x14ac:dyDescent="0.2">
      <c r="A203">
        <v>91761</v>
      </c>
      <c r="B203">
        <v>14.1</v>
      </c>
      <c r="C203" t="s">
        <v>914</v>
      </c>
      <c r="D203" t="s">
        <v>1353</v>
      </c>
      <c r="E203" t="s">
        <v>1353</v>
      </c>
      <c r="F203" t="s">
        <v>1351</v>
      </c>
      <c r="G203" t="s">
        <v>1351</v>
      </c>
      <c r="H203" t="s">
        <v>1353</v>
      </c>
    </row>
    <row r="204" spans="1:8" x14ac:dyDescent="0.2">
      <c r="A204">
        <v>91722</v>
      </c>
      <c r="B204">
        <v>14</v>
      </c>
      <c r="C204" t="s">
        <v>914</v>
      </c>
      <c r="D204" t="s">
        <v>1351</v>
      </c>
      <c r="E204" t="s">
        <v>1351</v>
      </c>
      <c r="F204" t="s">
        <v>1351</v>
      </c>
      <c r="G204" t="s">
        <v>1351</v>
      </c>
      <c r="H204" t="s">
        <v>1351</v>
      </c>
    </row>
    <row r="205" spans="1:8" x14ac:dyDescent="0.2">
      <c r="A205">
        <v>91722</v>
      </c>
      <c r="B205">
        <v>14</v>
      </c>
      <c r="C205" t="s">
        <v>914</v>
      </c>
      <c r="D205" t="s">
        <v>1351</v>
      </c>
      <c r="E205" t="s">
        <v>1351</v>
      </c>
      <c r="F205" t="s">
        <v>1351</v>
      </c>
      <c r="G205" t="s">
        <v>1351</v>
      </c>
      <c r="H205" t="s">
        <v>1351</v>
      </c>
    </row>
    <row r="206" spans="1:8" x14ac:dyDescent="0.2">
      <c r="A206" t="s">
        <v>1402</v>
      </c>
      <c r="B206">
        <v>14</v>
      </c>
      <c r="C206" t="s">
        <v>1390</v>
      </c>
      <c r="D206" t="s">
        <v>1353</v>
      </c>
      <c r="E206" t="s">
        <v>202</v>
      </c>
      <c r="F206" t="s">
        <v>202</v>
      </c>
      <c r="G206" t="s">
        <v>202</v>
      </c>
      <c r="H206" t="s">
        <v>202</v>
      </c>
    </row>
    <row r="207" spans="1:8" x14ac:dyDescent="0.2">
      <c r="A207">
        <v>91730</v>
      </c>
      <c r="B207">
        <v>14</v>
      </c>
      <c r="C207" t="s">
        <v>914</v>
      </c>
      <c r="D207" t="s">
        <v>1353</v>
      </c>
      <c r="E207" t="s">
        <v>1353</v>
      </c>
      <c r="F207" t="s">
        <v>1353</v>
      </c>
      <c r="G207" t="s">
        <v>1353</v>
      </c>
      <c r="H207" t="s">
        <v>1353</v>
      </c>
    </row>
    <row r="208" spans="1:8" x14ac:dyDescent="0.2">
      <c r="A208">
        <v>91730</v>
      </c>
      <c r="B208">
        <v>14</v>
      </c>
      <c r="C208" t="s">
        <v>914</v>
      </c>
      <c r="D208" t="s">
        <v>1353</v>
      </c>
      <c r="E208" t="s">
        <v>1353</v>
      </c>
      <c r="F208" t="s">
        <v>1353</v>
      </c>
      <c r="G208" t="s">
        <v>1353</v>
      </c>
      <c r="H208" t="s">
        <v>202</v>
      </c>
    </row>
    <row r="209" spans="1:8" x14ac:dyDescent="0.2">
      <c r="A209">
        <v>91702</v>
      </c>
      <c r="B209">
        <v>14</v>
      </c>
      <c r="C209" t="s">
        <v>914</v>
      </c>
      <c r="D209" t="s">
        <v>1351</v>
      </c>
      <c r="E209" t="s">
        <v>1351</v>
      </c>
      <c r="F209" t="s">
        <v>1351</v>
      </c>
      <c r="G209" t="s">
        <v>1353</v>
      </c>
      <c r="H209" t="s">
        <v>1351</v>
      </c>
    </row>
    <row r="210" spans="1:8" x14ac:dyDescent="0.2">
      <c r="A210">
        <v>91789</v>
      </c>
      <c r="B210">
        <v>13.2</v>
      </c>
      <c r="C210" t="s">
        <v>1390</v>
      </c>
      <c r="D210" t="s">
        <v>1351</v>
      </c>
      <c r="E210" t="s">
        <v>1351</v>
      </c>
      <c r="F210" t="s">
        <v>1351</v>
      </c>
      <c r="G210" t="s">
        <v>1351</v>
      </c>
      <c r="H210" t="s">
        <v>1351</v>
      </c>
    </row>
    <row r="211" spans="1:8" x14ac:dyDescent="0.2">
      <c r="A211">
        <v>91739</v>
      </c>
      <c r="B211">
        <v>13</v>
      </c>
      <c r="C211" t="s">
        <v>914</v>
      </c>
      <c r="D211" t="s">
        <v>1351</v>
      </c>
      <c r="E211" t="s">
        <v>1351</v>
      </c>
      <c r="F211" t="s">
        <v>1351</v>
      </c>
      <c r="G211" t="s">
        <v>1351</v>
      </c>
      <c r="H211" t="s">
        <v>1351</v>
      </c>
    </row>
    <row r="212" spans="1:8" x14ac:dyDescent="0.2">
      <c r="A212">
        <v>91739</v>
      </c>
      <c r="B212">
        <v>13</v>
      </c>
      <c r="C212" t="s">
        <v>914</v>
      </c>
      <c r="D212" t="s">
        <v>1351</v>
      </c>
      <c r="E212" t="s">
        <v>1351</v>
      </c>
      <c r="F212" t="s">
        <v>1351</v>
      </c>
      <c r="G212" t="s">
        <v>1351</v>
      </c>
      <c r="H212" t="s">
        <v>1351</v>
      </c>
    </row>
    <row r="213" spans="1:8" x14ac:dyDescent="0.2">
      <c r="A213">
        <v>91741</v>
      </c>
      <c r="B213">
        <v>13</v>
      </c>
      <c r="C213" t="s">
        <v>914</v>
      </c>
      <c r="D213" t="s">
        <v>1351</v>
      </c>
      <c r="E213" t="s">
        <v>1351</v>
      </c>
      <c r="F213" t="s">
        <v>1351</v>
      </c>
      <c r="G213" t="s">
        <v>1351</v>
      </c>
      <c r="H213" t="s">
        <v>1351</v>
      </c>
    </row>
    <row r="214" spans="1:8" x14ac:dyDescent="0.2">
      <c r="A214">
        <v>91739</v>
      </c>
      <c r="B214">
        <v>13</v>
      </c>
      <c r="C214" t="s">
        <v>914</v>
      </c>
      <c r="D214" t="s">
        <v>1351</v>
      </c>
      <c r="E214" t="s">
        <v>1351</v>
      </c>
      <c r="F214" t="s">
        <v>1351</v>
      </c>
      <c r="G214" t="s">
        <v>1353</v>
      </c>
      <c r="H214" t="s">
        <v>1351</v>
      </c>
    </row>
    <row r="215" spans="1:8" x14ac:dyDescent="0.2">
      <c r="A215">
        <v>91737</v>
      </c>
      <c r="B215">
        <v>13</v>
      </c>
      <c r="C215" t="s">
        <v>914</v>
      </c>
      <c r="D215" t="s">
        <v>1351</v>
      </c>
      <c r="E215" t="s">
        <v>1351</v>
      </c>
      <c r="F215" t="s">
        <v>1351</v>
      </c>
      <c r="G215" t="s">
        <v>1351</v>
      </c>
      <c r="H215" t="s">
        <v>1351</v>
      </c>
    </row>
    <row r="216" spans="1:8" x14ac:dyDescent="0.2">
      <c r="A216">
        <v>91739</v>
      </c>
      <c r="B216">
        <v>13</v>
      </c>
      <c r="C216" t="s">
        <v>914</v>
      </c>
      <c r="D216" t="s">
        <v>1351</v>
      </c>
      <c r="E216" t="s">
        <v>1351</v>
      </c>
      <c r="F216" t="s">
        <v>1351</v>
      </c>
      <c r="G216" t="s">
        <v>1351</v>
      </c>
      <c r="H216" t="s">
        <v>1351</v>
      </c>
    </row>
    <row r="217" spans="1:8" x14ac:dyDescent="0.2">
      <c r="A217">
        <v>91766</v>
      </c>
      <c r="B217">
        <v>13</v>
      </c>
      <c r="C217" t="s">
        <v>914</v>
      </c>
      <c r="D217" t="s">
        <v>202</v>
      </c>
      <c r="E217" t="s">
        <v>202</v>
      </c>
      <c r="F217" t="s">
        <v>1353</v>
      </c>
      <c r="G217" t="s">
        <v>202</v>
      </c>
      <c r="H217" t="s">
        <v>202</v>
      </c>
    </row>
    <row r="218" spans="1:8" x14ac:dyDescent="0.2">
      <c r="A218">
        <v>91773</v>
      </c>
      <c r="B218">
        <v>13</v>
      </c>
      <c r="C218" t="s">
        <v>914</v>
      </c>
      <c r="D218" t="s">
        <v>202</v>
      </c>
      <c r="E218" t="s">
        <v>1353</v>
      </c>
      <c r="F218" t="s">
        <v>202</v>
      </c>
      <c r="G218" t="s">
        <v>1353</v>
      </c>
      <c r="H218" t="s">
        <v>202</v>
      </c>
    </row>
    <row r="219" spans="1:8" x14ac:dyDescent="0.2">
      <c r="A219">
        <v>91702</v>
      </c>
      <c r="B219">
        <v>12.7</v>
      </c>
      <c r="C219" t="s">
        <v>914</v>
      </c>
      <c r="D219" t="s">
        <v>1353</v>
      </c>
      <c r="E219" t="s">
        <v>1353</v>
      </c>
      <c r="F219" t="s">
        <v>1353</v>
      </c>
      <c r="G219" t="s">
        <v>1353</v>
      </c>
      <c r="H219" t="s">
        <v>1353</v>
      </c>
    </row>
    <row r="220" spans="1:8" x14ac:dyDescent="0.2">
      <c r="A220">
        <v>91730</v>
      </c>
      <c r="B220">
        <v>12.3</v>
      </c>
      <c r="C220" t="s">
        <v>914</v>
      </c>
      <c r="D220" t="s">
        <v>1351</v>
      </c>
      <c r="E220" t="s">
        <v>1351</v>
      </c>
      <c r="F220" t="s">
        <v>1351</v>
      </c>
      <c r="G220" t="s">
        <v>1351</v>
      </c>
      <c r="H220" t="s">
        <v>1351</v>
      </c>
    </row>
    <row r="221" spans="1:8" x14ac:dyDescent="0.2">
      <c r="A221">
        <v>91739</v>
      </c>
      <c r="B221">
        <v>12</v>
      </c>
      <c r="C221" t="s">
        <v>914</v>
      </c>
      <c r="D221" t="s">
        <v>1351</v>
      </c>
      <c r="E221" t="s">
        <v>1351</v>
      </c>
      <c r="F221" t="s">
        <v>1351</v>
      </c>
      <c r="G221" t="s">
        <v>1351</v>
      </c>
      <c r="H221" t="s">
        <v>1351</v>
      </c>
    </row>
    <row r="222" spans="1:8" x14ac:dyDescent="0.2">
      <c r="A222">
        <v>91741</v>
      </c>
      <c r="B222">
        <v>12</v>
      </c>
      <c r="C222" t="s">
        <v>914</v>
      </c>
      <c r="D222" t="s">
        <v>1353</v>
      </c>
      <c r="E222" t="s">
        <v>1353</v>
      </c>
      <c r="F222" t="s">
        <v>1351</v>
      </c>
      <c r="G222" t="s">
        <v>1351</v>
      </c>
      <c r="H222" t="s">
        <v>1351</v>
      </c>
    </row>
    <row r="223" spans="1:8" x14ac:dyDescent="0.2">
      <c r="A223">
        <v>91759</v>
      </c>
      <c r="B223">
        <v>12</v>
      </c>
      <c r="C223" t="s">
        <v>914</v>
      </c>
      <c r="D223" t="s">
        <v>1353</v>
      </c>
      <c r="E223" t="s">
        <v>1351</v>
      </c>
      <c r="F223" t="s">
        <v>1351</v>
      </c>
      <c r="G223" t="s">
        <v>1351</v>
      </c>
      <c r="H223" t="s">
        <v>1353</v>
      </c>
    </row>
    <row r="224" spans="1:8" x14ac:dyDescent="0.2">
      <c r="A224">
        <v>91730</v>
      </c>
      <c r="B224">
        <v>12</v>
      </c>
      <c r="C224" t="s">
        <v>914</v>
      </c>
      <c r="D224" t="s">
        <v>202</v>
      </c>
      <c r="E224" t="s">
        <v>202</v>
      </c>
      <c r="F224" t="s">
        <v>202</v>
      </c>
      <c r="G224" t="s">
        <v>202</v>
      </c>
      <c r="H224" t="s">
        <v>202</v>
      </c>
    </row>
    <row r="225" spans="1:8" x14ac:dyDescent="0.2">
      <c r="A225">
        <v>91762</v>
      </c>
      <c r="B225">
        <v>12</v>
      </c>
      <c r="C225" t="s">
        <v>914</v>
      </c>
      <c r="D225" t="s">
        <v>202</v>
      </c>
      <c r="E225" t="s">
        <v>1353</v>
      </c>
      <c r="F225" t="s">
        <v>1353</v>
      </c>
      <c r="G225" t="s">
        <v>1353</v>
      </c>
      <c r="H225" t="s">
        <v>1353</v>
      </c>
    </row>
    <row r="226" spans="1:8" x14ac:dyDescent="0.2">
      <c r="A226">
        <v>91764</v>
      </c>
      <c r="B226">
        <v>12</v>
      </c>
      <c r="C226" t="s">
        <v>914</v>
      </c>
      <c r="D226" t="s">
        <v>1353</v>
      </c>
      <c r="E226" t="s">
        <v>1353</v>
      </c>
      <c r="F226" t="s">
        <v>1353</v>
      </c>
      <c r="G226" t="s">
        <v>1353</v>
      </c>
      <c r="H226" t="s">
        <v>1353</v>
      </c>
    </row>
    <row r="227" spans="1:8" x14ac:dyDescent="0.2">
      <c r="A227">
        <v>91762</v>
      </c>
      <c r="B227">
        <v>12</v>
      </c>
      <c r="C227" t="s">
        <v>914</v>
      </c>
      <c r="D227" t="s">
        <v>1351</v>
      </c>
      <c r="E227" t="s">
        <v>1351</v>
      </c>
      <c r="F227" t="s">
        <v>1351</v>
      </c>
      <c r="G227" t="s">
        <v>1351</v>
      </c>
      <c r="H227" t="s">
        <v>1351</v>
      </c>
    </row>
    <row r="228" spans="1:8" x14ac:dyDescent="0.2">
      <c r="A228">
        <v>92336</v>
      </c>
      <c r="B228">
        <v>12</v>
      </c>
      <c r="C228" t="s">
        <v>914</v>
      </c>
      <c r="D228" t="s">
        <v>1351</v>
      </c>
      <c r="E228" t="s">
        <v>1351</v>
      </c>
      <c r="F228" t="s">
        <v>1351</v>
      </c>
      <c r="G228" t="s">
        <v>1351</v>
      </c>
      <c r="H228" t="s">
        <v>1351</v>
      </c>
    </row>
    <row r="229" spans="1:8" x14ac:dyDescent="0.2">
      <c r="A229">
        <v>91730</v>
      </c>
      <c r="B229">
        <v>12</v>
      </c>
      <c r="C229" t="s">
        <v>914</v>
      </c>
      <c r="D229" t="s">
        <v>1351</v>
      </c>
      <c r="E229" t="s">
        <v>1351</v>
      </c>
      <c r="F229" t="s">
        <v>1351</v>
      </c>
      <c r="G229" t="s">
        <v>1351</v>
      </c>
      <c r="H229" t="s">
        <v>1351</v>
      </c>
    </row>
    <row r="230" spans="1:8" x14ac:dyDescent="0.2">
      <c r="A230">
        <v>91730</v>
      </c>
      <c r="B230">
        <v>11.8</v>
      </c>
      <c r="C230" t="s">
        <v>914</v>
      </c>
      <c r="D230" t="s">
        <v>202</v>
      </c>
      <c r="E230" t="s">
        <v>202</v>
      </c>
      <c r="F230" t="s">
        <v>202</v>
      </c>
      <c r="G230" t="s">
        <v>202</v>
      </c>
      <c r="H230" t="s">
        <v>202</v>
      </c>
    </row>
    <row r="231" spans="1:8" x14ac:dyDescent="0.2">
      <c r="A231">
        <v>91701</v>
      </c>
      <c r="B231">
        <v>11.5</v>
      </c>
      <c r="C231" t="s">
        <v>914</v>
      </c>
      <c r="D231" t="s">
        <v>1351</v>
      </c>
      <c r="E231" t="s">
        <v>1351</v>
      </c>
      <c r="F231" t="s">
        <v>1351</v>
      </c>
      <c r="G231" t="s">
        <v>1351</v>
      </c>
      <c r="H231" t="s">
        <v>1351</v>
      </c>
    </row>
    <row r="232" spans="1:8" x14ac:dyDescent="0.2">
      <c r="A232" t="s">
        <v>1403</v>
      </c>
      <c r="B232">
        <v>11.4</v>
      </c>
      <c r="C232" t="s">
        <v>914</v>
      </c>
      <c r="D232" t="s">
        <v>1351</v>
      </c>
      <c r="E232" t="s">
        <v>1351</v>
      </c>
      <c r="F232" t="s">
        <v>1351</v>
      </c>
      <c r="G232" t="s">
        <v>1351</v>
      </c>
      <c r="H232" t="s">
        <v>1351</v>
      </c>
    </row>
    <row r="233" spans="1:8" x14ac:dyDescent="0.2">
      <c r="A233">
        <v>91709</v>
      </c>
      <c r="B233">
        <v>11.3</v>
      </c>
      <c r="C233" t="s">
        <v>914</v>
      </c>
      <c r="D233" t="s">
        <v>1351</v>
      </c>
      <c r="E233" t="s">
        <v>1351</v>
      </c>
      <c r="F233" t="s">
        <v>1351</v>
      </c>
      <c r="G233" t="s">
        <v>1351</v>
      </c>
      <c r="H233" t="s">
        <v>1351</v>
      </c>
    </row>
    <row r="234" spans="1:8" x14ac:dyDescent="0.2">
      <c r="A234">
        <v>91701</v>
      </c>
      <c r="B234">
        <v>11</v>
      </c>
      <c r="C234" t="s">
        <v>914</v>
      </c>
      <c r="D234" t="s">
        <v>1351</v>
      </c>
      <c r="E234" t="s">
        <v>1351</v>
      </c>
      <c r="F234" t="s">
        <v>1351</v>
      </c>
      <c r="G234" t="s">
        <v>1351</v>
      </c>
      <c r="H234" t="s">
        <v>1351</v>
      </c>
    </row>
    <row r="235" spans="1:8" x14ac:dyDescent="0.2">
      <c r="A235">
        <v>91710</v>
      </c>
      <c r="B235">
        <v>11</v>
      </c>
      <c r="C235" t="s">
        <v>914</v>
      </c>
      <c r="D235" t="s">
        <v>1351</v>
      </c>
      <c r="E235" t="s">
        <v>1351</v>
      </c>
      <c r="F235" t="s">
        <v>1351</v>
      </c>
      <c r="G235" t="s">
        <v>1351</v>
      </c>
      <c r="H235" t="s">
        <v>1351</v>
      </c>
    </row>
    <row r="236" spans="1:8" x14ac:dyDescent="0.2">
      <c r="A236">
        <v>91784</v>
      </c>
      <c r="B236">
        <v>11</v>
      </c>
      <c r="C236" t="s">
        <v>914</v>
      </c>
      <c r="D236" t="s">
        <v>1351</v>
      </c>
      <c r="E236" t="s">
        <v>1351</v>
      </c>
      <c r="F236" t="s">
        <v>1351</v>
      </c>
      <c r="G236" t="s">
        <v>1351</v>
      </c>
      <c r="H236" t="s">
        <v>1351</v>
      </c>
    </row>
    <row r="237" spans="1:8" x14ac:dyDescent="0.2">
      <c r="A237">
        <v>91730</v>
      </c>
      <c r="B237">
        <v>11</v>
      </c>
      <c r="C237" t="s">
        <v>914</v>
      </c>
      <c r="D237" t="s">
        <v>1351</v>
      </c>
      <c r="E237" t="s">
        <v>1351</v>
      </c>
      <c r="F237" t="s">
        <v>1351</v>
      </c>
      <c r="G237" t="s">
        <v>1351</v>
      </c>
      <c r="H237" t="s">
        <v>1351</v>
      </c>
    </row>
    <row r="238" spans="1:8" x14ac:dyDescent="0.2">
      <c r="A238" t="s">
        <v>1404</v>
      </c>
      <c r="B238">
        <v>11</v>
      </c>
      <c r="C238" t="s">
        <v>914</v>
      </c>
      <c r="D238" t="s">
        <v>1353</v>
      </c>
      <c r="E238" t="s">
        <v>1351</v>
      </c>
      <c r="F238" t="s">
        <v>1351</v>
      </c>
      <c r="G238" t="s">
        <v>1351</v>
      </c>
      <c r="H238" t="s">
        <v>1351</v>
      </c>
    </row>
    <row r="239" spans="1:8" x14ac:dyDescent="0.2">
      <c r="A239">
        <v>91741</v>
      </c>
      <c r="B239">
        <v>11</v>
      </c>
      <c r="C239" t="s">
        <v>914</v>
      </c>
      <c r="D239" t="s">
        <v>1351</v>
      </c>
      <c r="E239" t="s">
        <v>1351</v>
      </c>
      <c r="F239" t="s">
        <v>1351</v>
      </c>
      <c r="G239" t="s">
        <v>1351</v>
      </c>
      <c r="H239" t="s">
        <v>1351</v>
      </c>
    </row>
    <row r="240" spans="1:8" x14ac:dyDescent="0.2">
      <c r="A240">
        <v>91710</v>
      </c>
      <c r="B240">
        <v>11</v>
      </c>
      <c r="C240" t="s">
        <v>914</v>
      </c>
      <c r="D240" t="s">
        <v>202</v>
      </c>
      <c r="E240" t="s">
        <v>1353</v>
      </c>
      <c r="F240" t="s">
        <v>202</v>
      </c>
      <c r="G240" t="s">
        <v>1353</v>
      </c>
      <c r="H240" t="s">
        <v>202</v>
      </c>
    </row>
    <row r="241" spans="1:8" x14ac:dyDescent="0.2">
      <c r="A241">
        <v>91701</v>
      </c>
      <c r="B241">
        <v>11</v>
      </c>
      <c r="C241" t="s">
        <v>914</v>
      </c>
      <c r="D241" t="s">
        <v>1351</v>
      </c>
      <c r="E241" t="s">
        <v>1351</v>
      </c>
      <c r="F241" t="s">
        <v>1351</v>
      </c>
      <c r="G241" t="s">
        <v>1351</v>
      </c>
      <c r="H241" t="s">
        <v>1351</v>
      </c>
    </row>
    <row r="242" spans="1:8" x14ac:dyDescent="0.2">
      <c r="A242" t="s">
        <v>1405</v>
      </c>
      <c r="B242">
        <v>10.199999999999999</v>
      </c>
      <c r="C242" t="s">
        <v>914</v>
      </c>
      <c r="D242" t="s">
        <v>1351</v>
      </c>
      <c r="E242" t="s">
        <v>1351</v>
      </c>
      <c r="F242" t="s">
        <v>1351</v>
      </c>
      <c r="G242" t="s">
        <v>1351</v>
      </c>
      <c r="H242" t="s">
        <v>1351</v>
      </c>
    </row>
    <row r="243" spans="1:8" x14ac:dyDescent="0.2">
      <c r="A243">
        <v>91722</v>
      </c>
      <c r="B243">
        <v>10</v>
      </c>
      <c r="C243" t="s">
        <v>914</v>
      </c>
      <c r="D243" t="s">
        <v>1353</v>
      </c>
      <c r="E243" t="s">
        <v>1351</v>
      </c>
      <c r="F243" t="s">
        <v>1353</v>
      </c>
      <c r="G243" t="s">
        <v>1351</v>
      </c>
      <c r="H243" t="s">
        <v>1353</v>
      </c>
    </row>
    <row r="244" spans="1:8" x14ac:dyDescent="0.2">
      <c r="A244">
        <v>91730</v>
      </c>
      <c r="B244">
        <v>10</v>
      </c>
      <c r="C244" t="s">
        <v>914</v>
      </c>
      <c r="D244" t="s">
        <v>191</v>
      </c>
      <c r="E244" t="s">
        <v>1351</v>
      </c>
      <c r="F244" t="s">
        <v>1351</v>
      </c>
      <c r="G244" t="s">
        <v>1353</v>
      </c>
      <c r="H244" t="s">
        <v>1353</v>
      </c>
    </row>
    <row r="245" spans="1:8" x14ac:dyDescent="0.2">
      <c r="A245">
        <v>91737</v>
      </c>
      <c r="B245">
        <v>10</v>
      </c>
      <c r="C245" t="s">
        <v>914</v>
      </c>
      <c r="D245" t="s">
        <v>1351</v>
      </c>
      <c r="E245" t="s">
        <v>1351</v>
      </c>
      <c r="F245" t="s">
        <v>1351</v>
      </c>
      <c r="G245" t="s">
        <v>1351</v>
      </c>
      <c r="H245" t="s">
        <v>1351</v>
      </c>
    </row>
    <row r="246" spans="1:8" x14ac:dyDescent="0.2">
      <c r="A246">
        <v>91723</v>
      </c>
      <c r="B246">
        <v>10</v>
      </c>
      <c r="C246" t="s">
        <v>1390</v>
      </c>
      <c r="D246" t="s">
        <v>202</v>
      </c>
      <c r="E246" t="s">
        <v>202</v>
      </c>
      <c r="F246" t="s">
        <v>202</v>
      </c>
      <c r="G246" t="s">
        <v>202</v>
      </c>
      <c r="H246" t="s">
        <v>202</v>
      </c>
    </row>
    <row r="247" spans="1:8" x14ac:dyDescent="0.2">
      <c r="A247">
        <v>91765</v>
      </c>
      <c r="B247">
        <v>10</v>
      </c>
      <c r="C247" t="s">
        <v>914</v>
      </c>
      <c r="D247" t="s">
        <v>1351</v>
      </c>
      <c r="E247" t="s">
        <v>1351</v>
      </c>
      <c r="F247" t="s">
        <v>1351</v>
      </c>
      <c r="G247" t="s">
        <v>1351</v>
      </c>
      <c r="H247" t="s">
        <v>1351</v>
      </c>
    </row>
    <row r="248" spans="1:8" x14ac:dyDescent="0.2">
      <c r="A248">
        <v>91764</v>
      </c>
      <c r="B248">
        <v>10</v>
      </c>
      <c r="C248" t="s">
        <v>914</v>
      </c>
      <c r="D248" t="s">
        <v>1351</v>
      </c>
      <c r="E248" t="s">
        <v>1351</v>
      </c>
      <c r="F248" t="s">
        <v>1351</v>
      </c>
      <c r="G248" t="s">
        <v>1351</v>
      </c>
      <c r="H248" t="s">
        <v>1351</v>
      </c>
    </row>
    <row r="249" spans="1:8" x14ac:dyDescent="0.2">
      <c r="A249">
        <v>91701</v>
      </c>
      <c r="B249">
        <v>10</v>
      </c>
      <c r="C249" t="s">
        <v>914</v>
      </c>
      <c r="D249" t="s">
        <v>1351</v>
      </c>
      <c r="E249" t="s">
        <v>1353</v>
      </c>
      <c r="F249" t="s">
        <v>1351</v>
      </c>
      <c r="G249" t="s">
        <v>1351</v>
      </c>
      <c r="H249" t="s">
        <v>1351</v>
      </c>
    </row>
    <row r="250" spans="1:8" x14ac:dyDescent="0.2">
      <c r="A250">
        <v>91766</v>
      </c>
      <c r="B250">
        <v>10</v>
      </c>
      <c r="C250" t="s">
        <v>914</v>
      </c>
      <c r="D250" t="s">
        <v>1351</v>
      </c>
      <c r="E250" t="s">
        <v>1351</v>
      </c>
      <c r="F250" t="s">
        <v>1351</v>
      </c>
      <c r="G250" t="s">
        <v>1351</v>
      </c>
      <c r="H250" t="s">
        <v>1351</v>
      </c>
    </row>
    <row r="251" spans="1:8" x14ac:dyDescent="0.2">
      <c r="A251">
        <v>91768</v>
      </c>
      <c r="B251">
        <v>10</v>
      </c>
      <c r="C251" t="s">
        <v>914</v>
      </c>
      <c r="D251" t="s">
        <v>202</v>
      </c>
      <c r="E251" t="s">
        <v>202</v>
      </c>
      <c r="F251" t="s">
        <v>202</v>
      </c>
      <c r="G251" t="s">
        <v>202</v>
      </c>
      <c r="H251" t="s">
        <v>202</v>
      </c>
    </row>
    <row r="252" spans="1:8" x14ac:dyDescent="0.2">
      <c r="A252">
        <v>91786</v>
      </c>
      <c r="B252">
        <v>10</v>
      </c>
      <c r="C252" t="s">
        <v>914</v>
      </c>
      <c r="D252" t="s">
        <v>202</v>
      </c>
      <c r="E252" t="s">
        <v>1353</v>
      </c>
      <c r="F252" t="s">
        <v>1353</v>
      </c>
      <c r="G252" t="s">
        <v>202</v>
      </c>
      <c r="H252" t="s">
        <v>202</v>
      </c>
    </row>
    <row r="253" spans="1:8" x14ac:dyDescent="0.2">
      <c r="A253">
        <v>91701</v>
      </c>
      <c r="B253">
        <v>10</v>
      </c>
      <c r="C253" t="s">
        <v>914</v>
      </c>
      <c r="D253" t="s">
        <v>1351</v>
      </c>
      <c r="E253" t="s">
        <v>1351</v>
      </c>
      <c r="F253" t="s">
        <v>1351</v>
      </c>
      <c r="G253" t="s">
        <v>1351</v>
      </c>
      <c r="H253" t="s">
        <v>1351</v>
      </c>
    </row>
    <row r="254" spans="1:8" x14ac:dyDescent="0.2">
      <c r="A254">
        <v>91737</v>
      </c>
      <c r="B254">
        <v>10</v>
      </c>
      <c r="C254" t="s">
        <v>914</v>
      </c>
      <c r="D254" t="s">
        <v>1353</v>
      </c>
      <c r="E254" t="s">
        <v>1351</v>
      </c>
      <c r="F254" t="s">
        <v>1351</v>
      </c>
      <c r="G254" t="s">
        <v>1351</v>
      </c>
      <c r="H254" t="s">
        <v>1351</v>
      </c>
    </row>
    <row r="255" spans="1:8" x14ac:dyDescent="0.2">
      <c r="A255">
        <v>91701</v>
      </c>
      <c r="B255">
        <v>10</v>
      </c>
      <c r="C255" t="s">
        <v>914</v>
      </c>
      <c r="D255" t="s">
        <v>1351</v>
      </c>
      <c r="E255" t="s">
        <v>1351</v>
      </c>
      <c r="F255" t="s">
        <v>1351</v>
      </c>
      <c r="G255" t="s">
        <v>1351</v>
      </c>
      <c r="H255" t="s">
        <v>1351</v>
      </c>
    </row>
    <row r="256" spans="1:8" x14ac:dyDescent="0.2">
      <c r="A256">
        <v>92236</v>
      </c>
      <c r="B256">
        <v>10</v>
      </c>
      <c r="C256" t="s">
        <v>914</v>
      </c>
      <c r="D256" t="s">
        <v>1351</v>
      </c>
      <c r="E256" t="s">
        <v>1351</v>
      </c>
      <c r="F256" t="s">
        <v>1351</v>
      </c>
      <c r="G256" t="s">
        <v>1351</v>
      </c>
      <c r="H256" t="s">
        <v>1351</v>
      </c>
    </row>
    <row r="257" spans="1:8" x14ac:dyDescent="0.2">
      <c r="A257">
        <v>91730</v>
      </c>
      <c r="B257">
        <v>9.1999999999999993</v>
      </c>
      <c r="C257" t="s">
        <v>914</v>
      </c>
      <c r="D257" t="s">
        <v>1351</v>
      </c>
      <c r="E257" t="s">
        <v>1351</v>
      </c>
      <c r="F257" t="s">
        <v>1351</v>
      </c>
      <c r="G257" t="s">
        <v>1351</v>
      </c>
      <c r="H257" t="s">
        <v>1351</v>
      </c>
    </row>
    <row r="258" spans="1:8" x14ac:dyDescent="0.2">
      <c r="A258">
        <v>91737</v>
      </c>
      <c r="B258">
        <v>9</v>
      </c>
      <c r="C258" t="s">
        <v>914</v>
      </c>
      <c r="D258" t="s">
        <v>1351</v>
      </c>
      <c r="E258" t="s">
        <v>1351</v>
      </c>
      <c r="F258" t="s">
        <v>1351</v>
      </c>
      <c r="G258" t="s">
        <v>1351</v>
      </c>
      <c r="H258" t="s">
        <v>1351</v>
      </c>
    </row>
    <row r="259" spans="1:8" x14ac:dyDescent="0.2">
      <c r="A259">
        <v>91723</v>
      </c>
      <c r="B259">
        <v>9</v>
      </c>
      <c r="C259" t="s">
        <v>914</v>
      </c>
      <c r="D259" t="s">
        <v>1352</v>
      </c>
      <c r="E259" t="s">
        <v>1352</v>
      </c>
      <c r="F259" t="s">
        <v>1352</v>
      </c>
      <c r="G259" t="s">
        <v>1352</v>
      </c>
      <c r="H259" t="s">
        <v>1352</v>
      </c>
    </row>
    <row r="260" spans="1:8" x14ac:dyDescent="0.2">
      <c r="A260">
        <v>91784</v>
      </c>
      <c r="B260">
        <v>9</v>
      </c>
      <c r="C260" t="s">
        <v>914</v>
      </c>
      <c r="D260" t="s">
        <v>202</v>
      </c>
      <c r="E260" t="s">
        <v>1351</v>
      </c>
      <c r="F260" t="s">
        <v>1351</v>
      </c>
      <c r="G260" t="s">
        <v>1351</v>
      </c>
      <c r="H260" t="s">
        <v>1351</v>
      </c>
    </row>
    <row r="261" spans="1:8" x14ac:dyDescent="0.2">
      <c r="A261">
        <v>91701</v>
      </c>
      <c r="B261">
        <v>9</v>
      </c>
      <c r="C261" t="s">
        <v>914</v>
      </c>
      <c r="D261" t="s">
        <v>1351</v>
      </c>
      <c r="E261" t="s">
        <v>1351</v>
      </c>
      <c r="F261" t="s">
        <v>1351</v>
      </c>
      <c r="G261" t="s">
        <v>1351</v>
      </c>
      <c r="H261" t="s">
        <v>1351</v>
      </c>
    </row>
    <row r="262" spans="1:8" x14ac:dyDescent="0.2">
      <c r="A262">
        <v>91709</v>
      </c>
      <c r="B262">
        <v>9</v>
      </c>
      <c r="C262" t="s">
        <v>914</v>
      </c>
      <c r="D262" t="s">
        <v>199</v>
      </c>
      <c r="E262" t="s">
        <v>199</v>
      </c>
      <c r="F262" t="s">
        <v>199</v>
      </c>
      <c r="G262" t="s">
        <v>1353</v>
      </c>
      <c r="H262" t="s">
        <v>1353</v>
      </c>
    </row>
    <row r="263" spans="1:8" x14ac:dyDescent="0.2">
      <c r="A263">
        <v>91773</v>
      </c>
      <c r="B263">
        <v>9</v>
      </c>
      <c r="C263" t="s">
        <v>914</v>
      </c>
      <c r="D263" t="s">
        <v>1351</v>
      </c>
      <c r="E263" t="s">
        <v>1353</v>
      </c>
      <c r="F263" t="s">
        <v>1351</v>
      </c>
      <c r="G263" t="s">
        <v>1353</v>
      </c>
      <c r="H263" t="s">
        <v>191</v>
      </c>
    </row>
    <row r="264" spans="1:8" x14ac:dyDescent="0.2">
      <c r="A264">
        <v>91765</v>
      </c>
      <c r="B264">
        <v>9</v>
      </c>
      <c r="C264" t="s">
        <v>914</v>
      </c>
      <c r="D264" t="s">
        <v>1351</v>
      </c>
      <c r="E264" t="s">
        <v>1351</v>
      </c>
      <c r="F264" t="s">
        <v>1351</v>
      </c>
      <c r="G264" t="s">
        <v>1351</v>
      </c>
      <c r="H264" t="s">
        <v>1351</v>
      </c>
    </row>
    <row r="265" spans="1:8" x14ac:dyDescent="0.2">
      <c r="A265">
        <v>91710</v>
      </c>
      <c r="B265">
        <v>8.1999999999999993</v>
      </c>
      <c r="C265" t="s">
        <v>914</v>
      </c>
      <c r="D265" t="s">
        <v>1351</v>
      </c>
      <c r="E265" t="s">
        <v>202</v>
      </c>
      <c r="F265" t="s">
        <v>1351</v>
      </c>
      <c r="G265" t="s">
        <v>202</v>
      </c>
      <c r="H265" t="s">
        <v>1351</v>
      </c>
    </row>
    <row r="266" spans="1:8" x14ac:dyDescent="0.2">
      <c r="A266">
        <v>91750</v>
      </c>
      <c r="B266">
        <v>8</v>
      </c>
      <c r="C266" t="s">
        <v>914</v>
      </c>
      <c r="D266" t="s">
        <v>1351</v>
      </c>
      <c r="E266" t="s">
        <v>1351</v>
      </c>
      <c r="F266" t="s">
        <v>1351</v>
      </c>
      <c r="G266" t="s">
        <v>1351</v>
      </c>
      <c r="H266" t="s">
        <v>1351</v>
      </c>
    </row>
    <row r="267" spans="1:8" x14ac:dyDescent="0.2">
      <c r="A267">
        <v>91740</v>
      </c>
      <c r="B267">
        <v>8</v>
      </c>
      <c r="C267" t="s">
        <v>914</v>
      </c>
      <c r="D267" t="s">
        <v>1351</v>
      </c>
      <c r="E267" t="s">
        <v>1353</v>
      </c>
      <c r="F267" t="s">
        <v>1351</v>
      </c>
      <c r="G267" t="s">
        <v>1351</v>
      </c>
      <c r="H267" t="s">
        <v>1351</v>
      </c>
    </row>
    <row r="268" spans="1:8" x14ac:dyDescent="0.2">
      <c r="A268">
        <v>91711</v>
      </c>
      <c r="B268">
        <v>8</v>
      </c>
      <c r="C268" t="s">
        <v>914</v>
      </c>
      <c r="D268" t="s">
        <v>1353</v>
      </c>
      <c r="E268" t="s">
        <v>202</v>
      </c>
      <c r="F268" t="s">
        <v>1353</v>
      </c>
      <c r="G268" t="s">
        <v>202</v>
      </c>
      <c r="H268" t="s">
        <v>1353</v>
      </c>
    </row>
    <row r="269" spans="1:8" x14ac:dyDescent="0.2">
      <c r="A269">
        <v>91764</v>
      </c>
      <c r="B269">
        <v>8</v>
      </c>
      <c r="C269" t="s">
        <v>914</v>
      </c>
      <c r="D269" t="s">
        <v>1351</v>
      </c>
      <c r="E269" t="s">
        <v>1351</v>
      </c>
      <c r="F269" t="s">
        <v>1351</v>
      </c>
      <c r="G269" t="s">
        <v>1351</v>
      </c>
      <c r="H269" t="s">
        <v>202</v>
      </c>
    </row>
    <row r="270" spans="1:8" x14ac:dyDescent="0.2">
      <c r="A270">
        <v>91786</v>
      </c>
      <c r="B270">
        <v>8</v>
      </c>
      <c r="C270" t="s">
        <v>914</v>
      </c>
      <c r="D270" t="s">
        <v>202</v>
      </c>
      <c r="E270" t="s">
        <v>1353</v>
      </c>
      <c r="F270" t="s">
        <v>1353</v>
      </c>
      <c r="G270" t="s">
        <v>1353</v>
      </c>
      <c r="H270" t="s">
        <v>1353</v>
      </c>
    </row>
    <row r="271" spans="1:8" x14ac:dyDescent="0.2">
      <c r="A271">
        <v>91786</v>
      </c>
      <c r="B271">
        <v>8</v>
      </c>
      <c r="C271" t="s">
        <v>914</v>
      </c>
      <c r="D271" t="s">
        <v>1353</v>
      </c>
      <c r="E271" t="s">
        <v>1353</v>
      </c>
      <c r="F271" t="s">
        <v>202</v>
      </c>
      <c r="G271" t="s">
        <v>202</v>
      </c>
      <c r="H271" t="s">
        <v>1353</v>
      </c>
    </row>
    <row r="272" spans="1:8" x14ac:dyDescent="0.2">
      <c r="A272">
        <v>91763</v>
      </c>
      <c r="B272">
        <v>8</v>
      </c>
      <c r="C272" t="s">
        <v>914</v>
      </c>
      <c r="D272" t="s">
        <v>1353</v>
      </c>
      <c r="E272" t="s">
        <v>1353</v>
      </c>
      <c r="F272" t="s">
        <v>1353</v>
      </c>
      <c r="G272" t="s">
        <v>1353</v>
      </c>
      <c r="H272" t="s">
        <v>1353</v>
      </c>
    </row>
    <row r="273" spans="1:8" x14ac:dyDescent="0.2">
      <c r="A273">
        <v>91763</v>
      </c>
      <c r="B273">
        <v>8</v>
      </c>
      <c r="C273" t="s">
        <v>914</v>
      </c>
      <c r="D273" t="s">
        <v>1353</v>
      </c>
      <c r="E273" t="s">
        <v>1353</v>
      </c>
      <c r="F273" t="s">
        <v>1353</v>
      </c>
      <c r="G273" t="s">
        <v>1353</v>
      </c>
      <c r="H273" t="s">
        <v>1353</v>
      </c>
    </row>
    <row r="274" spans="1:8" x14ac:dyDescent="0.2">
      <c r="A274">
        <v>91763</v>
      </c>
      <c r="B274">
        <v>8</v>
      </c>
      <c r="C274" t="s">
        <v>914</v>
      </c>
      <c r="D274" t="s">
        <v>202</v>
      </c>
      <c r="E274" t="s">
        <v>202</v>
      </c>
      <c r="F274" t="s">
        <v>202</v>
      </c>
      <c r="G274" t="s">
        <v>202</v>
      </c>
      <c r="H274" t="s">
        <v>202</v>
      </c>
    </row>
    <row r="275" spans="1:8" x14ac:dyDescent="0.2">
      <c r="A275">
        <v>91786</v>
      </c>
      <c r="B275">
        <v>8</v>
      </c>
      <c r="C275" t="s">
        <v>914</v>
      </c>
      <c r="D275" t="s">
        <v>202</v>
      </c>
      <c r="E275" t="s">
        <v>202</v>
      </c>
      <c r="F275" t="s">
        <v>202</v>
      </c>
      <c r="G275" t="s">
        <v>202</v>
      </c>
      <c r="H275" t="s">
        <v>202</v>
      </c>
    </row>
    <row r="276" spans="1:8" x14ac:dyDescent="0.2">
      <c r="A276">
        <v>91711</v>
      </c>
      <c r="B276">
        <v>8</v>
      </c>
      <c r="C276" t="s">
        <v>914</v>
      </c>
      <c r="D276" t="s">
        <v>202</v>
      </c>
      <c r="E276" t="s">
        <v>1353</v>
      </c>
      <c r="F276" t="s">
        <v>1353</v>
      </c>
      <c r="G276" t="s">
        <v>202</v>
      </c>
      <c r="H276" t="s">
        <v>202</v>
      </c>
    </row>
    <row r="277" spans="1:8" x14ac:dyDescent="0.2">
      <c r="A277">
        <v>91701</v>
      </c>
      <c r="B277">
        <v>8</v>
      </c>
      <c r="C277" t="s">
        <v>914</v>
      </c>
      <c r="D277" t="s">
        <v>1351</v>
      </c>
      <c r="E277" t="s">
        <v>1351</v>
      </c>
      <c r="F277" t="s">
        <v>1351</v>
      </c>
      <c r="G277" t="s">
        <v>1351</v>
      </c>
      <c r="H277" t="s">
        <v>1351</v>
      </c>
    </row>
    <row r="278" spans="1:8" x14ac:dyDescent="0.2">
      <c r="A278">
        <v>91730</v>
      </c>
      <c r="B278">
        <v>7.87</v>
      </c>
      <c r="C278" t="s">
        <v>914</v>
      </c>
      <c r="D278" t="s">
        <v>1351</v>
      </c>
      <c r="E278" t="s">
        <v>1351</v>
      </c>
      <c r="F278" t="s">
        <v>1351</v>
      </c>
      <c r="G278" t="s">
        <v>1351</v>
      </c>
      <c r="H278" t="s">
        <v>1351</v>
      </c>
    </row>
    <row r="279" spans="1:8" x14ac:dyDescent="0.2">
      <c r="A279">
        <v>91750</v>
      </c>
      <c r="B279">
        <v>7</v>
      </c>
      <c r="C279" t="s">
        <v>914</v>
      </c>
      <c r="D279" t="s">
        <v>1351</v>
      </c>
      <c r="E279" t="s">
        <v>1351</v>
      </c>
      <c r="F279" t="s">
        <v>1351</v>
      </c>
      <c r="G279" t="s">
        <v>1351</v>
      </c>
      <c r="H279" t="s">
        <v>1351</v>
      </c>
    </row>
    <row r="280" spans="1:8" x14ac:dyDescent="0.2">
      <c r="A280">
        <v>91711</v>
      </c>
      <c r="B280">
        <v>7</v>
      </c>
      <c r="C280" t="s">
        <v>914</v>
      </c>
      <c r="D280" t="s">
        <v>1351</v>
      </c>
      <c r="E280" t="s">
        <v>1351</v>
      </c>
      <c r="F280" t="s">
        <v>1351</v>
      </c>
      <c r="G280" t="s">
        <v>1351</v>
      </c>
      <c r="H280" t="s">
        <v>1351</v>
      </c>
    </row>
    <row r="281" spans="1:8" x14ac:dyDescent="0.2">
      <c r="A281">
        <v>91786</v>
      </c>
      <c r="B281">
        <v>7</v>
      </c>
      <c r="C281" t="s">
        <v>914</v>
      </c>
      <c r="D281" t="s">
        <v>1351</v>
      </c>
      <c r="E281" t="s">
        <v>1351</v>
      </c>
      <c r="F281" t="s">
        <v>1351</v>
      </c>
      <c r="G281" t="s">
        <v>1351</v>
      </c>
      <c r="H281" t="s">
        <v>1351</v>
      </c>
    </row>
    <row r="282" spans="1:8" x14ac:dyDescent="0.2">
      <c r="A282">
        <v>91762</v>
      </c>
      <c r="B282">
        <v>7</v>
      </c>
      <c r="C282" t="s">
        <v>914</v>
      </c>
      <c r="D282" t="s">
        <v>1351</v>
      </c>
      <c r="E282" t="s">
        <v>1353</v>
      </c>
      <c r="F282" t="s">
        <v>1351</v>
      </c>
      <c r="G282" t="s">
        <v>1351</v>
      </c>
      <c r="H282" t="s">
        <v>1351</v>
      </c>
    </row>
    <row r="283" spans="1:8" x14ac:dyDescent="0.2">
      <c r="A283">
        <v>91750</v>
      </c>
      <c r="B283">
        <v>7</v>
      </c>
      <c r="C283" t="s">
        <v>914</v>
      </c>
      <c r="D283" t="s">
        <v>1351</v>
      </c>
      <c r="E283" t="s">
        <v>1351</v>
      </c>
      <c r="F283" t="s">
        <v>1351</v>
      </c>
      <c r="G283" t="s">
        <v>1353</v>
      </c>
      <c r="H283" t="s">
        <v>1351</v>
      </c>
    </row>
    <row r="284" spans="1:8" x14ac:dyDescent="0.2">
      <c r="A284">
        <v>91750</v>
      </c>
      <c r="B284">
        <v>7</v>
      </c>
      <c r="C284" t="s">
        <v>914</v>
      </c>
      <c r="D284" t="s">
        <v>202</v>
      </c>
      <c r="E284" t="s">
        <v>202</v>
      </c>
      <c r="F284" t="s">
        <v>202</v>
      </c>
      <c r="G284" t="s">
        <v>202</v>
      </c>
      <c r="H284" t="s">
        <v>202</v>
      </c>
    </row>
    <row r="285" spans="1:8" x14ac:dyDescent="0.2">
      <c r="A285">
        <v>91763</v>
      </c>
      <c r="B285">
        <v>7</v>
      </c>
      <c r="C285" t="s">
        <v>914</v>
      </c>
      <c r="D285" t="s">
        <v>202</v>
      </c>
      <c r="E285" t="s">
        <v>1353</v>
      </c>
      <c r="F285" t="s">
        <v>1353</v>
      </c>
      <c r="G285" t="s">
        <v>1353</v>
      </c>
      <c r="H285" t="s">
        <v>1353</v>
      </c>
    </row>
    <row r="286" spans="1:8" x14ac:dyDescent="0.2">
      <c r="A286">
        <v>91763</v>
      </c>
      <c r="B286">
        <v>7</v>
      </c>
      <c r="C286" t="s">
        <v>914</v>
      </c>
      <c r="D286" t="s">
        <v>1353</v>
      </c>
      <c r="E286" t="s">
        <v>202</v>
      </c>
      <c r="F286" t="s">
        <v>202</v>
      </c>
      <c r="G286" t="s">
        <v>1353</v>
      </c>
      <c r="H286" t="s">
        <v>1353</v>
      </c>
    </row>
    <row r="287" spans="1:8" x14ac:dyDescent="0.2">
      <c r="A287">
        <v>92336</v>
      </c>
      <c r="B287">
        <v>7</v>
      </c>
      <c r="C287" t="s">
        <v>914</v>
      </c>
      <c r="D287" t="s">
        <v>202</v>
      </c>
      <c r="E287" t="s">
        <v>202</v>
      </c>
      <c r="F287" t="s">
        <v>202</v>
      </c>
      <c r="G287" t="s">
        <v>202</v>
      </c>
      <c r="H287" t="s">
        <v>1353</v>
      </c>
    </row>
    <row r="288" spans="1:8" x14ac:dyDescent="0.2">
      <c r="A288">
        <v>91786</v>
      </c>
      <c r="B288">
        <v>7</v>
      </c>
      <c r="C288" t="s">
        <v>914</v>
      </c>
      <c r="D288" t="s">
        <v>202</v>
      </c>
      <c r="E288" t="s">
        <v>202</v>
      </c>
      <c r="F288" t="s">
        <v>202</v>
      </c>
      <c r="G288" t="s">
        <v>202</v>
      </c>
      <c r="H288" t="s">
        <v>202</v>
      </c>
    </row>
    <row r="289" spans="1:8" x14ac:dyDescent="0.2">
      <c r="A289">
        <v>91766</v>
      </c>
      <c r="B289">
        <v>6.6</v>
      </c>
      <c r="C289" t="s">
        <v>914</v>
      </c>
      <c r="D289" t="s">
        <v>1351</v>
      </c>
      <c r="E289" t="s">
        <v>1351</v>
      </c>
      <c r="F289" t="s">
        <v>1351</v>
      </c>
      <c r="G289" t="s">
        <v>1351</v>
      </c>
      <c r="H289" t="s">
        <v>1351</v>
      </c>
    </row>
    <row r="290" spans="1:8" x14ac:dyDescent="0.2">
      <c r="A290">
        <v>91750</v>
      </c>
      <c r="B290">
        <v>6.2</v>
      </c>
      <c r="C290" t="s">
        <v>914</v>
      </c>
      <c r="D290" t="s">
        <v>1351</v>
      </c>
      <c r="E290" t="s">
        <v>1351</v>
      </c>
      <c r="F290" t="s">
        <v>1351</v>
      </c>
      <c r="G290" t="s">
        <v>1351</v>
      </c>
      <c r="H290" t="s">
        <v>1351</v>
      </c>
    </row>
    <row r="291" spans="1:8" x14ac:dyDescent="0.2">
      <c r="A291" t="s">
        <v>1406</v>
      </c>
      <c r="B291">
        <v>6.1</v>
      </c>
      <c r="C291" t="s">
        <v>914</v>
      </c>
      <c r="D291" t="s">
        <v>1351</v>
      </c>
      <c r="E291" t="s">
        <v>1351</v>
      </c>
      <c r="F291" t="s">
        <v>1351</v>
      </c>
      <c r="G291" t="s">
        <v>1351</v>
      </c>
      <c r="H291" t="s">
        <v>1351</v>
      </c>
    </row>
    <row r="292" spans="1:8" x14ac:dyDescent="0.2">
      <c r="A292">
        <v>91784</v>
      </c>
      <c r="B292">
        <v>6</v>
      </c>
      <c r="C292" t="s">
        <v>914</v>
      </c>
      <c r="D292" t="s">
        <v>199</v>
      </c>
      <c r="E292" t="s">
        <v>1351</v>
      </c>
      <c r="F292" t="s">
        <v>1351</v>
      </c>
      <c r="G292" t="s">
        <v>1351</v>
      </c>
      <c r="H292" t="s">
        <v>1351</v>
      </c>
    </row>
    <row r="293" spans="1:8" x14ac:dyDescent="0.2">
      <c r="A293">
        <v>91730</v>
      </c>
      <c r="B293">
        <v>6</v>
      </c>
      <c r="C293" t="s">
        <v>914</v>
      </c>
      <c r="D293" t="s">
        <v>1351</v>
      </c>
      <c r="E293" t="s">
        <v>1351</v>
      </c>
      <c r="F293" t="s">
        <v>1351</v>
      </c>
      <c r="G293" t="s">
        <v>1351</v>
      </c>
      <c r="H293" t="s">
        <v>1351</v>
      </c>
    </row>
    <row r="294" spans="1:8" x14ac:dyDescent="0.2">
      <c r="A294">
        <v>91750</v>
      </c>
      <c r="B294">
        <v>6</v>
      </c>
      <c r="C294" t="s">
        <v>914</v>
      </c>
      <c r="D294" t="s">
        <v>1351</v>
      </c>
      <c r="E294" t="s">
        <v>1351</v>
      </c>
      <c r="F294" t="s">
        <v>1351</v>
      </c>
      <c r="G294" t="s">
        <v>1351</v>
      </c>
      <c r="H294" t="s">
        <v>1351</v>
      </c>
    </row>
    <row r="295" spans="1:8" x14ac:dyDescent="0.2">
      <c r="A295">
        <v>91784</v>
      </c>
      <c r="B295">
        <v>6</v>
      </c>
      <c r="C295" t="s">
        <v>914</v>
      </c>
      <c r="D295" t="s">
        <v>1351</v>
      </c>
      <c r="E295" t="s">
        <v>1351</v>
      </c>
      <c r="F295" t="s">
        <v>1351</v>
      </c>
      <c r="G295" t="s">
        <v>1351</v>
      </c>
      <c r="H295" t="s">
        <v>1351</v>
      </c>
    </row>
    <row r="296" spans="1:8" x14ac:dyDescent="0.2">
      <c r="A296">
        <v>91750</v>
      </c>
      <c r="B296">
        <v>6</v>
      </c>
      <c r="C296" t="s">
        <v>914</v>
      </c>
      <c r="D296" t="s">
        <v>1351</v>
      </c>
      <c r="E296" t="s">
        <v>1351</v>
      </c>
      <c r="F296" t="s">
        <v>1351</v>
      </c>
      <c r="G296" t="s">
        <v>1351</v>
      </c>
      <c r="H296" t="s">
        <v>1351</v>
      </c>
    </row>
    <row r="297" spans="1:8" x14ac:dyDescent="0.2">
      <c r="A297">
        <v>91762</v>
      </c>
      <c r="B297">
        <v>6</v>
      </c>
      <c r="C297" t="s">
        <v>914</v>
      </c>
      <c r="D297" t="s">
        <v>1351</v>
      </c>
      <c r="E297" t="s">
        <v>1351</v>
      </c>
      <c r="F297" t="s">
        <v>1353</v>
      </c>
      <c r="G297" t="s">
        <v>1351</v>
      </c>
      <c r="H297" t="s">
        <v>1353</v>
      </c>
    </row>
    <row r="298" spans="1:8" x14ac:dyDescent="0.2">
      <c r="A298">
        <v>91784</v>
      </c>
      <c r="B298">
        <v>6</v>
      </c>
      <c r="C298" t="s">
        <v>1390</v>
      </c>
      <c r="D298" t="s">
        <v>1351</v>
      </c>
      <c r="E298" t="s">
        <v>1351</v>
      </c>
      <c r="F298" t="s">
        <v>202</v>
      </c>
      <c r="G298" t="s">
        <v>1351</v>
      </c>
      <c r="H298" t="s">
        <v>202</v>
      </c>
    </row>
    <row r="299" spans="1:8" x14ac:dyDescent="0.2">
      <c r="A299">
        <v>91784</v>
      </c>
      <c r="B299">
        <v>6</v>
      </c>
      <c r="C299" t="s">
        <v>914</v>
      </c>
      <c r="D299" t="s">
        <v>1351</v>
      </c>
      <c r="E299" t="s">
        <v>1351</v>
      </c>
      <c r="F299" t="s">
        <v>1351</v>
      </c>
      <c r="G299" t="s">
        <v>1351</v>
      </c>
      <c r="H299" t="s">
        <v>1351</v>
      </c>
    </row>
    <row r="300" spans="1:8" x14ac:dyDescent="0.2">
      <c r="A300">
        <v>91730</v>
      </c>
      <c r="B300">
        <v>6</v>
      </c>
      <c r="C300" t="s">
        <v>914</v>
      </c>
      <c r="D300" t="s">
        <v>1351</v>
      </c>
      <c r="E300" t="s">
        <v>1351</v>
      </c>
      <c r="F300" t="s">
        <v>1351</v>
      </c>
      <c r="G300" t="s">
        <v>1351</v>
      </c>
      <c r="H300" t="s">
        <v>1351</v>
      </c>
    </row>
    <row r="301" spans="1:8" x14ac:dyDescent="0.2">
      <c r="A301">
        <v>91786</v>
      </c>
      <c r="B301">
        <v>6</v>
      </c>
      <c r="C301" t="s">
        <v>914</v>
      </c>
      <c r="D301" t="s">
        <v>1353</v>
      </c>
      <c r="E301" t="s">
        <v>202</v>
      </c>
      <c r="F301" t="s">
        <v>202</v>
      </c>
      <c r="G301" t="s">
        <v>202</v>
      </c>
      <c r="H301" t="s">
        <v>202</v>
      </c>
    </row>
    <row r="302" spans="1:8" x14ac:dyDescent="0.2">
      <c r="A302">
        <v>91767</v>
      </c>
      <c r="B302">
        <v>6</v>
      </c>
      <c r="C302" t="s">
        <v>914</v>
      </c>
      <c r="D302" t="s">
        <v>202</v>
      </c>
      <c r="E302" t="s">
        <v>1353</v>
      </c>
      <c r="F302" t="s">
        <v>202</v>
      </c>
      <c r="G302" t="s">
        <v>202</v>
      </c>
      <c r="H302" t="s">
        <v>202</v>
      </c>
    </row>
    <row r="303" spans="1:8" x14ac:dyDescent="0.2">
      <c r="A303">
        <v>91784</v>
      </c>
      <c r="B303">
        <v>5.7</v>
      </c>
      <c r="C303" t="s">
        <v>914</v>
      </c>
      <c r="D303" t="s">
        <v>1351</v>
      </c>
      <c r="E303" t="s">
        <v>1351</v>
      </c>
      <c r="F303" t="s">
        <v>1351</v>
      </c>
      <c r="G303" t="s">
        <v>1351</v>
      </c>
      <c r="H303" t="s">
        <v>1351</v>
      </c>
    </row>
    <row r="304" spans="1:8" x14ac:dyDescent="0.2">
      <c r="A304">
        <v>91711</v>
      </c>
      <c r="B304">
        <v>5.5</v>
      </c>
      <c r="C304" t="s">
        <v>914</v>
      </c>
      <c r="D304" t="s">
        <v>1353</v>
      </c>
      <c r="E304" t="s">
        <v>1351</v>
      </c>
      <c r="F304" t="s">
        <v>1353</v>
      </c>
      <c r="G304" t="s">
        <v>1351</v>
      </c>
      <c r="H304" t="s">
        <v>1351</v>
      </c>
    </row>
    <row r="305" spans="1:8" x14ac:dyDescent="0.2">
      <c r="A305" t="s">
        <v>1407</v>
      </c>
      <c r="B305">
        <v>5.3</v>
      </c>
      <c r="C305" t="s">
        <v>914</v>
      </c>
      <c r="D305" t="s">
        <v>1351</v>
      </c>
      <c r="E305" t="s">
        <v>1351</v>
      </c>
      <c r="F305" t="s">
        <v>1351</v>
      </c>
      <c r="G305" t="s">
        <v>1351</v>
      </c>
      <c r="H305" t="s">
        <v>1351</v>
      </c>
    </row>
    <row r="306" spans="1:8" x14ac:dyDescent="0.2">
      <c r="A306">
        <v>91784</v>
      </c>
      <c r="B306">
        <v>5</v>
      </c>
      <c r="C306" t="s">
        <v>914</v>
      </c>
      <c r="D306" t="s">
        <v>1351</v>
      </c>
      <c r="E306" t="s">
        <v>1351</v>
      </c>
      <c r="F306" t="s">
        <v>1351</v>
      </c>
      <c r="G306" t="s">
        <v>1351</v>
      </c>
      <c r="H306" t="s">
        <v>1351</v>
      </c>
    </row>
    <row r="307" spans="1:8" x14ac:dyDescent="0.2">
      <c r="A307">
        <v>91786</v>
      </c>
      <c r="B307">
        <v>5</v>
      </c>
      <c r="C307" t="s">
        <v>914</v>
      </c>
      <c r="D307" t="s">
        <v>1351</v>
      </c>
      <c r="E307" t="s">
        <v>1351</v>
      </c>
      <c r="F307" t="s">
        <v>1351</v>
      </c>
      <c r="G307" t="s">
        <v>1351</v>
      </c>
      <c r="H307" t="s">
        <v>1351</v>
      </c>
    </row>
    <row r="308" spans="1:8" x14ac:dyDescent="0.2">
      <c r="A308">
        <v>91786</v>
      </c>
      <c r="B308">
        <v>5</v>
      </c>
      <c r="C308" t="s">
        <v>914</v>
      </c>
      <c r="D308" t="s">
        <v>1351</v>
      </c>
      <c r="E308" t="s">
        <v>1351</v>
      </c>
      <c r="F308" t="s">
        <v>1351</v>
      </c>
      <c r="G308" t="s">
        <v>1351</v>
      </c>
      <c r="H308" t="s">
        <v>1351</v>
      </c>
    </row>
    <row r="309" spans="1:8" x14ac:dyDescent="0.2">
      <c r="A309">
        <v>91762</v>
      </c>
      <c r="B309">
        <v>5</v>
      </c>
      <c r="C309" t="s">
        <v>914</v>
      </c>
      <c r="D309" t="s">
        <v>1351</v>
      </c>
      <c r="E309" t="s">
        <v>1351</v>
      </c>
      <c r="F309" t="s">
        <v>1351</v>
      </c>
      <c r="G309" t="s">
        <v>1351</v>
      </c>
      <c r="H309" t="s">
        <v>1351</v>
      </c>
    </row>
    <row r="310" spans="1:8" x14ac:dyDescent="0.2">
      <c r="A310">
        <v>91762</v>
      </c>
      <c r="B310">
        <v>5</v>
      </c>
      <c r="C310" t="s">
        <v>1390</v>
      </c>
      <c r="D310" t="s">
        <v>1351</v>
      </c>
      <c r="E310" t="s">
        <v>1351</v>
      </c>
      <c r="F310" t="s">
        <v>1351</v>
      </c>
      <c r="G310" t="s">
        <v>1351</v>
      </c>
      <c r="H310" t="s">
        <v>1351</v>
      </c>
    </row>
    <row r="311" spans="1:8" x14ac:dyDescent="0.2">
      <c r="A311" t="s">
        <v>1408</v>
      </c>
      <c r="B311">
        <v>5</v>
      </c>
      <c r="C311" t="s">
        <v>914</v>
      </c>
      <c r="D311" t="s">
        <v>1351</v>
      </c>
      <c r="E311" t="s">
        <v>1351</v>
      </c>
      <c r="F311" t="s">
        <v>1351</v>
      </c>
      <c r="G311" t="s">
        <v>1351</v>
      </c>
      <c r="H311" t="s">
        <v>1351</v>
      </c>
    </row>
    <row r="312" spans="1:8" x14ac:dyDescent="0.2">
      <c r="A312">
        <v>91763</v>
      </c>
      <c r="B312">
        <v>5</v>
      </c>
      <c r="C312" t="s">
        <v>914</v>
      </c>
      <c r="D312" t="s">
        <v>1351</v>
      </c>
      <c r="E312" t="s">
        <v>1351</v>
      </c>
      <c r="F312" t="s">
        <v>1351</v>
      </c>
      <c r="G312" t="s">
        <v>1351</v>
      </c>
      <c r="H312" t="s">
        <v>1351</v>
      </c>
    </row>
    <row r="313" spans="1:8" x14ac:dyDescent="0.2">
      <c r="A313">
        <v>91762</v>
      </c>
      <c r="B313">
        <v>5</v>
      </c>
      <c r="C313" t="s">
        <v>914</v>
      </c>
      <c r="D313" t="s">
        <v>1351</v>
      </c>
      <c r="E313" t="s">
        <v>1351</v>
      </c>
      <c r="F313" t="s">
        <v>1351</v>
      </c>
      <c r="G313" t="s">
        <v>1351</v>
      </c>
      <c r="H313" t="s">
        <v>1351</v>
      </c>
    </row>
    <row r="314" spans="1:8" x14ac:dyDescent="0.2">
      <c r="A314">
        <v>91762</v>
      </c>
      <c r="B314">
        <v>5</v>
      </c>
      <c r="C314" t="s">
        <v>914</v>
      </c>
      <c r="D314" t="s">
        <v>202</v>
      </c>
      <c r="E314" t="s">
        <v>202</v>
      </c>
      <c r="F314" t="s">
        <v>202</v>
      </c>
      <c r="G314" t="s">
        <v>202</v>
      </c>
      <c r="H314" t="s">
        <v>202</v>
      </c>
    </row>
    <row r="315" spans="1:8" x14ac:dyDescent="0.2">
      <c r="A315">
        <v>91784</v>
      </c>
      <c r="B315">
        <v>5</v>
      </c>
      <c r="C315" t="s">
        <v>914</v>
      </c>
      <c r="D315" t="s">
        <v>1351</v>
      </c>
      <c r="E315" t="s">
        <v>1351</v>
      </c>
      <c r="F315" t="s">
        <v>1351</v>
      </c>
      <c r="G315" t="s">
        <v>1351</v>
      </c>
      <c r="H315" t="s">
        <v>1351</v>
      </c>
    </row>
    <row r="316" spans="1:8" x14ac:dyDescent="0.2">
      <c r="A316">
        <v>91764</v>
      </c>
      <c r="B316">
        <v>5</v>
      </c>
      <c r="C316" t="s">
        <v>914</v>
      </c>
      <c r="D316" t="s">
        <v>1353</v>
      </c>
      <c r="E316" t="s">
        <v>1353</v>
      </c>
      <c r="F316" t="s">
        <v>1353</v>
      </c>
      <c r="G316" t="s">
        <v>202</v>
      </c>
      <c r="H316" t="s">
        <v>202</v>
      </c>
    </row>
    <row r="317" spans="1:8" x14ac:dyDescent="0.2">
      <c r="A317">
        <v>91711</v>
      </c>
      <c r="B317">
        <v>5</v>
      </c>
      <c r="C317" t="s">
        <v>914</v>
      </c>
      <c r="D317" t="s">
        <v>1353</v>
      </c>
      <c r="E317" t="s">
        <v>1353</v>
      </c>
      <c r="F317" t="s">
        <v>1353</v>
      </c>
      <c r="G317" t="s">
        <v>1353</v>
      </c>
      <c r="H317" t="s">
        <v>1353</v>
      </c>
    </row>
    <row r="318" spans="1:8" x14ac:dyDescent="0.2">
      <c r="A318">
        <v>91773</v>
      </c>
      <c r="B318">
        <v>5</v>
      </c>
      <c r="C318" t="s">
        <v>1390</v>
      </c>
      <c r="D318" t="s">
        <v>1351</v>
      </c>
      <c r="E318" t="s">
        <v>1351</v>
      </c>
      <c r="F318" t="s">
        <v>1351</v>
      </c>
      <c r="G318" t="s">
        <v>1351</v>
      </c>
      <c r="H318" t="s">
        <v>1351</v>
      </c>
    </row>
    <row r="319" spans="1:8" x14ac:dyDescent="0.2">
      <c r="A319">
        <v>91786</v>
      </c>
      <c r="B319">
        <v>5</v>
      </c>
      <c r="C319" t="s">
        <v>914</v>
      </c>
      <c r="D319" t="s">
        <v>202</v>
      </c>
      <c r="E319" t="s">
        <v>202</v>
      </c>
      <c r="F319" t="s">
        <v>202</v>
      </c>
      <c r="G319" t="s">
        <v>202</v>
      </c>
      <c r="H319" t="s">
        <v>202</v>
      </c>
    </row>
    <row r="320" spans="1:8" x14ac:dyDescent="0.2">
      <c r="A320">
        <v>91786</v>
      </c>
      <c r="B320">
        <v>5</v>
      </c>
      <c r="C320" t="s">
        <v>914</v>
      </c>
      <c r="D320" t="s">
        <v>1351</v>
      </c>
      <c r="E320" t="s">
        <v>1351</v>
      </c>
      <c r="F320" t="s">
        <v>1351</v>
      </c>
      <c r="G320" t="s">
        <v>1351</v>
      </c>
      <c r="H320" t="s">
        <v>1351</v>
      </c>
    </row>
    <row r="321" spans="1:8" x14ac:dyDescent="0.2">
      <c r="A321">
        <v>91711</v>
      </c>
      <c r="B321">
        <v>5</v>
      </c>
      <c r="C321" t="s">
        <v>914</v>
      </c>
      <c r="D321" t="s">
        <v>202</v>
      </c>
      <c r="E321" t="s">
        <v>1353</v>
      </c>
      <c r="F321" t="s">
        <v>1353</v>
      </c>
      <c r="G321" t="s">
        <v>1353</v>
      </c>
      <c r="H321" t="s">
        <v>1353</v>
      </c>
    </row>
    <row r="322" spans="1:8" x14ac:dyDescent="0.2">
      <c r="A322">
        <v>91786</v>
      </c>
      <c r="B322">
        <v>5</v>
      </c>
      <c r="C322" t="s">
        <v>914</v>
      </c>
      <c r="D322" t="s">
        <v>1351</v>
      </c>
      <c r="E322" t="s">
        <v>1351</v>
      </c>
      <c r="F322" t="s">
        <v>1351</v>
      </c>
      <c r="G322" t="s">
        <v>1351</v>
      </c>
      <c r="H322" t="s">
        <v>1351</v>
      </c>
    </row>
    <row r="323" spans="1:8" x14ac:dyDescent="0.2">
      <c r="A323">
        <v>91762</v>
      </c>
      <c r="B323">
        <v>5</v>
      </c>
      <c r="C323" t="s">
        <v>914</v>
      </c>
      <c r="D323" t="s">
        <v>1351</v>
      </c>
      <c r="E323" t="s">
        <v>1351</v>
      </c>
      <c r="F323" t="s">
        <v>1351</v>
      </c>
      <c r="G323" t="s">
        <v>1351</v>
      </c>
      <c r="H323" t="s">
        <v>1351</v>
      </c>
    </row>
    <row r="324" spans="1:8" x14ac:dyDescent="0.2">
      <c r="A324">
        <v>91784</v>
      </c>
      <c r="B324">
        <v>5</v>
      </c>
      <c r="C324" t="s">
        <v>914</v>
      </c>
      <c r="D324" t="s">
        <v>1351</v>
      </c>
      <c r="E324" t="s">
        <v>1351</v>
      </c>
      <c r="F324" t="s">
        <v>1351</v>
      </c>
      <c r="G324" t="s">
        <v>1351</v>
      </c>
      <c r="H324" t="s">
        <v>1351</v>
      </c>
    </row>
    <row r="325" spans="1:8" x14ac:dyDescent="0.2">
      <c r="A325">
        <v>91784</v>
      </c>
      <c r="B325">
        <v>5</v>
      </c>
      <c r="C325" t="s">
        <v>914</v>
      </c>
      <c r="D325" t="s">
        <v>1353</v>
      </c>
      <c r="E325" t="s">
        <v>1353</v>
      </c>
      <c r="F325" t="s">
        <v>1353</v>
      </c>
      <c r="G325" t="s">
        <v>1353</v>
      </c>
      <c r="H325" t="s">
        <v>1353</v>
      </c>
    </row>
    <row r="326" spans="1:8" x14ac:dyDescent="0.2">
      <c r="A326">
        <v>91784</v>
      </c>
      <c r="B326">
        <v>4.7</v>
      </c>
      <c r="C326" t="s">
        <v>914</v>
      </c>
      <c r="D326" t="s">
        <v>1351</v>
      </c>
      <c r="E326" t="s">
        <v>1351</v>
      </c>
      <c r="F326" t="s">
        <v>1351</v>
      </c>
      <c r="G326" t="s">
        <v>1351</v>
      </c>
      <c r="H326" t="s">
        <v>1351</v>
      </c>
    </row>
    <row r="327" spans="1:8" x14ac:dyDescent="0.2">
      <c r="A327">
        <v>91764</v>
      </c>
      <c r="B327">
        <v>4.3499999999999996</v>
      </c>
      <c r="C327" t="s">
        <v>914</v>
      </c>
      <c r="D327" t="s">
        <v>1351</v>
      </c>
      <c r="E327" t="s">
        <v>1351</v>
      </c>
      <c r="F327" t="s">
        <v>1351</v>
      </c>
      <c r="G327" t="s">
        <v>1351</v>
      </c>
      <c r="H327" t="s">
        <v>1351</v>
      </c>
    </row>
    <row r="328" spans="1:8" x14ac:dyDescent="0.2">
      <c r="A328">
        <v>91768</v>
      </c>
      <c r="B328">
        <v>4.1900000000000004</v>
      </c>
      <c r="C328" t="s">
        <v>914</v>
      </c>
      <c r="D328" t="s">
        <v>1353</v>
      </c>
      <c r="E328" t="s">
        <v>202</v>
      </c>
      <c r="F328" t="s">
        <v>1353</v>
      </c>
      <c r="G328" t="s">
        <v>1353</v>
      </c>
      <c r="H328" t="s">
        <v>202</v>
      </c>
    </row>
    <row r="329" spans="1:8" x14ac:dyDescent="0.2">
      <c r="A329">
        <v>91750</v>
      </c>
      <c r="B329">
        <v>4</v>
      </c>
      <c r="C329" t="s">
        <v>914</v>
      </c>
      <c r="D329" t="s">
        <v>1351</v>
      </c>
      <c r="E329" t="s">
        <v>1351</v>
      </c>
      <c r="F329" t="s">
        <v>1351</v>
      </c>
      <c r="G329" t="s">
        <v>1351</v>
      </c>
      <c r="H329" t="s">
        <v>1351</v>
      </c>
    </row>
    <row r="330" spans="1:8" x14ac:dyDescent="0.2">
      <c r="A330">
        <v>91786</v>
      </c>
      <c r="B330">
        <v>4</v>
      </c>
      <c r="C330" t="s">
        <v>914</v>
      </c>
      <c r="D330" t="s">
        <v>1351</v>
      </c>
      <c r="E330" t="s">
        <v>1351</v>
      </c>
      <c r="F330" t="s">
        <v>1351</v>
      </c>
      <c r="G330" t="s">
        <v>1351</v>
      </c>
      <c r="H330" t="s">
        <v>1351</v>
      </c>
    </row>
    <row r="331" spans="1:8" x14ac:dyDescent="0.2">
      <c r="A331">
        <v>91784</v>
      </c>
      <c r="B331">
        <v>4</v>
      </c>
      <c r="C331" t="s">
        <v>914</v>
      </c>
      <c r="D331" t="s">
        <v>1351</v>
      </c>
      <c r="E331" t="s">
        <v>1351</v>
      </c>
      <c r="F331" t="s">
        <v>1351</v>
      </c>
      <c r="G331" t="s">
        <v>1351</v>
      </c>
      <c r="H331" t="s">
        <v>1351</v>
      </c>
    </row>
    <row r="332" spans="1:8" x14ac:dyDescent="0.2">
      <c r="A332">
        <v>91711</v>
      </c>
      <c r="B332">
        <v>4</v>
      </c>
      <c r="C332" t="s">
        <v>914</v>
      </c>
      <c r="D332" t="s">
        <v>202</v>
      </c>
      <c r="E332" t="s">
        <v>202</v>
      </c>
      <c r="F332" t="s">
        <v>202</v>
      </c>
      <c r="G332" t="s">
        <v>202</v>
      </c>
      <c r="H332" t="s">
        <v>202</v>
      </c>
    </row>
    <row r="333" spans="1:8" x14ac:dyDescent="0.2">
      <c r="A333">
        <v>91786</v>
      </c>
      <c r="B333">
        <v>4</v>
      </c>
      <c r="C333" t="s">
        <v>914</v>
      </c>
      <c r="D333" t="s">
        <v>1351</v>
      </c>
      <c r="E333" t="s">
        <v>1351</v>
      </c>
      <c r="F333" t="s">
        <v>1351</v>
      </c>
      <c r="G333" t="s">
        <v>1351</v>
      </c>
      <c r="H333" t="s">
        <v>1351</v>
      </c>
    </row>
    <row r="334" spans="1:8" x14ac:dyDescent="0.2">
      <c r="A334">
        <v>91762</v>
      </c>
      <c r="B334">
        <v>4</v>
      </c>
      <c r="C334" t="s">
        <v>914</v>
      </c>
      <c r="D334" t="s">
        <v>1351</v>
      </c>
      <c r="E334" t="s">
        <v>1351</v>
      </c>
      <c r="F334" t="s">
        <v>1351</v>
      </c>
      <c r="G334" t="s">
        <v>1351</v>
      </c>
      <c r="H334" t="s">
        <v>1351</v>
      </c>
    </row>
    <row r="335" spans="1:8" x14ac:dyDescent="0.2">
      <c r="A335">
        <v>91750</v>
      </c>
      <c r="B335">
        <v>4</v>
      </c>
      <c r="C335" t="s">
        <v>914</v>
      </c>
      <c r="D335" t="s">
        <v>202</v>
      </c>
      <c r="E335" t="s">
        <v>202</v>
      </c>
      <c r="F335" t="s">
        <v>202</v>
      </c>
      <c r="G335" t="s">
        <v>202</v>
      </c>
      <c r="H335" t="s">
        <v>202</v>
      </c>
    </row>
    <row r="336" spans="1:8" x14ac:dyDescent="0.2">
      <c r="A336">
        <v>91750</v>
      </c>
      <c r="B336">
        <v>3.7</v>
      </c>
      <c r="C336" t="s">
        <v>914</v>
      </c>
      <c r="D336" t="s">
        <v>1353</v>
      </c>
      <c r="E336" t="s">
        <v>1353</v>
      </c>
      <c r="F336" t="s">
        <v>1353</v>
      </c>
      <c r="G336" t="s">
        <v>1353</v>
      </c>
      <c r="H336" t="s">
        <v>1373</v>
      </c>
    </row>
    <row r="337" spans="1:8" x14ac:dyDescent="0.2">
      <c r="A337">
        <v>91784</v>
      </c>
      <c r="B337">
        <v>3.54</v>
      </c>
      <c r="C337" t="s">
        <v>914</v>
      </c>
      <c r="D337" t="s">
        <v>1351</v>
      </c>
      <c r="E337" t="s">
        <v>1351</v>
      </c>
      <c r="F337" t="s">
        <v>1351</v>
      </c>
      <c r="G337" t="s">
        <v>1351</v>
      </c>
      <c r="H337" t="s">
        <v>1351</v>
      </c>
    </row>
    <row r="338" spans="1:8" x14ac:dyDescent="0.2">
      <c r="A338">
        <v>91784</v>
      </c>
      <c r="B338">
        <v>3.54</v>
      </c>
      <c r="C338" t="s">
        <v>914</v>
      </c>
      <c r="D338" t="s">
        <v>1351</v>
      </c>
      <c r="E338" t="s">
        <v>1351</v>
      </c>
      <c r="F338" t="s">
        <v>1351</v>
      </c>
      <c r="G338" t="s">
        <v>1351</v>
      </c>
      <c r="H338" t="s">
        <v>1351</v>
      </c>
    </row>
    <row r="339" spans="1:8" x14ac:dyDescent="0.2">
      <c r="A339">
        <v>91784</v>
      </c>
      <c r="B339">
        <v>3.54</v>
      </c>
      <c r="C339" t="s">
        <v>914</v>
      </c>
      <c r="D339" t="s">
        <v>1351</v>
      </c>
      <c r="E339" t="s">
        <v>1351</v>
      </c>
      <c r="F339" t="s">
        <v>1351</v>
      </c>
      <c r="G339" t="s">
        <v>1351</v>
      </c>
      <c r="H339" t="s">
        <v>1351</v>
      </c>
    </row>
    <row r="340" spans="1:8" x14ac:dyDescent="0.2">
      <c r="A340">
        <v>91750</v>
      </c>
      <c r="B340">
        <v>3.5</v>
      </c>
      <c r="C340" t="s">
        <v>914</v>
      </c>
      <c r="D340" t="s">
        <v>1351</v>
      </c>
      <c r="E340" t="s">
        <v>1351</v>
      </c>
      <c r="F340" t="s">
        <v>1351</v>
      </c>
      <c r="G340" t="s">
        <v>1351</v>
      </c>
      <c r="H340" t="s">
        <v>1351</v>
      </c>
    </row>
    <row r="341" spans="1:8" x14ac:dyDescent="0.2">
      <c r="A341">
        <v>91750</v>
      </c>
      <c r="B341">
        <v>3.3</v>
      </c>
      <c r="C341" t="s">
        <v>914</v>
      </c>
      <c r="D341" t="s">
        <v>1351</v>
      </c>
      <c r="E341" t="s">
        <v>1351</v>
      </c>
      <c r="F341" t="s">
        <v>1351</v>
      </c>
      <c r="G341" t="s">
        <v>1351</v>
      </c>
      <c r="H341" t="s">
        <v>1351</v>
      </c>
    </row>
    <row r="342" spans="1:8" x14ac:dyDescent="0.2">
      <c r="A342">
        <v>91786</v>
      </c>
      <c r="B342">
        <v>3.1</v>
      </c>
      <c r="C342" t="s">
        <v>914</v>
      </c>
      <c r="D342" t="s">
        <v>1351</v>
      </c>
      <c r="E342" t="s">
        <v>1351</v>
      </c>
      <c r="F342" t="s">
        <v>1351</v>
      </c>
      <c r="G342" t="s">
        <v>1351</v>
      </c>
      <c r="H342" t="s">
        <v>1351</v>
      </c>
    </row>
    <row r="343" spans="1:8" x14ac:dyDescent="0.2">
      <c r="A343">
        <v>91786</v>
      </c>
      <c r="B343">
        <v>3.07</v>
      </c>
      <c r="C343" t="s">
        <v>914</v>
      </c>
      <c r="D343" t="s">
        <v>1351</v>
      </c>
      <c r="E343" t="s">
        <v>1351</v>
      </c>
      <c r="F343" t="s">
        <v>1351</v>
      </c>
      <c r="G343" t="s">
        <v>1351</v>
      </c>
      <c r="H343" t="s">
        <v>1351</v>
      </c>
    </row>
    <row r="344" spans="1:8" x14ac:dyDescent="0.2">
      <c r="A344">
        <v>91711</v>
      </c>
      <c r="B344">
        <v>3</v>
      </c>
      <c r="C344" t="s">
        <v>914</v>
      </c>
      <c r="D344" t="s">
        <v>1351</v>
      </c>
      <c r="E344" t="s">
        <v>1351</v>
      </c>
      <c r="F344" t="s">
        <v>1351</v>
      </c>
      <c r="G344" t="s">
        <v>1351</v>
      </c>
      <c r="H344" t="s">
        <v>1351</v>
      </c>
    </row>
    <row r="345" spans="1:8" x14ac:dyDescent="0.2">
      <c r="A345">
        <v>91711</v>
      </c>
      <c r="B345">
        <v>3</v>
      </c>
      <c r="C345" t="s">
        <v>914</v>
      </c>
      <c r="D345" t="s">
        <v>1353</v>
      </c>
      <c r="E345" t="s">
        <v>1353</v>
      </c>
      <c r="F345" t="s">
        <v>1353</v>
      </c>
      <c r="G345" t="s">
        <v>1351</v>
      </c>
      <c r="H345" t="s">
        <v>1353</v>
      </c>
    </row>
    <row r="346" spans="1:8" x14ac:dyDescent="0.2">
      <c r="A346">
        <v>91711</v>
      </c>
      <c r="B346">
        <v>3</v>
      </c>
      <c r="C346" t="s">
        <v>914</v>
      </c>
      <c r="D346" t="s">
        <v>1351</v>
      </c>
      <c r="E346" t="s">
        <v>1351</v>
      </c>
      <c r="F346" t="s">
        <v>1351</v>
      </c>
      <c r="G346" t="s">
        <v>1351</v>
      </c>
      <c r="H346" t="s">
        <v>1351</v>
      </c>
    </row>
    <row r="347" spans="1:8" x14ac:dyDescent="0.2">
      <c r="A347">
        <v>91711</v>
      </c>
      <c r="B347">
        <v>3</v>
      </c>
      <c r="C347" t="s">
        <v>914</v>
      </c>
      <c r="D347" t="s">
        <v>1353</v>
      </c>
      <c r="E347" t="s">
        <v>202</v>
      </c>
      <c r="F347" t="s">
        <v>202</v>
      </c>
      <c r="G347" t="s">
        <v>202</v>
      </c>
      <c r="H347" t="s">
        <v>1353</v>
      </c>
    </row>
    <row r="348" spans="1:8" x14ac:dyDescent="0.2">
      <c r="A348">
        <v>91767</v>
      </c>
      <c r="B348">
        <v>3</v>
      </c>
      <c r="C348" t="s">
        <v>914</v>
      </c>
      <c r="D348" t="s">
        <v>1353</v>
      </c>
      <c r="E348" t="s">
        <v>1353</v>
      </c>
      <c r="F348" t="s">
        <v>1353</v>
      </c>
      <c r="G348" t="s">
        <v>1353</v>
      </c>
      <c r="H348" t="s">
        <v>1353</v>
      </c>
    </row>
    <row r="349" spans="1:8" x14ac:dyDescent="0.2">
      <c r="A349" t="s">
        <v>1409</v>
      </c>
      <c r="B349">
        <v>3</v>
      </c>
      <c r="C349" t="s">
        <v>914</v>
      </c>
      <c r="D349" t="s">
        <v>202</v>
      </c>
      <c r="E349" t="s">
        <v>202</v>
      </c>
      <c r="F349" t="s">
        <v>202</v>
      </c>
      <c r="G349" t="s">
        <v>202</v>
      </c>
      <c r="H349" t="s">
        <v>202</v>
      </c>
    </row>
    <row r="350" spans="1:8" x14ac:dyDescent="0.2">
      <c r="A350">
        <v>91763</v>
      </c>
      <c r="B350">
        <v>3</v>
      </c>
      <c r="C350" t="s">
        <v>914</v>
      </c>
      <c r="D350" t="s">
        <v>1351</v>
      </c>
      <c r="E350" t="s">
        <v>1351</v>
      </c>
      <c r="F350" t="s">
        <v>1351</v>
      </c>
      <c r="G350" t="s">
        <v>1351</v>
      </c>
      <c r="H350" t="s">
        <v>1351</v>
      </c>
    </row>
    <row r="351" spans="1:8" x14ac:dyDescent="0.2">
      <c r="A351">
        <v>91767</v>
      </c>
      <c r="B351">
        <v>2.7</v>
      </c>
      <c r="C351" t="s">
        <v>914</v>
      </c>
      <c r="D351" t="s">
        <v>202</v>
      </c>
      <c r="E351" t="s">
        <v>202</v>
      </c>
      <c r="F351" t="s">
        <v>202</v>
      </c>
      <c r="G351" t="s">
        <v>202</v>
      </c>
      <c r="H351" t="s">
        <v>202</v>
      </c>
    </row>
    <row r="352" spans="1:8" x14ac:dyDescent="0.2">
      <c r="A352">
        <v>91711</v>
      </c>
      <c r="B352">
        <v>2.5</v>
      </c>
      <c r="C352" t="s">
        <v>914</v>
      </c>
      <c r="D352" t="s">
        <v>1351</v>
      </c>
      <c r="E352" t="s">
        <v>1351</v>
      </c>
      <c r="F352" t="s">
        <v>1351</v>
      </c>
      <c r="G352" t="s">
        <v>1351</v>
      </c>
      <c r="H352" t="s">
        <v>1351</v>
      </c>
    </row>
    <row r="353" spans="1:8" x14ac:dyDescent="0.2">
      <c r="A353">
        <v>91767</v>
      </c>
      <c r="B353">
        <v>2.2999999999999998</v>
      </c>
      <c r="C353" t="s">
        <v>914</v>
      </c>
      <c r="D353" t="s">
        <v>1351</v>
      </c>
      <c r="E353" t="s">
        <v>1351</v>
      </c>
      <c r="F353" t="s">
        <v>1351</v>
      </c>
      <c r="G353" t="s">
        <v>1353</v>
      </c>
      <c r="H353" t="s">
        <v>1351</v>
      </c>
    </row>
    <row r="354" spans="1:8" x14ac:dyDescent="0.2">
      <c r="A354">
        <v>91767</v>
      </c>
      <c r="B354">
        <v>2</v>
      </c>
      <c r="C354" t="s">
        <v>914</v>
      </c>
      <c r="D354" t="s">
        <v>1351</v>
      </c>
      <c r="E354" t="s">
        <v>1351</v>
      </c>
      <c r="F354" t="s">
        <v>1351</v>
      </c>
      <c r="G354" t="s">
        <v>1351</v>
      </c>
      <c r="H354" t="s">
        <v>1353</v>
      </c>
    </row>
    <row r="355" spans="1:8" x14ac:dyDescent="0.2">
      <c r="A355">
        <v>91711</v>
      </c>
      <c r="B355">
        <v>2</v>
      </c>
      <c r="C355" t="s">
        <v>1390</v>
      </c>
      <c r="D355" t="s">
        <v>202</v>
      </c>
      <c r="E355" t="s">
        <v>1372</v>
      </c>
      <c r="F355" t="s">
        <v>1372</v>
      </c>
      <c r="G355" t="s">
        <v>1372</v>
      </c>
      <c r="H355" t="s">
        <v>202</v>
      </c>
    </row>
    <row r="356" spans="1:8" x14ac:dyDescent="0.2">
      <c r="A356">
        <v>91711</v>
      </c>
      <c r="B356">
        <v>2</v>
      </c>
      <c r="C356" t="s">
        <v>914</v>
      </c>
      <c r="D356" t="s">
        <v>1351</v>
      </c>
      <c r="E356" t="s">
        <v>1351</v>
      </c>
      <c r="F356" t="s">
        <v>1351</v>
      </c>
      <c r="G356" t="s">
        <v>1351</v>
      </c>
      <c r="H356" t="s">
        <v>1351</v>
      </c>
    </row>
    <row r="357" spans="1:8" x14ac:dyDescent="0.2">
      <c r="A357">
        <v>91711</v>
      </c>
      <c r="B357">
        <v>2</v>
      </c>
      <c r="C357" t="s">
        <v>914</v>
      </c>
      <c r="D357" t="s">
        <v>1351</v>
      </c>
      <c r="E357" t="s">
        <v>1372</v>
      </c>
      <c r="F357" t="s">
        <v>1351</v>
      </c>
      <c r="G357" t="s">
        <v>1372</v>
      </c>
      <c r="H357" t="s">
        <v>1353</v>
      </c>
    </row>
    <row r="358" spans="1:8" x14ac:dyDescent="0.2">
      <c r="A358">
        <v>91711</v>
      </c>
      <c r="B358">
        <v>2</v>
      </c>
      <c r="C358" t="s">
        <v>914</v>
      </c>
      <c r="D358" t="s">
        <v>1351</v>
      </c>
      <c r="E358" t="s">
        <v>1353</v>
      </c>
      <c r="F358" t="s">
        <v>1351</v>
      </c>
      <c r="G358" t="s">
        <v>1351</v>
      </c>
      <c r="H358" t="s">
        <v>1353</v>
      </c>
    </row>
    <row r="359" spans="1:8" x14ac:dyDescent="0.2">
      <c r="A359">
        <v>91711</v>
      </c>
      <c r="B359">
        <v>2</v>
      </c>
      <c r="C359" t="s">
        <v>914</v>
      </c>
      <c r="D359" t="s">
        <v>1351</v>
      </c>
      <c r="E359" t="s">
        <v>1351</v>
      </c>
      <c r="F359" t="s">
        <v>1351</v>
      </c>
      <c r="G359" t="s">
        <v>1351</v>
      </c>
      <c r="H359" t="s">
        <v>1351</v>
      </c>
    </row>
    <row r="360" spans="1:8" x14ac:dyDescent="0.2">
      <c r="A360">
        <v>91711</v>
      </c>
      <c r="B360">
        <v>2</v>
      </c>
      <c r="C360" t="s">
        <v>914</v>
      </c>
      <c r="D360" t="s">
        <v>1351</v>
      </c>
      <c r="E360" t="s">
        <v>1351</v>
      </c>
      <c r="F360" t="s">
        <v>1351</v>
      </c>
      <c r="G360" t="s">
        <v>1351</v>
      </c>
      <c r="H360" t="s">
        <v>1351</v>
      </c>
    </row>
    <row r="361" spans="1:8" x14ac:dyDescent="0.2">
      <c r="A361">
        <v>91711</v>
      </c>
      <c r="B361">
        <v>2</v>
      </c>
      <c r="C361" t="s">
        <v>914</v>
      </c>
      <c r="D361" t="s">
        <v>1351</v>
      </c>
      <c r="E361" t="s">
        <v>1351</v>
      </c>
      <c r="F361" t="s">
        <v>1351</v>
      </c>
      <c r="G361" t="s">
        <v>1351</v>
      </c>
      <c r="H361" t="s">
        <v>1351</v>
      </c>
    </row>
    <row r="362" spans="1:8" x14ac:dyDescent="0.2">
      <c r="A362">
        <v>91711</v>
      </c>
      <c r="B362">
        <v>2</v>
      </c>
      <c r="C362" t="s">
        <v>914</v>
      </c>
      <c r="D362" t="s">
        <v>1351</v>
      </c>
      <c r="E362" t="s">
        <v>1351</v>
      </c>
      <c r="F362" t="s">
        <v>1351</v>
      </c>
      <c r="G362" t="s">
        <v>1351</v>
      </c>
      <c r="H362" t="s">
        <v>1351</v>
      </c>
    </row>
    <row r="363" spans="1:8" x14ac:dyDescent="0.2">
      <c r="A363">
        <v>91763</v>
      </c>
      <c r="B363">
        <v>2</v>
      </c>
      <c r="C363" t="s">
        <v>914</v>
      </c>
      <c r="D363" t="s">
        <v>1351</v>
      </c>
      <c r="E363" t="s">
        <v>1351</v>
      </c>
      <c r="F363" t="s">
        <v>1351</v>
      </c>
      <c r="G363" t="s">
        <v>1353</v>
      </c>
      <c r="H363" t="s">
        <v>1353</v>
      </c>
    </row>
    <row r="364" spans="1:8" x14ac:dyDescent="0.2">
      <c r="A364">
        <v>91763</v>
      </c>
      <c r="B364">
        <v>2</v>
      </c>
      <c r="C364" t="s">
        <v>914</v>
      </c>
      <c r="D364" t="s">
        <v>1351</v>
      </c>
      <c r="E364" t="s">
        <v>1351</v>
      </c>
      <c r="F364" t="s">
        <v>1351</v>
      </c>
      <c r="G364" t="s">
        <v>1351</v>
      </c>
      <c r="H364" t="s">
        <v>1351</v>
      </c>
    </row>
    <row r="365" spans="1:8" x14ac:dyDescent="0.2">
      <c r="A365">
        <v>91763</v>
      </c>
      <c r="B365">
        <v>2</v>
      </c>
      <c r="C365" t="s">
        <v>914</v>
      </c>
      <c r="D365" t="s">
        <v>1351</v>
      </c>
      <c r="E365" t="s">
        <v>1351</v>
      </c>
      <c r="F365" t="s">
        <v>1351</v>
      </c>
      <c r="G365" t="s">
        <v>1351</v>
      </c>
      <c r="H365" t="s">
        <v>1351</v>
      </c>
    </row>
    <row r="366" spans="1:8" x14ac:dyDescent="0.2">
      <c r="A366">
        <v>91711</v>
      </c>
      <c r="B366">
        <v>2</v>
      </c>
      <c r="C366" t="s">
        <v>1390</v>
      </c>
      <c r="D366" t="s">
        <v>1353</v>
      </c>
      <c r="E366" t="s">
        <v>202</v>
      </c>
      <c r="F366" t="s">
        <v>1353</v>
      </c>
      <c r="G366" t="s">
        <v>202</v>
      </c>
      <c r="H366" t="s">
        <v>1353</v>
      </c>
    </row>
    <row r="367" spans="1:8" x14ac:dyDescent="0.2">
      <c r="A367">
        <v>91767</v>
      </c>
      <c r="B367">
        <v>1.92</v>
      </c>
      <c r="C367" t="s">
        <v>914</v>
      </c>
      <c r="D367" t="s">
        <v>1351</v>
      </c>
      <c r="E367" t="s">
        <v>1351</v>
      </c>
      <c r="F367" t="s">
        <v>1351</v>
      </c>
      <c r="G367" t="s">
        <v>1351</v>
      </c>
      <c r="H367" t="s">
        <v>1351</v>
      </c>
    </row>
    <row r="368" spans="1:8" x14ac:dyDescent="0.2">
      <c r="A368">
        <v>91786</v>
      </c>
      <c r="B368">
        <v>1.6</v>
      </c>
      <c r="C368" t="s">
        <v>1390</v>
      </c>
      <c r="D368" t="s">
        <v>1351</v>
      </c>
      <c r="E368" t="s">
        <v>1351</v>
      </c>
      <c r="F368" t="s">
        <v>1351</v>
      </c>
      <c r="G368" t="s">
        <v>1351</v>
      </c>
      <c r="H368" t="s">
        <v>1351</v>
      </c>
    </row>
    <row r="369" spans="1:8" x14ac:dyDescent="0.2">
      <c r="A369">
        <v>91711</v>
      </c>
      <c r="B369">
        <v>1.5</v>
      </c>
      <c r="C369" t="s">
        <v>914</v>
      </c>
      <c r="D369" t="s">
        <v>1351</v>
      </c>
      <c r="E369" t="s">
        <v>1351</v>
      </c>
      <c r="F369" t="s">
        <v>1351</v>
      </c>
      <c r="G369" t="s">
        <v>1351</v>
      </c>
      <c r="H369" t="s">
        <v>1351</v>
      </c>
    </row>
    <row r="370" spans="1:8" x14ac:dyDescent="0.2">
      <c r="A370">
        <v>91711</v>
      </c>
      <c r="B370">
        <v>1.5</v>
      </c>
      <c r="C370" t="s">
        <v>914</v>
      </c>
      <c r="D370" t="s">
        <v>1351</v>
      </c>
      <c r="E370" t="s">
        <v>1351</v>
      </c>
      <c r="F370" t="s">
        <v>1351</v>
      </c>
      <c r="G370" t="s">
        <v>1351</v>
      </c>
      <c r="H370" t="s">
        <v>1351</v>
      </c>
    </row>
    <row r="371" spans="1:8" x14ac:dyDescent="0.2">
      <c r="A371">
        <v>91711</v>
      </c>
      <c r="B371">
        <v>1.5</v>
      </c>
      <c r="C371" t="s">
        <v>914</v>
      </c>
      <c r="D371" t="s">
        <v>1351</v>
      </c>
      <c r="E371" t="s">
        <v>1351</v>
      </c>
      <c r="F371" t="s">
        <v>1351</v>
      </c>
      <c r="G371" t="s">
        <v>1351</v>
      </c>
      <c r="H371" t="s">
        <v>1351</v>
      </c>
    </row>
    <row r="372" spans="1:8" x14ac:dyDescent="0.2">
      <c r="A372">
        <v>91711</v>
      </c>
      <c r="B372">
        <v>1.5</v>
      </c>
      <c r="C372" t="s">
        <v>914</v>
      </c>
      <c r="D372" t="s">
        <v>1351</v>
      </c>
      <c r="E372" t="s">
        <v>1351</v>
      </c>
      <c r="F372" t="s">
        <v>1351</v>
      </c>
      <c r="G372" t="s">
        <v>1351</v>
      </c>
      <c r="H372" t="s">
        <v>1351</v>
      </c>
    </row>
    <row r="373" spans="1:8" x14ac:dyDescent="0.2">
      <c r="A373">
        <v>91711</v>
      </c>
      <c r="B373">
        <v>1.5</v>
      </c>
      <c r="C373" t="s">
        <v>914</v>
      </c>
      <c r="D373" t="s">
        <v>1351</v>
      </c>
      <c r="E373" t="s">
        <v>1351</v>
      </c>
      <c r="F373" t="s">
        <v>1351</v>
      </c>
      <c r="G373" t="s">
        <v>1351</v>
      </c>
      <c r="H373" t="s">
        <v>1351</v>
      </c>
    </row>
    <row r="374" spans="1:8" x14ac:dyDescent="0.2">
      <c r="A374">
        <v>91711</v>
      </c>
      <c r="B374">
        <v>1.5</v>
      </c>
      <c r="C374" t="s">
        <v>914</v>
      </c>
      <c r="D374" t="s">
        <v>1351</v>
      </c>
      <c r="E374" t="s">
        <v>1351</v>
      </c>
      <c r="F374" t="s">
        <v>1351</v>
      </c>
      <c r="G374" t="s">
        <v>1351</v>
      </c>
      <c r="H374" t="s">
        <v>1351</v>
      </c>
    </row>
    <row r="375" spans="1:8" x14ac:dyDescent="0.2">
      <c r="A375">
        <v>91711</v>
      </c>
      <c r="B375">
        <v>1.5</v>
      </c>
      <c r="C375" t="s">
        <v>914</v>
      </c>
      <c r="D375" t="s">
        <v>1351</v>
      </c>
      <c r="E375" t="s">
        <v>1351</v>
      </c>
      <c r="F375" t="s">
        <v>1373</v>
      </c>
      <c r="G375" t="s">
        <v>1351</v>
      </c>
      <c r="H375" t="s">
        <v>1351</v>
      </c>
    </row>
    <row r="376" spans="1:8" x14ac:dyDescent="0.2">
      <c r="A376">
        <v>91711</v>
      </c>
      <c r="B376">
        <v>1.5</v>
      </c>
      <c r="C376" t="s">
        <v>914</v>
      </c>
      <c r="D376" t="s">
        <v>1351</v>
      </c>
      <c r="E376" t="s">
        <v>1351</v>
      </c>
      <c r="F376" t="s">
        <v>1351</v>
      </c>
      <c r="G376" t="s">
        <v>1351</v>
      </c>
      <c r="H376" t="s">
        <v>1351</v>
      </c>
    </row>
    <row r="377" spans="1:8" x14ac:dyDescent="0.2">
      <c r="A377">
        <v>91711</v>
      </c>
      <c r="B377">
        <v>1.5</v>
      </c>
      <c r="C377" t="s">
        <v>914</v>
      </c>
      <c r="D377" t="s">
        <v>1351</v>
      </c>
      <c r="E377" t="s">
        <v>1351</v>
      </c>
      <c r="F377" t="s">
        <v>1351</v>
      </c>
      <c r="G377" t="s">
        <v>1351</v>
      </c>
      <c r="H377" t="s">
        <v>1351</v>
      </c>
    </row>
    <row r="378" spans="1:8" x14ac:dyDescent="0.2">
      <c r="A378">
        <v>91711</v>
      </c>
      <c r="B378">
        <v>1.5</v>
      </c>
      <c r="C378" t="s">
        <v>914</v>
      </c>
      <c r="D378" t="s">
        <v>1353</v>
      </c>
      <c r="E378" t="s">
        <v>1353</v>
      </c>
      <c r="F378" t="s">
        <v>1353</v>
      </c>
      <c r="G378" t="s">
        <v>1353</v>
      </c>
      <c r="H378" t="s">
        <v>1353</v>
      </c>
    </row>
    <row r="379" spans="1:8" x14ac:dyDescent="0.2">
      <c r="A379">
        <v>91711</v>
      </c>
      <c r="B379">
        <v>1.5</v>
      </c>
      <c r="C379" t="s">
        <v>914</v>
      </c>
      <c r="D379" t="s">
        <v>199</v>
      </c>
      <c r="E379" t="s">
        <v>199</v>
      </c>
      <c r="F379" t="s">
        <v>199</v>
      </c>
      <c r="G379" t="s">
        <v>199</v>
      </c>
      <c r="H379" t="s">
        <v>199</v>
      </c>
    </row>
    <row r="380" spans="1:8" x14ac:dyDescent="0.2">
      <c r="A380">
        <v>91786</v>
      </c>
      <c r="B380">
        <v>1.4</v>
      </c>
      <c r="C380" t="s">
        <v>914</v>
      </c>
      <c r="D380" t="s">
        <v>1351</v>
      </c>
      <c r="E380" t="s">
        <v>1351</v>
      </c>
      <c r="F380" t="s">
        <v>1351</v>
      </c>
      <c r="G380" t="s">
        <v>1351</v>
      </c>
      <c r="H380" t="s">
        <v>1351</v>
      </c>
    </row>
    <row r="381" spans="1:8" x14ac:dyDescent="0.2">
      <c r="A381">
        <v>91786</v>
      </c>
      <c r="B381">
        <v>1.2</v>
      </c>
      <c r="C381" t="s">
        <v>914</v>
      </c>
      <c r="D381" t="s">
        <v>1351</v>
      </c>
      <c r="E381" t="s">
        <v>1351</v>
      </c>
      <c r="F381" t="s">
        <v>1351</v>
      </c>
      <c r="G381" t="s">
        <v>1351</v>
      </c>
      <c r="H381" t="s">
        <v>1351</v>
      </c>
    </row>
    <row r="382" spans="1:8" x14ac:dyDescent="0.2">
      <c r="A382">
        <v>91711</v>
      </c>
      <c r="B382">
        <v>1.2</v>
      </c>
      <c r="C382" t="s">
        <v>914</v>
      </c>
      <c r="D382" t="s">
        <v>1351</v>
      </c>
      <c r="E382" t="s">
        <v>1351</v>
      </c>
      <c r="F382" t="s">
        <v>1351</v>
      </c>
      <c r="G382" t="s">
        <v>1351</v>
      </c>
      <c r="H382" t="s">
        <v>1351</v>
      </c>
    </row>
    <row r="383" spans="1:8" x14ac:dyDescent="0.2">
      <c r="A383">
        <v>91711</v>
      </c>
      <c r="B383">
        <v>1</v>
      </c>
      <c r="C383" t="s">
        <v>914</v>
      </c>
      <c r="D383" t="s">
        <v>191</v>
      </c>
      <c r="E383" t="s">
        <v>1351</v>
      </c>
      <c r="F383" t="s">
        <v>1351</v>
      </c>
      <c r="G383" t="s">
        <v>1351</v>
      </c>
      <c r="H383" t="s">
        <v>1351</v>
      </c>
    </row>
    <row r="384" spans="1:8" x14ac:dyDescent="0.2">
      <c r="A384">
        <v>91711</v>
      </c>
      <c r="B384">
        <v>1</v>
      </c>
      <c r="C384" t="s">
        <v>914</v>
      </c>
      <c r="D384" t="s">
        <v>1353</v>
      </c>
      <c r="E384" t="s">
        <v>1353</v>
      </c>
      <c r="F384" t="s">
        <v>1353</v>
      </c>
      <c r="G384" t="s">
        <v>1353</v>
      </c>
      <c r="H384" t="s">
        <v>1353</v>
      </c>
    </row>
    <row r="385" spans="1:8" x14ac:dyDescent="0.2">
      <c r="A385">
        <v>91711</v>
      </c>
      <c r="B385">
        <v>1</v>
      </c>
      <c r="C385" t="s">
        <v>914</v>
      </c>
      <c r="D385" t="s">
        <v>1351</v>
      </c>
      <c r="E385" t="s">
        <v>1351</v>
      </c>
      <c r="F385" t="s">
        <v>1351</v>
      </c>
      <c r="G385" t="s">
        <v>1351</v>
      </c>
      <c r="H385" t="s">
        <v>1351</v>
      </c>
    </row>
    <row r="386" spans="1:8" x14ac:dyDescent="0.2">
      <c r="A386">
        <v>91711</v>
      </c>
      <c r="B386">
        <v>1</v>
      </c>
      <c r="C386" t="s">
        <v>914</v>
      </c>
      <c r="D386" t="s">
        <v>1351</v>
      </c>
      <c r="E386" t="s">
        <v>1351</v>
      </c>
      <c r="F386" t="s">
        <v>1351</v>
      </c>
      <c r="G386" t="s">
        <v>1351</v>
      </c>
      <c r="H386" t="s">
        <v>1351</v>
      </c>
    </row>
    <row r="387" spans="1:8" x14ac:dyDescent="0.2">
      <c r="A387">
        <v>91711</v>
      </c>
      <c r="B387">
        <v>1</v>
      </c>
      <c r="C387" t="s">
        <v>914</v>
      </c>
      <c r="D387" t="s">
        <v>1351</v>
      </c>
      <c r="E387" t="s">
        <v>1351</v>
      </c>
      <c r="F387" t="s">
        <v>1351</v>
      </c>
      <c r="G387" t="s">
        <v>1351</v>
      </c>
      <c r="H387" t="s">
        <v>1351</v>
      </c>
    </row>
    <row r="388" spans="1:8" x14ac:dyDescent="0.2">
      <c r="A388">
        <v>91711</v>
      </c>
      <c r="B388">
        <v>1</v>
      </c>
      <c r="C388" t="s">
        <v>914</v>
      </c>
      <c r="D388" t="s">
        <v>1351</v>
      </c>
      <c r="E388" t="s">
        <v>1372</v>
      </c>
      <c r="F388" t="s">
        <v>1351</v>
      </c>
      <c r="G388" t="s">
        <v>1351</v>
      </c>
      <c r="H388" t="s">
        <v>1372</v>
      </c>
    </row>
    <row r="389" spans="1:8" x14ac:dyDescent="0.2">
      <c r="A389">
        <v>91711</v>
      </c>
      <c r="B389">
        <v>1</v>
      </c>
      <c r="C389" t="s">
        <v>914</v>
      </c>
      <c r="D389" t="s">
        <v>199</v>
      </c>
      <c r="E389" t="s">
        <v>199</v>
      </c>
      <c r="F389" t="s">
        <v>199</v>
      </c>
      <c r="G389" t="s">
        <v>199</v>
      </c>
      <c r="H389" t="s">
        <v>199</v>
      </c>
    </row>
    <row r="390" spans="1:8" x14ac:dyDescent="0.2">
      <c r="A390">
        <v>91711</v>
      </c>
      <c r="B390">
        <v>1</v>
      </c>
      <c r="C390" t="s">
        <v>914</v>
      </c>
      <c r="D390" t="s">
        <v>1351</v>
      </c>
      <c r="E390" t="s">
        <v>1351</v>
      </c>
      <c r="F390" t="s">
        <v>1351</v>
      </c>
      <c r="G390" t="s">
        <v>1351</v>
      </c>
      <c r="H390" t="s">
        <v>1351</v>
      </c>
    </row>
    <row r="391" spans="1:8" x14ac:dyDescent="0.2">
      <c r="A391">
        <v>92553</v>
      </c>
      <c r="B391">
        <v>1</v>
      </c>
      <c r="C391" t="s">
        <v>1390</v>
      </c>
      <c r="D391" t="s">
        <v>1351</v>
      </c>
      <c r="E391" t="s">
        <v>1351</v>
      </c>
      <c r="F391" t="s">
        <v>1351</v>
      </c>
      <c r="G391" t="s">
        <v>1351</v>
      </c>
      <c r="H391" t="s">
        <v>1351</v>
      </c>
    </row>
    <row r="392" spans="1:8" x14ac:dyDescent="0.2">
      <c r="A392">
        <v>91786</v>
      </c>
      <c r="B392">
        <v>1</v>
      </c>
      <c r="C392" t="s">
        <v>914</v>
      </c>
      <c r="D392" t="s">
        <v>1351</v>
      </c>
      <c r="E392" t="s">
        <v>1351</v>
      </c>
      <c r="F392" t="s">
        <v>1373</v>
      </c>
      <c r="G392" t="s">
        <v>1351</v>
      </c>
      <c r="H392" t="s">
        <v>1351</v>
      </c>
    </row>
    <row r="393" spans="1:8" x14ac:dyDescent="0.2">
      <c r="A393">
        <v>91711</v>
      </c>
      <c r="B393">
        <v>1</v>
      </c>
      <c r="C393" t="s">
        <v>1390</v>
      </c>
      <c r="D393" t="s">
        <v>1351</v>
      </c>
      <c r="E393" t="s">
        <v>1351</v>
      </c>
      <c r="F393" t="s">
        <v>1351</v>
      </c>
      <c r="G393" t="s">
        <v>1351</v>
      </c>
      <c r="H393" t="s">
        <v>1351</v>
      </c>
    </row>
    <row r="394" spans="1:8" x14ac:dyDescent="0.2">
      <c r="A394">
        <v>91711</v>
      </c>
      <c r="B394">
        <v>1</v>
      </c>
      <c r="C394" t="s">
        <v>914</v>
      </c>
      <c r="D394" t="s">
        <v>1351</v>
      </c>
      <c r="E394" t="s">
        <v>1351</v>
      </c>
      <c r="F394" t="s">
        <v>1351</v>
      </c>
      <c r="G394" t="s">
        <v>1351</v>
      </c>
      <c r="H394" t="s">
        <v>1351</v>
      </c>
    </row>
    <row r="395" spans="1:8" x14ac:dyDescent="0.2">
      <c r="A395">
        <v>91711</v>
      </c>
      <c r="B395">
        <v>1</v>
      </c>
      <c r="C395" t="s">
        <v>914</v>
      </c>
      <c r="D395" t="s">
        <v>1373</v>
      </c>
      <c r="E395" t="s">
        <v>1373</v>
      </c>
      <c r="F395" t="s">
        <v>1373</v>
      </c>
      <c r="G395" t="s">
        <v>1373</v>
      </c>
      <c r="H395" t="s">
        <v>1373</v>
      </c>
    </row>
    <row r="396" spans="1:8" x14ac:dyDescent="0.2">
      <c r="A396">
        <v>91711</v>
      </c>
      <c r="B396">
        <v>1</v>
      </c>
      <c r="C396" t="s">
        <v>1390</v>
      </c>
      <c r="D396" t="s">
        <v>1372</v>
      </c>
      <c r="E396" t="s">
        <v>1372</v>
      </c>
      <c r="F396" t="s">
        <v>1372</v>
      </c>
      <c r="G396" t="s">
        <v>1372</v>
      </c>
      <c r="H396" t="s">
        <v>1372</v>
      </c>
    </row>
    <row r="397" spans="1:8" x14ac:dyDescent="0.2">
      <c r="A397">
        <v>91711</v>
      </c>
      <c r="B397">
        <v>1</v>
      </c>
      <c r="C397" t="s">
        <v>914</v>
      </c>
      <c r="D397" t="s">
        <v>1351</v>
      </c>
      <c r="E397" t="s">
        <v>1351</v>
      </c>
      <c r="F397" t="s">
        <v>1351</v>
      </c>
      <c r="G397" t="s">
        <v>1351</v>
      </c>
      <c r="H397" t="s">
        <v>1351</v>
      </c>
    </row>
    <row r="398" spans="1:8" x14ac:dyDescent="0.2">
      <c r="A398">
        <v>91711</v>
      </c>
      <c r="B398">
        <v>1</v>
      </c>
      <c r="C398" t="s">
        <v>914</v>
      </c>
      <c r="D398" t="s">
        <v>1372</v>
      </c>
      <c r="E398" t="s">
        <v>1351</v>
      </c>
      <c r="F398" t="s">
        <v>1351</v>
      </c>
      <c r="G398" t="s">
        <v>1351</v>
      </c>
      <c r="H398" t="s">
        <v>1351</v>
      </c>
    </row>
    <row r="399" spans="1:8" x14ac:dyDescent="0.2">
      <c r="A399">
        <v>91767</v>
      </c>
      <c r="B399">
        <v>1</v>
      </c>
      <c r="C399" t="s">
        <v>914</v>
      </c>
      <c r="D399" t="s">
        <v>1351</v>
      </c>
      <c r="E399" t="s">
        <v>1351</v>
      </c>
      <c r="F399" t="s">
        <v>1353</v>
      </c>
      <c r="G399" t="s">
        <v>1351</v>
      </c>
      <c r="H399" t="s">
        <v>1353</v>
      </c>
    </row>
    <row r="400" spans="1:8" x14ac:dyDescent="0.2">
      <c r="A400">
        <v>91711</v>
      </c>
      <c r="B400">
        <v>1</v>
      </c>
      <c r="C400" t="s">
        <v>914</v>
      </c>
      <c r="D400" t="s">
        <v>1351</v>
      </c>
      <c r="E400" t="s">
        <v>1351</v>
      </c>
      <c r="F400" t="s">
        <v>1351</v>
      </c>
      <c r="G400" t="s">
        <v>1351</v>
      </c>
      <c r="H400" t="s">
        <v>191</v>
      </c>
    </row>
    <row r="401" spans="1:8" x14ac:dyDescent="0.2">
      <c r="A401">
        <v>91711</v>
      </c>
      <c r="B401">
        <v>1</v>
      </c>
      <c r="C401" t="s">
        <v>914</v>
      </c>
      <c r="D401" t="s">
        <v>1358</v>
      </c>
      <c r="E401" t="s">
        <v>1358</v>
      </c>
      <c r="F401" t="s">
        <v>199</v>
      </c>
      <c r="G401" t="s">
        <v>199</v>
      </c>
      <c r="H401" t="s">
        <v>199</v>
      </c>
    </row>
    <row r="402" spans="1:8" x14ac:dyDescent="0.2">
      <c r="A402">
        <v>91711</v>
      </c>
      <c r="B402">
        <v>1</v>
      </c>
      <c r="C402" t="s">
        <v>914</v>
      </c>
      <c r="D402" t="s">
        <v>1353</v>
      </c>
      <c r="E402" t="s">
        <v>1353</v>
      </c>
      <c r="F402" t="s">
        <v>1353</v>
      </c>
      <c r="G402" t="s">
        <v>202</v>
      </c>
      <c r="H402" t="s">
        <v>202</v>
      </c>
    </row>
    <row r="403" spans="1:8" x14ac:dyDescent="0.2">
      <c r="A403">
        <v>91711</v>
      </c>
      <c r="B403">
        <v>1</v>
      </c>
      <c r="C403" t="s">
        <v>914</v>
      </c>
      <c r="D403" t="s">
        <v>1351</v>
      </c>
      <c r="E403" t="s">
        <v>1372</v>
      </c>
      <c r="F403" t="s">
        <v>1351</v>
      </c>
      <c r="G403" t="s">
        <v>1351</v>
      </c>
      <c r="H403" t="s">
        <v>1351</v>
      </c>
    </row>
    <row r="404" spans="1:8" x14ac:dyDescent="0.2">
      <c r="A404">
        <v>91711</v>
      </c>
      <c r="B404">
        <v>1</v>
      </c>
      <c r="C404" t="s">
        <v>1390</v>
      </c>
      <c r="D404" t="s">
        <v>1351</v>
      </c>
      <c r="E404" t="s">
        <v>1351</v>
      </c>
      <c r="F404" t="s">
        <v>1351</v>
      </c>
      <c r="G404" t="s">
        <v>1351</v>
      </c>
      <c r="H404" t="s">
        <v>1351</v>
      </c>
    </row>
    <row r="405" spans="1:8" x14ac:dyDescent="0.2">
      <c r="A405">
        <v>91711</v>
      </c>
      <c r="B405">
        <v>1</v>
      </c>
      <c r="C405" t="s">
        <v>914</v>
      </c>
      <c r="D405" t="s">
        <v>1351</v>
      </c>
      <c r="E405" t="s">
        <v>1351</v>
      </c>
      <c r="F405" t="s">
        <v>1351</v>
      </c>
      <c r="G405" t="s">
        <v>1351</v>
      </c>
      <c r="H405" t="s">
        <v>1351</v>
      </c>
    </row>
    <row r="406" spans="1:8" x14ac:dyDescent="0.2">
      <c r="A406">
        <v>91711</v>
      </c>
      <c r="B406">
        <v>1</v>
      </c>
      <c r="C406" t="s">
        <v>1390</v>
      </c>
      <c r="D406" t="s">
        <v>202</v>
      </c>
      <c r="E406" t="s">
        <v>202</v>
      </c>
      <c r="F406" t="s">
        <v>202</v>
      </c>
      <c r="G406" t="s">
        <v>202</v>
      </c>
      <c r="H406" t="s">
        <v>202</v>
      </c>
    </row>
    <row r="407" spans="1:8" x14ac:dyDescent="0.2">
      <c r="A407">
        <v>91711</v>
      </c>
      <c r="B407">
        <v>1</v>
      </c>
      <c r="C407" t="s">
        <v>914</v>
      </c>
      <c r="D407" t="s">
        <v>1351</v>
      </c>
      <c r="E407" t="s">
        <v>1351</v>
      </c>
      <c r="F407" t="s">
        <v>1351</v>
      </c>
      <c r="G407" t="s">
        <v>1351</v>
      </c>
      <c r="H407" t="s">
        <v>1351</v>
      </c>
    </row>
    <row r="408" spans="1:8" x14ac:dyDescent="0.2">
      <c r="A408">
        <v>91711</v>
      </c>
      <c r="B408">
        <v>1</v>
      </c>
      <c r="C408" t="s">
        <v>914</v>
      </c>
      <c r="D408" t="s">
        <v>199</v>
      </c>
      <c r="E408" t="s">
        <v>199</v>
      </c>
      <c r="F408" t="s">
        <v>202</v>
      </c>
      <c r="G408" t="s">
        <v>199</v>
      </c>
      <c r="H408" t="s">
        <v>1351</v>
      </c>
    </row>
    <row r="409" spans="1:8" x14ac:dyDescent="0.2">
      <c r="A409">
        <v>91711</v>
      </c>
      <c r="B409">
        <v>1</v>
      </c>
      <c r="C409" t="s">
        <v>914</v>
      </c>
      <c r="D409" t="s">
        <v>1351</v>
      </c>
      <c r="E409" t="s">
        <v>1351</v>
      </c>
      <c r="F409" t="s">
        <v>1351</v>
      </c>
      <c r="G409" t="s">
        <v>1351</v>
      </c>
      <c r="H409" t="s">
        <v>1351</v>
      </c>
    </row>
    <row r="410" spans="1:8" x14ac:dyDescent="0.2">
      <c r="A410">
        <v>91711</v>
      </c>
      <c r="B410">
        <v>1</v>
      </c>
      <c r="C410" t="s">
        <v>914</v>
      </c>
      <c r="D410" t="s">
        <v>1351</v>
      </c>
      <c r="E410" t="s">
        <v>1351</v>
      </c>
      <c r="F410" t="s">
        <v>1351</v>
      </c>
      <c r="G410" t="s">
        <v>1351</v>
      </c>
      <c r="H410" t="s">
        <v>1351</v>
      </c>
    </row>
    <row r="411" spans="1:8" x14ac:dyDescent="0.2">
      <c r="A411">
        <v>91711</v>
      </c>
      <c r="B411">
        <v>1</v>
      </c>
      <c r="C411" t="s">
        <v>914</v>
      </c>
      <c r="D411" t="s">
        <v>1351</v>
      </c>
      <c r="E411" t="s">
        <v>1351</v>
      </c>
      <c r="F411" t="s">
        <v>1351</v>
      </c>
      <c r="G411" t="s">
        <v>1351</v>
      </c>
      <c r="H411" t="s">
        <v>1351</v>
      </c>
    </row>
    <row r="412" spans="1:8" x14ac:dyDescent="0.2">
      <c r="A412">
        <v>91711</v>
      </c>
      <c r="B412">
        <v>1</v>
      </c>
      <c r="C412" t="s">
        <v>914</v>
      </c>
      <c r="D412" t="s">
        <v>1351</v>
      </c>
      <c r="E412" t="s">
        <v>1351</v>
      </c>
      <c r="F412" t="s">
        <v>1351</v>
      </c>
      <c r="G412" t="s">
        <v>1351</v>
      </c>
      <c r="H412" t="s">
        <v>1351</v>
      </c>
    </row>
    <row r="413" spans="1:8" x14ac:dyDescent="0.2">
      <c r="A413">
        <v>91711</v>
      </c>
      <c r="B413">
        <v>1</v>
      </c>
      <c r="C413" t="s">
        <v>914</v>
      </c>
      <c r="D413" t="s">
        <v>1351</v>
      </c>
      <c r="E413" t="s">
        <v>1351</v>
      </c>
      <c r="F413" t="s">
        <v>1351</v>
      </c>
      <c r="G413" t="s">
        <v>1351</v>
      </c>
      <c r="H413" t="s">
        <v>1351</v>
      </c>
    </row>
    <row r="414" spans="1:8" x14ac:dyDescent="0.2">
      <c r="A414">
        <v>91711</v>
      </c>
      <c r="B414">
        <v>1</v>
      </c>
      <c r="C414" t="s">
        <v>914</v>
      </c>
      <c r="D414" t="s">
        <v>1351</v>
      </c>
      <c r="E414" t="s">
        <v>1351</v>
      </c>
      <c r="F414" t="s">
        <v>1351</v>
      </c>
      <c r="G414" t="s">
        <v>1351</v>
      </c>
      <c r="H414" t="s">
        <v>1351</v>
      </c>
    </row>
    <row r="415" spans="1:8" x14ac:dyDescent="0.2">
      <c r="A415">
        <v>91711</v>
      </c>
      <c r="B415">
        <v>1</v>
      </c>
      <c r="C415" t="s">
        <v>914</v>
      </c>
      <c r="D415" t="s">
        <v>1351</v>
      </c>
      <c r="E415" t="s">
        <v>1351</v>
      </c>
      <c r="F415" t="s">
        <v>1351</v>
      </c>
      <c r="G415" t="s">
        <v>1351</v>
      </c>
      <c r="H415" t="s">
        <v>1351</v>
      </c>
    </row>
    <row r="416" spans="1:8" x14ac:dyDescent="0.2">
      <c r="A416">
        <v>91711</v>
      </c>
      <c r="B416">
        <v>1</v>
      </c>
      <c r="C416" t="s">
        <v>914</v>
      </c>
      <c r="D416" t="s">
        <v>1351</v>
      </c>
      <c r="E416" t="s">
        <v>1351</v>
      </c>
      <c r="F416" t="s">
        <v>1351</v>
      </c>
      <c r="G416" t="s">
        <v>1351</v>
      </c>
      <c r="H416" t="s">
        <v>1351</v>
      </c>
    </row>
    <row r="417" spans="1:8" x14ac:dyDescent="0.2">
      <c r="A417">
        <v>91711</v>
      </c>
      <c r="B417">
        <v>1</v>
      </c>
      <c r="C417" t="s">
        <v>914</v>
      </c>
      <c r="D417" t="s">
        <v>1351</v>
      </c>
      <c r="E417" t="s">
        <v>1351</v>
      </c>
      <c r="F417" t="s">
        <v>1351</v>
      </c>
      <c r="G417" t="s">
        <v>1351</v>
      </c>
      <c r="H417" t="s">
        <v>1351</v>
      </c>
    </row>
    <row r="418" spans="1:8" x14ac:dyDescent="0.2">
      <c r="A418">
        <v>91711</v>
      </c>
      <c r="B418">
        <v>1</v>
      </c>
      <c r="C418" t="s">
        <v>914</v>
      </c>
      <c r="D418" t="s">
        <v>1351</v>
      </c>
      <c r="E418" t="s">
        <v>1351</v>
      </c>
      <c r="F418" t="s">
        <v>1351</v>
      </c>
      <c r="G418" t="s">
        <v>1351</v>
      </c>
      <c r="H418" t="s">
        <v>1351</v>
      </c>
    </row>
    <row r="419" spans="1:8" x14ac:dyDescent="0.2">
      <c r="A419">
        <v>91711</v>
      </c>
      <c r="B419">
        <v>0.8</v>
      </c>
      <c r="C419" t="s">
        <v>914</v>
      </c>
      <c r="D419" t="s">
        <v>1351</v>
      </c>
      <c r="E419" t="s">
        <v>1351</v>
      </c>
      <c r="F419" t="s">
        <v>1358</v>
      </c>
      <c r="G419" t="s">
        <v>1358</v>
      </c>
      <c r="H419" t="s">
        <v>1351</v>
      </c>
    </row>
    <row r="420" spans="1:8" x14ac:dyDescent="0.2">
      <c r="A420">
        <v>91711</v>
      </c>
      <c r="B420">
        <v>0.7</v>
      </c>
      <c r="C420" t="s">
        <v>914</v>
      </c>
      <c r="D420" t="s">
        <v>1351</v>
      </c>
      <c r="E420" t="s">
        <v>1351</v>
      </c>
      <c r="F420" t="s">
        <v>1351</v>
      </c>
      <c r="G420" t="s">
        <v>1351</v>
      </c>
      <c r="H420" t="s">
        <v>191</v>
      </c>
    </row>
    <row r="421" spans="1:8" x14ac:dyDescent="0.2">
      <c r="A421">
        <v>91711</v>
      </c>
      <c r="B421">
        <v>0.5</v>
      </c>
      <c r="C421" t="s">
        <v>914</v>
      </c>
      <c r="D421" t="s">
        <v>191</v>
      </c>
      <c r="E421" t="s">
        <v>1351</v>
      </c>
      <c r="F421" t="s">
        <v>1351</v>
      </c>
      <c r="G421" t="s">
        <v>1351</v>
      </c>
      <c r="H421" t="s">
        <v>1351</v>
      </c>
    </row>
    <row r="422" spans="1:8" x14ac:dyDescent="0.2">
      <c r="A422">
        <v>91711</v>
      </c>
      <c r="B422">
        <v>0.5</v>
      </c>
      <c r="C422" t="s">
        <v>1390</v>
      </c>
      <c r="D422" t="s">
        <v>1351</v>
      </c>
      <c r="E422" t="s">
        <v>1351</v>
      </c>
      <c r="F422" t="s">
        <v>1351</v>
      </c>
      <c r="G422" t="s">
        <v>1351</v>
      </c>
      <c r="H422" t="s">
        <v>1351</v>
      </c>
    </row>
    <row r="423" spans="1:8" x14ac:dyDescent="0.2">
      <c r="A423">
        <v>91711</v>
      </c>
      <c r="B423">
        <v>0.5</v>
      </c>
      <c r="C423" t="s">
        <v>914</v>
      </c>
      <c r="D423" t="s">
        <v>1351</v>
      </c>
      <c r="E423" t="s">
        <v>1351</v>
      </c>
      <c r="F423" t="s">
        <v>1351</v>
      </c>
      <c r="G423" t="s">
        <v>1351</v>
      </c>
      <c r="H423" t="s">
        <v>1351</v>
      </c>
    </row>
    <row r="424" spans="1:8" x14ac:dyDescent="0.2">
      <c r="A424">
        <v>91711</v>
      </c>
      <c r="B424">
        <v>0.5</v>
      </c>
      <c r="C424" t="s">
        <v>914</v>
      </c>
      <c r="D424" t="s">
        <v>1351</v>
      </c>
      <c r="E424" t="s">
        <v>1351</v>
      </c>
      <c r="F424" t="s">
        <v>1351</v>
      </c>
      <c r="G424" t="s">
        <v>1372</v>
      </c>
      <c r="H424" t="s">
        <v>1351</v>
      </c>
    </row>
    <row r="425" spans="1:8" x14ac:dyDescent="0.2">
      <c r="A425">
        <v>91711</v>
      </c>
      <c r="B425">
        <v>0.5</v>
      </c>
      <c r="C425" t="s">
        <v>914</v>
      </c>
      <c r="D425" t="s">
        <v>1351</v>
      </c>
      <c r="E425" t="s">
        <v>1372</v>
      </c>
      <c r="F425" t="s">
        <v>1351</v>
      </c>
      <c r="G425" t="s">
        <v>1351</v>
      </c>
      <c r="H425" t="s">
        <v>1372</v>
      </c>
    </row>
    <row r="426" spans="1:8" x14ac:dyDescent="0.2">
      <c r="A426">
        <v>91711</v>
      </c>
      <c r="B426">
        <v>0.5</v>
      </c>
      <c r="C426" t="s">
        <v>1390</v>
      </c>
      <c r="D426" t="s">
        <v>1351</v>
      </c>
      <c r="E426" t="s">
        <v>1351</v>
      </c>
      <c r="F426" t="s">
        <v>1351</v>
      </c>
      <c r="G426" t="s">
        <v>1351</v>
      </c>
      <c r="H426" t="s">
        <v>1351</v>
      </c>
    </row>
    <row r="427" spans="1:8" x14ac:dyDescent="0.2">
      <c r="A427">
        <v>91711</v>
      </c>
      <c r="B427">
        <v>0.5</v>
      </c>
      <c r="C427" t="s">
        <v>914</v>
      </c>
      <c r="D427" t="s">
        <v>1372</v>
      </c>
      <c r="E427" t="s">
        <v>1351</v>
      </c>
      <c r="F427" t="s">
        <v>1351</v>
      </c>
      <c r="G427" t="s">
        <v>1351</v>
      </c>
      <c r="H427" t="s">
        <v>1351</v>
      </c>
    </row>
    <row r="428" spans="1:8" x14ac:dyDescent="0.2">
      <c r="A428">
        <v>91711</v>
      </c>
      <c r="B428">
        <v>0.5</v>
      </c>
      <c r="C428" t="s">
        <v>914</v>
      </c>
      <c r="D428" t="s">
        <v>1351</v>
      </c>
      <c r="E428" t="s">
        <v>1351</v>
      </c>
      <c r="F428" t="s">
        <v>1351</v>
      </c>
      <c r="G428" t="s">
        <v>1351</v>
      </c>
      <c r="H428" t="s">
        <v>1351</v>
      </c>
    </row>
    <row r="429" spans="1:8" x14ac:dyDescent="0.2">
      <c r="A429">
        <v>91711</v>
      </c>
      <c r="B429">
        <v>0.5</v>
      </c>
      <c r="C429" t="s">
        <v>914</v>
      </c>
      <c r="D429" t="s">
        <v>1351</v>
      </c>
      <c r="E429" t="s">
        <v>1351</v>
      </c>
      <c r="F429" t="s">
        <v>1351</v>
      </c>
      <c r="G429" t="s">
        <v>1351</v>
      </c>
      <c r="H429" t="s">
        <v>1351</v>
      </c>
    </row>
    <row r="430" spans="1:8" x14ac:dyDescent="0.2">
      <c r="A430">
        <v>91711</v>
      </c>
      <c r="B430">
        <v>0.5</v>
      </c>
      <c r="C430" t="s">
        <v>914</v>
      </c>
      <c r="D430" t="s">
        <v>1372</v>
      </c>
      <c r="E430" t="s">
        <v>195</v>
      </c>
      <c r="F430" t="s">
        <v>195</v>
      </c>
      <c r="G430" t="s">
        <v>1372</v>
      </c>
      <c r="H430" t="s">
        <v>1372</v>
      </c>
    </row>
    <row r="431" spans="1:8" x14ac:dyDescent="0.2">
      <c r="A431">
        <v>91711</v>
      </c>
      <c r="B431">
        <v>0.5</v>
      </c>
      <c r="C431" t="s">
        <v>914</v>
      </c>
      <c r="D431" t="s">
        <v>1351</v>
      </c>
      <c r="E431" t="s">
        <v>1351</v>
      </c>
      <c r="F431" t="s">
        <v>1351</v>
      </c>
      <c r="G431" t="s">
        <v>1351</v>
      </c>
      <c r="H431" t="s">
        <v>1351</v>
      </c>
    </row>
    <row r="432" spans="1:8" x14ac:dyDescent="0.2">
      <c r="A432">
        <v>91711</v>
      </c>
      <c r="B432">
        <v>0.5</v>
      </c>
      <c r="C432" t="s">
        <v>914</v>
      </c>
      <c r="D432" t="s">
        <v>1351</v>
      </c>
      <c r="E432" t="s">
        <v>1351</v>
      </c>
      <c r="F432" t="s">
        <v>1351</v>
      </c>
      <c r="G432" t="s">
        <v>1351</v>
      </c>
      <c r="H432" t="s">
        <v>1351</v>
      </c>
    </row>
    <row r="433" spans="1:8" x14ac:dyDescent="0.2">
      <c r="A433">
        <v>91711</v>
      </c>
      <c r="B433">
        <v>0.3</v>
      </c>
      <c r="C433" t="s">
        <v>914</v>
      </c>
      <c r="D433" t="s">
        <v>1351</v>
      </c>
      <c r="E433" t="s">
        <v>1351</v>
      </c>
      <c r="F433" t="s">
        <v>1351</v>
      </c>
      <c r="G433" t="s">
        <v>1351</v>
      </c>
      <c r="H433" t="s">
        <v>1351</v>
      </c>
    </row>
    <row r="434" spans="1:8" x14ac:dyDescent="0.2">
      <c r="A434">
        <v>91711</v>
      </c>
      <c r="B434">
        <v>0.2</v>
      </c>
      <c r="C434" t="s">
        <v>914</v>
      </c>
      <c r="D434" t="s">
        <v>1351</v>
      </c>
      <c r="E434" t="s">
        <v>1351</v>
      </c>
      <c r="F434" t="s">
        <v>1372</v>
      </c>
      <c r="G434" t="s">
        <v>1372</v>
      </c>
      <c r="H434" t="s">
        <v>1372</v>
      </c>
    </row>
    <row r="435" spans="1:8" x14ac:dyDescent="0.2">
      <c r="A435">
        <v>91711</v>
      </c>
      <c r="B435">
        <v>0.2</v>
      </c>
      <c r="C435" t="s">
        <v>914</v>
      </c>
      <c r="D435" t="s">
        <v>1351</v>
      </c>
      <c r="E435" t="s">
        <v>1351</v>
      </c>
      <c r="F435" t="s">
        <v>1351</v>
      </c>
      <c r="G435" t="s">
        <v>1351</v>
      </c>
      <c r="H435" t="s">
        <v>1351</v>
      </c>
    </row>
    <row r="436" spans="1:8" x14ac:dyDescent="0.2">
      <c r="A436">
        <v>91711</v>
      </c>
      <c r="B436">
        <v>0.1</v>
      </c>
      <c r="C436" t="s">
        <v>914</v>
      </c>
      <c r="D436" t="s">
        <v>1351</v>
      </c>
      <c r="E436" t="s">
        <v>1351</v>
      </c>
      <c r="F436" t="s">
        <v>1351</v>
      </c>
      <c r="G436" t="s">
        <v>1351</v>
      </c>
      <c r="H436" t="s">
        <v>1351</v>
      </c>
    </row>
    <row r="437" spans="1:8" x14ac:dyDescent="0.2">
      <c r="A437">
        <v>91786</v>
      </c>
      <c r="B437">
        <v>0</v>
      </c>
      <c r="C437" t="s">
        <v>914</v>
      </c>
      <c r="D437" t="s">
        <v>1351</v>
      </c>
      <c r="E437" t="s">
        <v>1351</v>
      </c>
      <c r="F437" t="s">
        <v>1351</v>
      </c>
      <c r="G437" t="s">
        <v>1351</v>
      </c>
      <c r="H437" t="s">
        <v>1351</v>
      </c>
    </row>
    <row r="438" spans="1:8" x14ac:dyDescent="0.2">
      <c r="A438" t="s">
        <v>1410</v>
      </c>
      <c r="B438">
        <v>0</v>
      </c>
      <c r="C438" t="s">
        <v>914</v>
      </c>
      <c r="D438" t="s">
        <v>1351</v>
      </c>
      <c r="E438" t="s">
        <v>1351</v>
      </c>
      <c r="F438" t="s">
        <v>1351</v>
      </c>
      <c r="G438" t="s">
        <v>1351</v>
      </c>
      <c r="H438" t="s">
        <v>1351</v>
      </c>
    </row>
    <row r="439" spans="1:8" x14ac:dyDescent="0.2">
      <c r="A439">
        <v>91767</v>
      </c>
      <c r="B439">
        <v>0</v>
      </c>
      <c r="C439" t="s">
        <v>914</v>
      </c>
      <c r="D439" t="s">
        <v>1351</v>
      </c>
      <c r="E439" t="s">
        <v>1351</v>
      </c>
      <c r="F439" t="s">
        <v>1351</v>
      </c>
      <c r="G439" t="s">
        <v>1351</v>
      </c>
      <c r="H439" t="s">
        <v>1351</v>
      </c>
    </row>
    <row r="440" spans="1:8" x14ac:dyDescent="0.2">
      <c r="A440">
        <v>91711</v>
      </c>
      <c r="B440">
        <v>0</v>
      </c>
      <c r="C440" t="s">
        <v>914</v>
      </c>
      <c r="D440" t="s">
        <v>1351</v>
      </c>
      <c r="E440" t="s">
        <v>1351</v>
      </c>
      <c r="F440" t="s">
        <v>1351</v>
      </c>
      <c r="G440" t="s">
        <v>1351</v>
      </c>
      <c r="H440" t="s">
        <v>1351</v>
      </c>
    </row>
    <row r="441" spans="1:8" x14ac:dyDescent="0.2">
      <c r="A441">
        <v>92562</v>
      </c>
      <c r="B441">
        <v>0</v>
      </c>
      <c r="C441" t="s">
        <v>914</v>
      </c>
      <c r="D441" t="s">
        <v>1351</v>
      </c>
      <c r="E441" t="s">
        <v>1351</v>
      </c>
      <c r="F441" t="s">
        <v>1351</v>
      </c>
      <c r="G441" t="s">
        <v>1351</v>
      </c>
      <c r="H441" t="s">
        <v>1351</v>
      </c>
    </row>
    <row r="442" spans="1:8" x14ac:dyDescent="0.2">
      <c r="A442">
        <v>91711</v>
      </c>
      <c r="B442">
        <v>0</v>
      </c>
      <c r="C442" t="s">
        <v>1390</v>
      </c>
      <c r="D442" t="s">
        <v>1351</v>
      </c>
      <c r="E442" t="s">
        <v>1351</v>
      </c>
      <c r="F442" t="s">
        <v>1351</v>
      </c>
      <c r="G442" t="s">
        <v>1351</v>
      </c>
      <c r="H442" t="s">
        <v>1351</v>
      </c>
    </row>
    <row r="443" spans="1:8" x14ac:dyDescent="0.2">
      <c r="A443" t="s">
        <v>1411</v>
      </c>
      <c r="B443">
        <v>0</v>
      </c>
      <c r="C443" t="s">
        <v>914</v>
      </c>
      <c r="D443" t="s">
        <v>1351</v>
      </c>
      <c r="E443" t="s">
        <v>1351</v>
      </c>
      <c r="F443" t="s">
        <v>1351</v>
      </c>
      <c r="G443" t="s">
        <v>1351</v>
      </c>
      <c r="H443" t="s">
        <v>1351</v>
      </c>
    </row>
    <row r="444" spans="1:8" x14ac:dyDescent="0.2">
      <c r="A444">
        <v>91762</v>
      </c>
      <c r="B444">
        <v>0</v>
      </c>
      <c r="C444" t="s">
        <v>914</v>
      </c>
      <c r="D444" t="s">
        <v>1351</v>
      </c>
      <c r="E444" t="s">
        <v>1351</v>
      </c>
      <c r="F444" t="s">
        <v>1351</v>
      </c>
      <c r="G444" t="s">
        <v>1351</v>
      </c>
      <c r="H444" t="s">
        <v>1351</v>
      </c>
    </row>
    <row r="445" spans="1:8" x14ac:dyDescent="0.2">
      <c r="A445">
        <v>91761</v>
      </c>
      <c r="B445">
        <v>0</v>
      </c>
      <c r="C445" t="s">
        <v>914</v>
      </c>
      <c r="D445" t="s">
        <v>1351</v>
      </c>
      <c r="E445" t="s">
        <v>1351</v>
      </c>
      <c r="F445" t="s">
        <v>1351</v>
      </c>
      <c r="G445" t="s">
        <v>1351</v>
      </c>
      <c r="H445" t="s">
        <v>1351</v>
      </c>
    </row>
    <row r="446" spans="1:8" x14ac:dyDescent="0.2">
      <c r="A446">
        <v>91786</v>
      </c>
      <c r="B446">
        <v>0</v>
      </c>
      <c r="C446" t="s">
        <v>914</v>
      </c>
      <c r="D446" t="s">
        <v>1351</v>
      </c>
      <c r="E446" t="s">
        <v>1351</v>
      </c>
      <c r="F446" t="s">
        <v>1351</v>
      </c>
      <c r="G446" t="s">
        <v>1351</v>
      </c>
      <c r="H446" t="s">
        <v>1351</v>
      </c>
    </row>
    <row r="447" spans="1:8" x14ac:dyDescent="0.2">
      <c r="A447" t="s">
        <v>1412</v>
      </c>
      <c r="B447">
        <v>0</v>
      </c>
      <c r="C447" t="s">
        <v>914</v>
      </c>
      <c r="D447" t="s">
        <v>1351</v>
      </c>
      <c r="E447" t="s">
        <v>1351</v>
      </c>
      <c r="F447" t="s">
        <v>1351</v>
      </c>
      <c r="G447" t="s">
        <v>1351</v>
      </c>
      <c r="H447" t="s">
        <v>1351</v>
      </c>
    </row>
    <row r="448" spans="1:8" x14ac:dyDescent="0.2">
      <c r="A448">
        <v>90016</v>
      </c>
      <c r="B448">
        <v>0</v>
      </c>
      <c r="C448" t="s">
        <v>914</v>
      </c>
      <c r="D448" t="s">
        <v>1351</v>
      </c>
      <c r="E448" t="s">
        <v>1351</v>
      </c>
      <c r="F448" t="s">
        <v>1351</v>
      </c>
      <c r="G448" t="s">
        <v>1351</v>
      </c>
      <c r="H448" t="s">
        <v>1351</v>
      </c>
    </row>
    <row r="449" spans="1:8" x14ac:dyDescent="0.2">
      <c r="A449">
        <v>91739</v>
      </c>
      <c r="B449">
        <v>0</v>
      </c>
      <c r="C449" t="s">
        <v>914</v>
      </c>
      <c r="D449" t="s">
        <v>1351</v>
      </c>
      <c r="E449" t="s">
        <v>1351</v>
      </c>
      <c r="F449" t="s">
        <v>1351</v>
      </c>
      <c r="G449" t="s">
        <v>1351</v>
      </c>
      <c r="H449" t="s">
        <v>1351</v>
      </c>
    </row>
    <row r="450" spans="1:8" x14ac:dyDescent="0.2">
      <c r="A450">
        <v>92585</v>
      </c>
      <c r="B450">
        <v>0</v>
      </c>
      <c r="C450" t="s">
        <v>914</v>
      </c>
      <c r="D450" t="s">
        <v>1351</v>
      </c>
      <c r="E450" t="s">
        <v>1351</v>
      </c>
      <c r="F450" t="s">
        <v>1351</v>
      </c>
      <c r="G450" t="s">
        <v>1351</v>
      </c>
      <c r="H450" t="s">
        <v>1351</v>
      </c>
    </row>
    <row r="451" spans="1:8" x14ac:dyDescent="0.2">
      <c r="A451">
        <v>91001</v>
      </c>
      <c r="B451">
        <v>0</v>
      </c>
      <c r="C451" t="s">
        <v>914</v>
      </c>
      <c r="D451" t="s">
        <v>1353</v>
      </c>
      <c r="E451" t="s">
        <v>1353</v>
      </c>
      <c r="F451" t="s">
        <v>1353</v>
      </c>
      <c r="G451" t="s">
        <v>1353</v>
      </c>
      <c r="H451" t="s">
        <v>1353</v>
      </c>
    </row>
  </sheetData>
  <mergeCells count="12">
    <mergeCell ref="J1:T1"/>
    <mergeCell ref="J8:U8"/>
    <mergeCell ref="L12:N12"/>
    <mergeCell ref="L13:M13"/>
    <mergeCell ref="L14:M14"/>
    <mergeCell ref="L20:M20"/>
    <mergeCell ref="L21:M21"/>
    <mergeCell ref="L15:M15"/>
    <mergeCell ref="L16:M16"/>
    <mergeCell ref="L17:M17"/>
    <mergeCell ref="L18:M18"/>
    <mergeCell ref="L19:M19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72C7-6AF1-4A52-AA61-FB09C869A6D2}">
  <dimension ref="A1:D1"/>
  <sheetViews>
    <sheetView workbookViewId="0"/>
  </sheetViews>
  <sheetFormatPr baseColWidth="10" defaultColWidth="8.83203125" defaultRowHeight="15" x14ac:dyDescent="0.2"/>
  <sheetData>
    <row r="1" spans="1:4" x14ac:dyDescent="0.2">
      <c r="A1" s="28" t="s">
        <v>1413</v>
      </c>
      <c r="B1" s="28"/>
      <c r="C1" s="28"/>
      <c r="D1" s="2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2491-C6E5-4AAB-8484-E59DB8973F57}">
  <dimension ref="A1:U514"/>
  <sheetViews>
    <sheetView workbookViewId="0">
      <selection activeCell="K2" sqref="K2:S3"/>
    </sheetView>
  </sheetViews>
  <sheetFormatPr baseColWidth="10" defaultColWidth="8.83203125" defaultRowHeight="15" x14ac:dyDescent="0.2"/>
  <cols>
    <col min="1" max="1" width="11.5" bestFit="1" customWidth="1"/>
    <col min="2" max="2" width="23.1640625" customWidth="1"/>
    <col min="3" max="3" width="35.5" bestFit="1" customWidth="1"/>
    <col min="4" max="8" width="34.6640625" bestFit="1" customWidth="1"/>
    <col min="10" max="10" width="32.83203125" customWidth="1"/>
    <col min="11" max="11" width="14.6640625" customWidth="1"/>
    <col min="12" max="12" width="9.1640625" bestFit="1" customWidth="1"/>
    <col min="13" max="13" width="12.6640625" customWidth="1"/>
    <col min="14" max="14" width="16.33203125" customWidth="1"/>
    <col min="15" max="15" width="17.33203125" customWidth="1"/>
    <col min="16" max="16" width="13.6640625" customWidth="1"/>
    <col min="17" max="17" width="13.83203125" customWidth="1"/>
    <col min="18" max="18" width="18.5" customWidth="1"/>
    <col min="19" max="19" width="15" customWidth="1"/>
    <col min="20" max="20" width="9.1640625" bestFit="1" customWidth="1"/>
    <col min="21" max="21" width="17.1640625" customWidth="1"/>
  </cols>
  <sheetData>
    <row r="1" spans="1:21" x14ac:dyDescent="0.2">
      <c r="A1" s="8" t="s">
        <v>2</v>
      </c>
      <c r="B1" s="8" t="s">
        <v>3</v>
      </c>
      <c r="C1" s="8" t="s">
        <v>1414</v>
      </c>
      <c r="D1" s="8" t="s">
        <v>6</v>
      </c>
      <c r="E1" s="8" t="s">
        <v>7</v>
      </c>
      <c r="F1" s="8" t="s">
        <v>8</v>
      </c>
      <c r="G1" s="8" t="s">
        <v>9</v>
      </c>
      <c r="H1" s="44" t="s">
        <v>10</v>
      </c>
      <c r="J1" s="79" t="s">
        <v>11</v>
      </c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1" x14ac:dyDescent="0.2">
      <c r="A2">
        <v>92262</v>
      </c>
      <c r="B2">
        <v>80</v>
      </c>
      <c r="C2" t="s">
        <v>914</v>
      </c>
      <c r="D2" t="s">
        <v>1353</v>
      </c>
      <c r="E2" t="s">
        <v>1353</v>
      </c>
      <c r="F2" t="s">
        <v>1353</v>
      </c>
      <c r="G2" t="s">
        <v>1353</v>
      </c>
      <c r="H2" t="s">
        <v>1353</v>
      </c>
      <c r="J2" s="18"/>
      <c r="K2" s="18" t="s">
        <v>17</v>
      </c>
      <c r="L2" s="18" t="s">
        <v>18</v>
      </c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19" t="s">
        <v>25</v>
      </c>
      <c r="T2" s="20" t="s">
        <v>26</v>
      </c>
    </row>
    <row r="3" spans="1:21" x14ac:dyDescent="0.2">
      <c r="A3">
        <v>92301</v>
      </c>
      <c r="B3">
        <v>60</v>
      </c>
      <c r="C3" t="s">
        <v>914</v>
      </c>
      <c r="D3" t="s">
        <v>1353</v>
      </c>
      <c r="E3" t="s">
        <v>1353</v>
      </c>
      <c r="F3" t="s">
        <v>1353</v>
      </c>
      <c r="G3" t="s">
        <v>1353</v>
      </c>
      <c r="H3" t="s">
        <v>1353</v>
      </c>
      <c r="J3" s="10" t="s">
        <v>32</v>
      </c>
      <c r="K3" s="24" cm="1">
        <f t="array" ref="K3">SUM(COUNTIF(D:H,{"A.*","B.*"}))/T10</f>
        <v>0.75557461406518012</v>
      </c>
      <c r="L3" s="21">
        <f>COUNTIF(D:H,"T.*")/T10</f>
        <v>2.7015437392795882E-2</v>
      </c>
      <c r="M3" s="21" cm="1">
        <f t="array" ref="M3">SUM(COUNTIF(D:H,{"C.*","D.*","E.*","F.*","G.*","H.*","I.*","J.*","K.*","L.*","M.*","N.*","O.*","P.*"})/T10)</f>
        <v>0.11149228130360204</v>
      </c>
      <c r="N3" s="21">
        <f>COUNTIF(D:H,"R.*")/T10</f>
        <v>2.6157804459691254E-2</v>
      </c>
      <c r="O3" s="21">
        <f>COUNTIF(D:H,"U.*")/T10</f>
        <v>1.3722126929674099E-2</v>
      </c>
      <c r="P3" s="21">
        <v>0</v>
      </c>
      <c r="Q3" s="21">
        <f>COUNTIF(D:H,"Q.*")/T10</f>
        <v>9.0051457975986286E-3</v>
      </c>
      <c r="R3" s="21">
        <f>COUNTIF(D:H,"V.*")/T10</f>
        <v>3.0017152658662091E-3</v>
      </c>
      <c r="S3" s="21">
        <f>COUNTIF(D:H,"S.*")/T10</f>
        <v>5.4030874785591765E-2</v>
      </c>
      <c r="T3" s="21">
        <f>SUM(K3:S3)</f>
        <v>1</v>
      </c>
    </row>
    <row r="4" spans="1:21" ht="16" x14ac:dyDescent="0.2">
      <c r="A4">
        <v>92562</v>
      </c>
      <c r="B4">
        <v>59</v>
      </c>
      <c r="C4" t="s">
        <v>914</v>
      </c>
      <c r="D4" t="s">
        <v>195</v>
      </c>
      <c r="E4" t="s">
        <v>195</v>
      </c>
      <c r="F4" t="s">
        <v>195</v>
      </c>
      <c r="G4" t="s">
        <v>1353</v>
      </c>
      <c r="H4" t="s">
        <v>1351</v>
      </c>
      <c r="J4" s="29" t="s">
        <v>38</v>
      </c>
      <c r="K4" s="30" cm="1">
        <f t="array" ref="K4">SUM(_xlfn.BYCOL(D:H,_xlfn.LAMBDA(_xlpm.col,SUMIF(_xlpm.col,"A.*",B:B)+SUMIF(_xlpm.col,"B.*",B:B))))/K10</f>
        <v>14.271708286038592</v>
      </c>
      <c r="L4" s="31" cm="1">
        <f t="array" ref="L4">SUM(_xlfn.BYCOL(D:H,_xlfn.LAMBDA(_xlpm.col,SUMIF(_xlpm.col,"T.*",B:B))))/L10</f>
        <v>3.1598412698412699</v>
      </c>
      <c r="M4" s="32" cm="1">
        <f t="array" ref="M4">SUM(_xlfn.BYCOL($D:$H,_xlfn.LAMBDA(_xlpm.col,SUMIF(_xlpm.col,"C.*",B:B)+SUMIF(_xlpm.col,"D.*",B:B)+SUMIF(_xlpm.col,"E.*",B:B)+SUMIF(_xlpm.col,"F.*",B:B)+SUMIF(_xlpm.col,"G.*",B:B)+SUMIF(_xlpm.col,"H.*",B:B)+SUMIF(_xlpm.col,"I.*",B:B)+SUMIF(_xlpm.col,"J.*",B:B)+SUMIF(_xlpm.col,"K.*",B:B)+SUMIF(_xlpm.col,"L.*",B:B)+SUMIF(_xlpm.col,"M.*",B:B)+SUMIF(_xlpm.col,"N.*",B:B)+SUMIF(_xlpm.col,"O.*",B:B)+SUMIF(_xlpm.col,"P.*",B:B))))/M10</f>
        <v>13.715384615384615</v>
      </c>
      <c r="N4" s="32" cm="1">
        <f t="array" ref="N4">SUM(_xlfn.BYCOL(D:H,_xlfn.LAMBDA(_xlpm.col,SUMIF(_xlpm.col,"R.*",B:B))))/N10</f>
        <v>24.754098360655739</v>
      </c>
      <c r="O4" s="32" cm="1">
        <f t="array" ref="O4">SUM(_xlfn.BYCOL(D:H,_xlfn.LAMBDA(_xlpm.col,SUMIF(_xlpm.col,"U.*",B:B))))/O10</f>
        <v>8.09375</v>
      </c>
      <c r="P4" s="32"/>
      <c r="Q4" s="32" cm="1">
        <f t="array" ref="Q4">SUM(_xlfn.BYCOL(D:H,_xlfn.LAMBDA(_xlpm.col,SUMIF(_xlpm.col,"Q.*",B:B))))/Q10</f>
        <v>17.38095238095238</v>
      </c>
      <c r="R4" s="32"/>
      <c r="S4" s="32" cm="1">
        <f t="array" ref="S4">SUM(_xlfn.BYCOL(D:H,_xlfn.LAMBDA(_xlpm.col,SUMIF(_xlpm.col,"S.*",B:B))))/T10</f>
        <v>4.0042881646655239E-2</v>
      </c>
      <c r="T4" s="30">
        <f>AVERAGE(K4:S4)</f>
        <v>11.630825399217034</v>
      </c>
    </row>
    <row r="5" spans="1:21" x14ac:dyDescent="0.2">
      <c r="A5">
        <v>92394</v>
      </c>
      <c r="B5">
        <v>53</v>
      </c>
      <c r="C5" t="s">
        <v>914</v>
      </c>
      <c r="D5" t="s">
        <v>195</v>
      </c>
      <c r="E5" t="s">
        <v>1353</v>
      </c>
      <c r="F5" t="s">
        <v>1353</v>
      </c>
      <c r="G5" t="s">
        <v>195</v>
      </c>
      <c r="H5" t="s">
        <v>1353</v>
      </c>
      <c r="J5" s="33" t="s">
        <v>44</v>
      </c>
      <c r="K5" s="33"/>
      <c r="L5" s="33"/>
      <c r="M5" s="39" cm="1">
        <f t="array" ref="M5">SUM(_xlfn.BYCOL(D:H,_xlfn.LAMBDA(_xlpm.col,SUMIF(_xlpm.col,"C.*",B:B)*2+SUMIF(_xlpm.col,"D.*",B:B)*3+SUMIF(_xlpm.col,"E.*",B:B)*4+SUMIF(_xlpm.col,"F.*",B:B)*5+SUMIF(_xlpm.col,"G.*",B:B)*6+SUMIF(_xlpm.col,"H.*",B:B)*7+SUMIF(_xlpm.col,"I.*",B:B)*8+SUMIF(_xlpm.col,"J.*",B:B)*9+SUMIF(_xlpm.col,"K.*",B:B)*10+SUMIF(_xlpm.col,"L.*",B:B)*11+SUMIF(_xlpm.col,"M.*",B:B)*12+SUMIF(_xlpm.col,"N.*",B:B)*13+SUMIF(_xlpm.col,"O.*",B:B)*14+SUMIF(_xlpm.col,"P.*",B:B)*15)))/M10</f>
        <v>30.319230769230771</v>
      </c>
      <c r="N5" s="33"/>
      <c r="O5" s="33"/>
      <c r="P5" s="33"/>
      <c r="Q5" s="33"/>
      <c r="R5" s="33"/>
      <c r="S5" s="33"/>
      <c r="T5" s="33"/>
    </row>
    <row r="6" spans="1:21" x14ac:dyDescent="0.2">
      <c r="A6">
        <v>92584</v>
      </c>
      <c r="B6">
        <v>51</v>
      </c>
      <c r="C6" t="s">
        <v>914</v>
      </c>
      <c r="D6" t="s">
        <v>1371</v>
      </c>
      <c r="E6" t="s">
        <v>1371</v>
      </c>
      <c r="F6" t="s">
        <v>1371</v>
      </c>
      <c r="G6" t="s">
        <v>1371</v>
      </c>
      <c r="H6" t="s">
        <v>1371</v>
      </c>
      <c r="J6" s="40" t="s">
        <v>47</v>
      </c>
      <c r="K6" s="40"/>
      <c r="L6" s="40"/>
      <c r="M6" s="41">
        <f>M5/M4</f>
        <v>2.2106001121704995</v>
      </c>
      <c r="N6" s="40"/>
      <c r="O6" s="40"/>
      <c r="P6" s="40"/>
      <c r="Q6" s="40"/>
      <c r="R6" s="40"/>
      <c r="S6" s="40"/>
      <c r="T6" s="40"/>
    </row>
    <row r="7" spans="1:21" x14ac:dyDescent="0.2">
      <c r="A7">
        <v>92371</v>
      </c>
      <c r="B7">
        <v>50</v>
      </c>
      <c r="C7" t="s">
        <v>914</v>
      </c>
      <c r="D7" t="s">
        <v>1353</v>
      </c>
      <c r="E7" t="s">
        <v>1353</v>
      </c>
      <c r="F7" t="s">
        <v>1353</v>
      </c>
      <c r="G7" t="s">
        <v>1353</v>
      </c>
      <c r="H7" t="s">
        <v>1353</v>
      </c>
      <c r="M7" s="35"/>
    </row>
    <row r="8" spans="1:21" x14ac:dyDescent="0.2">
      <c r="A8">
        <v>92404</v>
      </c>
      <c r="B8">
        <v>50</v>
      </c>
      <c r="C8" t="s">
        <v>914</v>
      </c>
      <c r="D8" t="s">
        <v>1353</v>
      </c>
      <c r="E8" t="s">
        <v>202</v>
      </c>
      <c r="F8" t="s">
        <v>202</v>
      </c>
      <c r="G8" t="s">
        <v>1353</v>
      </c>
      <c r="H8" t="s">
        <v>1353</v>
      </c>
      <c r="J8" s="69" t="s">
        <v>54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0"/>
    </row>
    <row r="9" spans="1:21" x14ac:dyDescent="0.2">
      <c r="A9">
        <v>92627</v>
      </c>
      <c r="B9">
        <v>50</v>
      </c>
      <c r="C9" t="s">
        <v>914</v>
      </c>
      <c r="D9" t="s">
        <v>1353</v>
      </c>
      <c r="E9" t="s">
        <v>1353</v>
      </c>
      <c r="F9" t="s">
        <v>1353</v>
      </c>
      <c r="G9" t="s">
        <v>1353</v>
      </c>
      <c r="H9" t="s">
        <v>1353</v>
      </c>
      <c r="J9" s="36"/>
      <c r="K9" s="36" t="s">
        <v>17</v>
      </c>
      <c r="L9" s="36" t="s">
        <v>18</v>
      </c>
      <c r="M9" s="36" t="s">
        <v>19</v>
      </c>
      <c r="N9" s="36" t="s">
        <v>20</v>
      </c>
      <c r="O9" s="36" t="s">
        <v>21</v>
      </c>
      <c r="P9" s="36" t="s">
        <v>22</v>
      </c>
      <c r="Q9" s="36" t="s">
        <v>23</v>
      </c>
      <c r="R9" s="36" t="s">
        <v>24</v>
      </c>
      <c r="S9" s="36" t="s">
        <v>25</v>
      </c>
      <c r="T9" s="37" t="s">
        <v>26</v>
      </c>
      <c r="U9" s="36" t="s">
        <v>59</v>
      </c>
    </row>
    <row r="10" spans="1:21" x14ac:dyDescent="0.2">
      <c r="A10">
        <v>92223</v>
      </c>
      <c r="B10">
        <v>50</v>
      </c>
      <c r="C10" t="s">
        <v>914</v>
      </c>
      <c r="D10" t="s">
        <v>1353</v>
      </c>
      <c r="E10" t="s">
        <v>1353</v>
      </c>
      <c r="F10" t="s">
        <v>1353</v>
      </c>
      <c r="G10" t="s">
        <v>1353</v>
      </c>
      <c r="H10" t="s">
        <v>1353</v>
      </c>
      <c r="J10" s="4" t="s">
        <v>63</v>
      </c>
      <c r="K10" s="4" cm="1">
        <f t="array" ref="K10">SUM(COUNTIF(D:H,{"A.*","B.*"}))</f>
        <v>1762</v>
      </c>
      <c r="L10" s="4">
        <f>COUNTIF(D:H,"T.*")</f>
        <v>63</v>
      </c>
      <c r="M10" s="4" cm="1">
        <f t="array" ref="M10">SUM(COUNTIF(D:H,{"C.*","D.*","E.*","F.*","G.*","H.*","I.*","J.*","K.*","L.*","M.*","N.*","O.*","P.*"}))</f>
        <v>260</v>
      </c>
      <c r="N10" s="23">
        <f>COUNTIF(D:H,"R.*")</f>
        <v>61</v>
      </c>
      <c r="O10" s="4">
        <f>COUNTIF(D:H,"U.*")</f>
        <v>32</v>
      </c>
      <c r="P10" s="4">
        <v>0</v>
      </c>
      <c r="Q10" s="4">
        <f>COUNTIF(D:H,"Q.*")</f>
        <v>21</v>
      </c>
      <c r="R10" s="4">
        <f>COUNTIF(D:H,"V.*")</f>
        <v>7</v>
      </c>
      <c r="S10" s="4">
        <f>COUNTIF(D:H,"S.*")</f>
        <v>126</v>
      </c>
      <c r="T10" s="14">
        <f>SUM(K10:S10)</f>
        <v>2332</v>
      </c>
      <c r="U10" s="4">
        <f>COUNTIFS(D2:H1000,"&lt;&gt;",D2:H1000,"&lt;&gt;OFF.*",D2:H1000,"&lt;&gt;AA.*",D2:H1000,"&lt;&gt;BB.*",D2:H1000,"&lt;&gt;W.*",D2:H1000,"&lt;&gt;X.*",D2:H1000,"&lt;&gt;CC.*")</f>
        <v>2332</v>
      </c>
    </row>
    <row r="11" spans="1:21" x14ac:dyDescent="0.2">
      <c r="A11">
        <v>92344</v>
      </c>
      <c r="B11">
        <v>50</v>
      </c>
      <c r="C11" t="s">
        <v>914</v>
      </c>
      <c r="D11" t="s">
        <v>1353</v>
      </c>
      <c r="E11" t="s">
        <v>1353</v>
      </c>
      <c r="F11" t="s">
        <v>1353</v>
      </c>
      <c r="G11" t="s">
        <v>1353</v>
      </c>
      <c r="H11" t="s">
        <v>1353</v>
      </c>
    </row>
    <row r="12" spans="1:21" ht="16" x14ac:dyDescent="0.2">
      <c r="A12">
        <v>92345</v>
      </c>
      <c r="B12">
        <v>50</v>
      </c>
      <c r="C12" t="s">
        <v>914</v>
      </c>
      <c r="D12" t="s">
        <v>1353</v>
      </c>
      <c r="E12" t="s">
        <v>1353</v>
      </c>
      <c r="F12" t="s">
        <v>1353</v>
      </c>
      <c r="G12" t="s">
        <v>1353</v>
      </c>
      <c r="H12" t="s">
        <v>1353</v>
      </c>
      <c r="J12" s="38" t="s">
        <v>1386</v>
      </c>
      <c r="L12" s="69" t="s">
        <v>69</v>
      </c>
      <c r="M12" s="73"/>
      <c r="N12" s="70"/>
    </row>
    <row r="13" spans="1:21" ht="15.75" customHeight="1" x14ac:dyDescent="0.2">
      <c r="A13" t="s">
        <v>1415</v>
      </c>
      <c r="B13">
        <v>48</v>
      </c>
      <c r="C13" t="s">
        <v>914</v>
      </c>
      <c r="D13" t="s">
        <v>1367</v>
      </c>
      <c r="E13" t="s">
        <v>1367</v>
      </c>
      <c r="F13" t="s">
        <v>1367</v>
      </c>
      <c r="G13" t="s">
        <v>1367</v>
      </c>
      <c r="H13" t="s">
        <v>1367</v>
      </c>
      <c r="J13" s="5" t="s">
        <v>1353</v>
      </c>
      <c r="L13" s="74" t="s">
        <v>75</v>
      </c>
      <c r="M13" s="74"/>
      <c r="N13" s="36">
        <f>2*T10/COUNTIF(A2:A1000,"&lt;&gt;")</f>
        <v>9.0916179337231977</v>
      </c>
    </row>
    <row r="14" spans="1:21" ht="16" x14ac:dyDescent="0.2">
      <c r="A14" t="s">
        <v>1416</v>
      </c>
      <c r="B14">
        <v>48</v>
      </c>
      <c r="C14" t="s">
        <v>914</v>
      </c>
      <c r="D14" t="s">
        <v>1353</v>
      </c>
      <c r="E14" t="s">
        <v>1353</v>
      </c>
      <c r="F14" t="s">
        <v>1353</v>
      </c>
      <c r="G14" t="s">
        <v>1353</v>
      </c>
      <c r="H14" t="s">
        <v>191</v>
      </c>
      <c r="J14" s="5" t="s">
        <v>1355</v>
      </c>
      <c r="L14" s="72" t="s">
        <v>82</v>
      </c>
      <c r="M14" s="72"/>
      <c r="N14" s="4">
        <v>760</v>
      </c>
    </row>
    <row r="15" spans="1:21" ht="16" x14ac:dyDescent="0.2">
      <c r="A15" t="s">
        <v>1417</v>
      </c>
      <c r="B15">
        <v>48</v>
      </c>
      <c r="C15" t="s">
        <v>1390</v>
      </c>
      <c r="D15" t="s">
        <v>1353</v>
      </c>
      <c r="E15" t="s">
        <v>202</v>
      </c>
      <c r="F15" t="s">
        <v>1353</v>
      </c>
      <c r="G15" t="s">
        <v>202</v>
      </c>
      <c r="H15" t="s">
        <v>202</v>
      </c>
      <c r="J15" s="5" t="s">
        <v>1352</v>
      </c>
      <c r="L15" s="75" t="s">
        <v>86</v>
      </c>
      <c r="M15" s="75"/>
      <c r="N15" s="59">
        <f>COUNTIF(A2:A1000,"&lt;&gt;")</f>
        <v>513</v>
      </c>
    </row>
    <row r="16" spans="1:21" ht="16" x14ac:dyDescent="0.2">
      <c r="A16">
        <v>92629</v>
      </c>
      <c r="B16">
        <v>47</v>
      </c>
      <c r="C16" t="s">
        <v>914</v>
      </c>
      <c r="D16" t="s">
        <v>1353</v>
      </c>
      <c r="E16" t="s">
        <v>1353</v>
      </c>
      <c r="F16" t="s">
        <v>1353</v>
      </c>
      <c r="G16" t="s">
        <v>1353</v>
      </c>
      <c r="H16" t="s">
        <v>1353</v>
      </c>
      <c r="J16" s="5" t="s">
        <v>1356</v>
      </c>
      <c r="L16" s="72" t="s">
        <v>93</v>
      </c>
      <c r="M16" s="69"/>
      <c r="N16" s="61">
        <f>N15/N14</f>
        <v>0.67500000000000004</v>
      </c>
    </row>
    <row r="17" spans="1:14" ht="15.75" customHeight="1" x14ac:dyDescent="0.2">
      <c r="A17">
        <v>90013</v>
      </c>
      <c r="B17">
        <v>46</v>
      </c>
      <c r="C17" t="s">
        <v>914</v>
      </c>
      <c r="D17" t="s">
        <v>195</v>
      </c>
      <c r="E17" t="s">
        <v>195</v>
      </c>
      <c r="F17" t="s">
        <v>195</v>
      </c>
      <c r="G17" t="s">
        <v>1353</v>
      </c>
      <c r="H17" t="s">
        <v>1353</v>
      </c>
      <c r="J17" s="5" t="s">
        <v>1357</v>
      </c>
      <c r="L17" s="77" t="s">
        <v>99</v>
      </c>
      <c r="M17" s="78"/>
      <c r="N17" s="60">
        <v>49</v>
      </c>
    </row>
    <row r="18" spans="1:14" ht="16" x14ac:dyDescent="0.2">
      <c r="A18">
        <v>92325</v>
      </c>
      <c r="B18">
        <v>45</v>
      </c>
      <c r="C18" t="s">
        <v>914</v>
      </c>
      <c r="D18" t="s">
        <v>1353</v>
      </c>
      <c r="E18" t="s">
        <v>1353</v>
      </c>
      <c r="F18" t="s">
        <v>1355</v>
      </c>
      <c r="G18" t="s">
        <v>1353</v>
      </c>
      <c r="H18" t="s">
        <v>1353</v>
      </c>
      <c r="J18" s="5" t="s">
        <v>1359</v>
      </c>
      <c r="L18" s="69" t="s">
        <v>104</v>
      </c>
      <c r="M18" s="70"/>
      <c r="N18" s="4">
        <f>AVERAGE(B2:B1000)</f>
        <v>13.401754385964916</v>
      </c>
    </row>
    <row r="19" spans="1:14" ht="16" x14ac:dyDescent="0.2">
      <c r="A19">
        <v>90232</v>
      </c>
      <c r="B19">
        <v>45</v>
      </c>
      <c r="C19" t="s">
        <v>1390</v>
      </c>
      <c r="D19" t="s">
        <v>1353</v>
      </c>
      <c r="E19" t="s">
        <v>1353</v>
      </c>
      <c r="F19" t="s">
        <v>1353</v>
      </c>
      <c r="G19" t="s">
        <v>1353</v>
      </c>
      <c r="H19" t="s">
        <v>1353</v>
      </c>
      <c r="J19" s="5" t="s">
        <v>1360</v>
      </c>
      <c r="L19" s="69" t="s">
        <v>109</v>
      </c>
      <c r="M19" s="70"/>
      <c r="N19" s="4">
        <f>MEDIAN(B2:B1000)</f>
        <v>8.5</v>
      </c>
    </row>
    <row r="20" spans="1:14" ht="16" x14ac:dyDescent="0.2">
      <c r="A20">
        <v>90043</v>
      </c>
      <c r="B20">
        <v>43</v>
      </c>
      <c r="C20" t="s">
        <v>914</v>
      </c>
      <c r="D20" t="s">
        <v>1353</v>
      </c>
      <c r="E20" t="s">
        <v>1353</v>
      </c>
      <c r="F20" t="s">
        <v>1353</v>
      </c>
      <c r="G20" t="s">
        <v>1353</v>
      </c>
      <c r="H20" t="s">
        <v>1353</v>
      </c>
      <c r="J20" s="5" t="s">
        <v>1361</v>
      </c>
      <c r="L20" s="69" t="s">
        <v>114</v>
      </c>
      <c r="M20" s="70"/>
      <c r="N20" s="4">
        <f>SUM(B2:B1000)</f>
        <v>6875.1000000000013</v>
      </c>
    </row>
    <row r="21" spans="1:14" ht="16" x14ac:dyDescent="0.2">
      <c r="A21">
        <v>91607</v>
      </c>
      <c r="B21">
        <v>43</v>
      </c>
      <c r="C21" t="s">
        <v>914</v>
      </c>
      <c r="D21" t="s">
        <v>1353</v>
      </c>
      <c r="E21" t="s">
        <v>1353</v>
      </c>
      <c r="F21" t="s">
        <v>1353</v>
      </c>
      <c r="G21" t="s">
        <v>1353</v>
      </c>
      <c r="H21" t="s">
        <v>1353</v>
      </c>
      <c r="J21" s="5" t="s">
        <v>1362</v>
      </c>
      <c r="L21" s="69" t="s">
        <v>119</v>
      </c>
      <c r="M21" s="70"/>
      <c r="N21" s="61">
        <f>COUNTIF(B:B,"&lt;=5")/N15</f>
        <v>0.38206627680311889</v>
      </c>
    </row>
    <row r="22" spans="1:14" ht="16" x14ac:dyDescent="0.2">
      <c r="A22" t="s">
        <v>1392</v>
      </c>
      <c r="B22">
        <v>43</v>
      </c>
      <c r="C22" t="s">
        <v>1390</v>
      </c>
      <c r="D22" t="s">
        <v>1351</v>
      </c>
      <c r="E22" t="s">
        <v>202</v>
      </c>
      <c r="F22" t="s">
        <v>202</v>
      </c>
      <c r="G22" t="s">
        <v>1353</v>
      </c>
      <c r="H22" t="s">
        <v>1351</v>
      </c>
      <c r="J22" s="5" t="s">
        <v>1363</v>
      </c>
    </row>
    <row r="23" spans="1:14" ht="16" x14ac:dyDescent="0.2">
      <c r="A23">
        <v>92660</v>
      </c>
      <c r="B23">
        <v>41</v>
      </c>
      <c r="C23" t="s">
        <v>914</v>
      </c>
      <c r="D23" t="s">
        <v>1353</v>
      </c>
      <c r="E23" t="s">
        <v>1353</v>
      </c>
      <c r="F23" t="s">
        <v>1353</v>
      </c>
      <c r="G23" t="s">
        <v>1353</v>
      </c>
      <c r="H23" t="s">
        <v>1353</v>
      </c>
      <c r="J23" s="5" t="s">
        <v>1364</v>
      </c>
    </row>
    <row r="24" spans="1:14" ht="16" x14ac:dyDescent="0.2">
      <c r="A24">
        <v>90062</v>
      </c>
      <c r="B24">
        <v>40</v>
      </c>
      <c r="C24" t="s">
        <v>914</v>
      </c>
      <c r="D24" t="s">
        <v>1353</v>
      </c>
      <c r="E24" t="s">
        <v>1353</v>
      </c>
      <c r="F24" t="s">
        <v>1353</v>
      </c>
      <c r="G24" t="s">
        <v>1353</v>
      </c>
      <c r="H24" t="s">
        <v>1353</v>
      </c>
      <c r="J24" s="5" t="s">
        <v>1365</v>
      </c>
    </row>
    <row r="25" spans="1:14" ht="16" x14ac:dyDescent="0.2">
      <c r="A25">
        <v>90048</v>
      </c>
      <c r="B25">
        <v>40</v>
      </c>
      <c r="C25" t="s">
        <v>914</v>
      </c>
      <c r="D25" t="s">
        <v>1353</v>
      </c>
      <c r="E25" t="s">
        <v>1353</v>
      </c>
      <c r="F25" t="s">
        <v>1353</v>
      </c>
      <c r="G25" t="s">
        <v>1353</v>
      </c>
      <c r="H25" t="s">
        <v>1353</v>
      </c>
      <c r="J25" s="5" t="s">
        <v>1366</v>
      </c>
    </row>
    <row r="26" spans="1:14" ht="16" x14ac:dyDescent="0.2">
      <c r="A26">
        <v>92397</v>
      </c>
      <c r="B26">
        <v>40</v>
      </c>
      <c r="C26" t="s">
        <v>914</v>
      </c>
      <c r="D26" t="s">
        <v>1353</v>
      </c>
      <c r="E26" t="s">
        <v>1353</v>
      </c>
      <c r="F26" t="s">
        <v>1353</v>
      </c>
      <c r="G26" t="s">
        <v>1353</v>
      </c>
      <c r="H26" t="s">
        <v>1353</v>
      </c>
      <c r="J26" s="5" t="s">
        <v>1368</v>
      </c>
    </row>
    <row r="27" spans="1:14" ht="16" x14ac:dyDescent="0.2">
      <c r="A27">
        <v>92329</v>
      </c>
      <c r="B27">
        <v>40</v>
      </c>
      <c r="C27" t="s">
        <v>914</v>
      </c>
      <c r="D27" t="s">
        <v>1353</v>
      </c>
      <c r="E27" t="s">
        <v>1353</v>
      </c>
      <c r="F27" t="s">
        <v>1353</v>
      </c>
      <c r="G27" t="s">
        <v>1353</v>
      </c>
      <c r="H27" t="s">
        <v>1353</v>
      </c>
      <c r="J27" s="5" t="s">
        <v>1369</v>
      </c>
    </row>
    <row r="28" spans="1:14" ht="16" x14ac:dyDescent="0.2">
      <c r="A28" t="s">
        <v>1418</v>
      </c>
      <c r="B28">
        <v>40</v>
      </c>
      <c r="C28" t="s">
        <v>914</v>
      </c>
      <c r="D28" t="s">
        <v>1367</v>
      </c>
      <c r="E28" t="s">
        <v>1367</v>
      </c>
      <c r="F28" t="s">
        <v>1367</v>
      </c>
      <c r="G28" t="s">
        <v>1367</v>
      </c>
      <c r="H28" t="s">
        <v>1367</v>
      </c>
      <c r="J28" s="5" t="s">
        <v>1370</v>
      </c>
    </row>
    <row r="29" spans="1:14" ht="16" x14ac:dyDescent="0.2">
      <c r="A29">
        <v>92555</v>
      </c>
      <c r="B29">
        <v>40</v>
      </c>
      <c r="C29" t="s">
        <v>914</v>
      </c>
      <c r="D29" t="s">
        <v>1353</v>
      </c>
      <c r="E29" t="s">
        <v>1353</v>
      </c>
      <c r="F29" t="s">
        <v>1352</v>
      </c>
      <c r="G29" t="s">
        <v>1352</v>
      </c>
      <c r="H29" t="s">
        <v>1352</v>
      </c>
      <c r="J29" s="5" t="s">
        <v>1371</v>
      </c>
    </row>
    <row r="30" spans="1:14" ht="16" x14ac:dyDescent="0.2">
      <c r="A30">
        <v>90031</v>
      </c>
      <c r="B30">
        <v>40</v>
      </c>
      <c r="C30" t="s">
        <v>914</v>
      </c>
      <c r="D30" t="s">
        <v>1353</v>
      </c>
      <c r="E30" t="s">
        <v>1353</v>
      </c>
      <c r="F30" t="s">
        <v>1353</v>
      </c>
      <c r="G30" t="s">
        <v>1353</v>
      </c>
      <c r="H30" t="s">
        <v>1353</v>
      </c>
      <c r="J30" s="5" t="s">
        <v>1367</v>
      </c>
    </row>
    <row r="31" spans="1:14" ht="16" x14ac:dyDescent="0.2">
      <c r="A31">
        <v>91505</v>
      </c>
      <c r="B31">
        <v>40</v>
      </c>
      <c r="C31" t="s">
        <v>914</v>
      </c>
      <c r="D31" t="s">
        <v>1353</v>
      </c>
      <c r="E31" t="s">
        <v>1353</v>
      </c>
      <c r="F31" t="s">
        <v>1353</v>
      </c>
      <c r="G31" t="s">
        <v>1353</v>
      </c>
      <c r="H31" t="s">
        <v>1353</v>
      </c>
      <c r="J31" s="5" t="s">
        <v>1372</v>
      </c>
    </row>
    <row r="32" spans="1:14" ht="16" x14ac:dyDescent="0.2">
      <c r="A32">
        <v>90027</v>
      </c>
      <c r="B32">
        <v>39</v>
      </c>
      <c r="C32" t="s">
        <v>914</v>
      </c>
      <c r="D32" t="s">
        <v>1353</v>
      </c>
      <c r="E32" t="s">
        <v>1353</v>
      </c>
      <c r="F32" t="s">
        <v>1353</v>
      </c>
      <c r="G32" t="s">
        <v>202</v>
      </c>
      <c r="H32" t="s">
        <v>1353</v>
      </c>
      <c r="J32" s="5" t="s">
        <v>1373</v>
      </c>
    </row>
    <row r="33" spans="1:10" ht="16" x14ac:dyDescent="0.2">
      <c r="A33">
        <v>92397</v>
      </c>
      <c r="B33">
        <v>39</v>
      </c>
      <c r="C33" t="s">
        <v>1390</v>
      </c>
      <c r="D33" t="s">
        <v>1353</v>
      </c>
      <c r="E33" t="s">
        <v>1353</v>
      </c>
      <c r="F33" t="s">
        <v>1353</v>
      </c>
      <c r="G33" t="s">
        <v>1353</v>
      </c>
      <c r="H33" t="s">
        <v>1353</v>
      </c>
      <c r="J33" s="5" t="s">
        <v>1358</v>
      </c>
    </row>
    <row r="34" spans="1:10" ht="16" x14ac:dyDescent="0.2">
      <c r="A34">
        <v>92553</v>
      </c>
      <c r="B34">
        <v>38</v>
      </c>
      <c r="C34" t="s">
        <v>914</v>
      </c>
      <c r="D34" t="s">
        <v>1353</v>
      </c>
      <c r="E34" t="s">
        <v>1353</v>
      </c>
      <c r="F34" t="s">
        <v>1353</v>
      </c>
      <c r="G34" t="s">
        <v>1353</v>
      </c>
      <c r="H34" t="s">
        <v>1353</v>
      </c>
      <c r="J34" s="5" t="s">
        <v>1351</v>
      </c>
    </row>
    <row r="35" spans="1:10" ht="16" x14ac:dyDescent="0.2">
      <c r="A35">
        <v>92374</v>
      </c>
      <c r="B35">
        <v>37.1</v>
      </c>
      <c r="C35" t="s">
        <v>914</v>
      </c>
      <c r="D35" t="s">
        <v>1352</v>
      </c>
      <c r="E35" t="s">
        <v>1353</v>
      </c>
      <c r="F35" t="s">
        <v>1352</v>
      </c>
      <c r="G35" t="s">
        <v>1352</v>
      </c>
      <c r="H35" t="s">
        <v>1352</v>
      </c>
      <c r="J35" s="5" t="s">
        <v>1374</v>
      </c>
    </row>
    <row r="36" spans="1:10" ht="16" x14ac:dyDescent="0.2">
      <c r="A36">
        <v>90746</v>
      </c>
      <c r="B36">
        <v>37</v>
      </c>
      <c r="C36" t="s">
        <v>914</v>
      </c>
      <c r="D36" t="s">
        <v>1353</v>
      </c>
      <c r="E36" t="s">
        <v>1353</v>
      </c>
      <c r="F36" t="s">
        <v>1353</v>
      </c>
      <c r="G36" t="s">
        <v>1353</v>
      </c>
      <c r="H36" t="s">
        <v>1353</v>
      </c>
      <c r="J36" s="5" t="s">
        <v>179</v>
      </c>
    </row>
    <row r="37" spans="1:10" ht="16" x14ac:dyDescent="0.2">
      <c r="A37">
        <v>91201</v>
      </c>
      <c r="B37">
        <v>37</v>
      </c>
      <c r="C37" t="s">
        <v>914</v>
      </c>
      <c r="D37" t="s">
        <v>1353</v>
      </c>
      <c r="E37" t="s">
        <v>1353</v>
      </c>
      <c r="F37" t="s">
        <v>1353</v>
      </c>
      <c r="G37" t="s">
        <v>1353</v>
      </c>
      <c r="H37" t="s">
        <v>1353</v>
      </c>
      <c r="J37" s="5" t="s">
        <v>191</v>
      </c>
    </row>
    <row r="38" spans="1:10" ht="16" x14ac:dyDescent="0.2">
      <c r="A38">
        <v>92507</v>
      </c>
      <c r="B38">
        <v>36.4</v>
      </c>
      <c r="C38" t="s">
        <v>914</v>
      </c>
      <c r="D38" t="s">
        <v>1357</v>
      </c>
      <c r="E38" t="s">
        <v>1357</v>
      </c>
      <c r="F38" t="s">
        <v>1357</v>
      </c>
      <c r="G38" t="s">
        <v>1357</v>
      </c>
      <c r="H38" t="s">
        <v>1357</v>
      </c>
      <c r="J38" s="5" t="s">
        <v>195</v>
      </c>
    </row>
    <row r="39" spans="1:10" ht="16" x14ac:dyDescent="0.2">
      <c r="A39">
        <v>92337</v>
      </c>
      <c r="B39">
        <v>35</v>
      </c>
      <c r="C39" t="s">
        <v>914</v>
      </c>
      <c r="D39" t="s">
        <v>1352</v>
      </c>
      <c r="E39" t="s">
        <v>1352</v>
      </c>
      <c r="F39" t="s">
        <v>1352</v>
      </c>
      <c r="G39" t="s">
        <v>1352</v>
      </c>
      <c r="H39" t="s">
        <v>1352</v>
      </c>
      <c r="J39" s="5" t="s">
        <v>199</v>
      </c>
    </row>
    <row r="40" spans="1:10" ht="16" x14ac:dyDescent="0.2">
      <c r="A40">
        <v>92655</v>
      </c>
      <c r="B40">
        <v>35</v>
      </c>
      <c r="C40" t="s">
        <v>914</v>
      </c>
      <c r="D40" t="s">
        <v>1353</v>
      </c>
      <c r="E40" t="s">
        <v>1353</v>
      </c>
      <c r="F40" t="s">
        <v>1353</v>
      </c>
      <c r="G40" t="s">
        <v>1353</v>
      </c>
      <c r="H40" t="s">
        <v>1353</v>
      </c>
      <c r="J40" s="6" t="s">
        <v>202</v>
      </c>
    </row>
    <row r="41" spans="1:10" x14ac:dyDescent="0.2">
      <c r="A41">
        <v>90713</v>
      </c>
      <c r="B41">
        <v>35</v>
      </c>
      <c r="C41" t="s">
        <v>914</v>
      </c>
      <c r="D41" t="s">
        <v>191</v>
      </c>
      <c r="E41" t="s">
        <v>191</v>
      </c>
      <c r="F41" t="s">
        <v>191</v>
      </c>
      <c r="G41" t="s">
        <v>191</v>
      </c>
      <c r="H41" t="s">
        <v>191</v>
      </c>
    </row>
    <row r="42" spans="1:10" x14ac:dyDescent="0.2">
      <c r="A42" t="s">
        <v>1393</v>
      </c>
      <c r="B42">
        <v>35</v>
      </c>
      <c r="C42" t="s">
        <v>914</v>
      </c>
      <c r="D42" t="s">
        <v>1353</v>
      </c>
      <c r="E42" t="s">
        <v>1353</v>
      </c>
      <c r="F42" t="s">
        <v>1353</v>
      </c>
      <c r="G42" t="s">
        <v>1353</v>
      </c>
      <c r="H42" t="s">
        <v>1353</v>
      </c>
    </row>
    <row r="43" spans="1:10" x14ac:dyDescent="0.2">
      <c r="A43">
        <v>92405</v>
      </c>
      <c r="B43">
        <v>35</v>
      </c>
      <c r="C43" t="s">
        <v>914</v>
      </c>
      <c r="D43" t="s">
        <v>1367</v>
      </c>
      <c r="E43" t="s">
        <v>1367</v>
      </c>
      <c r="F43" t="s">
        <v>1367</v>
      </c>
      <c r="G43" t="s">
        <v>1367</v>
      </c>
      <c r="H43" t="s">
        <v>1367</v>
      </c>
    </row>
    <row r="44" spans="1:10" x14ac:dyDescent="0.2">
      <c r="A44">
        <v>92404</v>
      </c>
      <c r="B44">
        <v>34</v>
      </c>
      <c r="C44" t="s">
        <v>914</v>
      </c>
      <c r="D44" t="s">
        <v>1353</v>
      </c>
      <c r="E44" t="s">
        <v>1353</v>
      </c>
      <c r="F44" t="s">
        <v>1353</v>
      </c>
      <c r="G44" t="s">
        <v>1353</v>
      </c>
      <c r="H44" t="s">
        <v>1353</v>
      </c>
    </row>
    <row r="45" spans="1:10" x14ac:dyDescent="0.2">
      <c r="A45" t="s">
        <v>1394</v>
      </c>
      <c r="B45">
        <v>34</v>
      </c>
      <c r="C45" t="s">
        <v>914</v>
      </c>
      <c r="D45" t="s">
        <v>1353</v>
      </c>
      <c r="E45" t="s">
        <v>1353</v>
      </c>
      <c r="F45" t="s">
        <v>1353</v>
      </c>
      <c r="G45" t="s">
        <v>1353</v>
      </c>
      <c r="H45" t="s">
        <v>1353</v>
      </c>
    </row>
    <row r="46" spans="1:10" x14ac:dyDescent="0.2">
      <c r="A46">
        <v>91206</v>
      </c>
      <c r="B46">
        <v>34</v>
      </c>
      <c r="C46" t="s">
        <v>914</v>
      </c>
      <c r="D46" t="s">
        <v>1352</v>
      </c>
      <c r="E46" t="s">
        <v>1352</v>
      </c>
      <c r="F46" t="s">
        <v>1352</v>
      </c>
      <c r="G46" t="s">
        <v>1353</v>
      </c>
      <c r="H46" t="s">
        <v>191</v>
      </c>
    </row>
    <row r="47" spans="1:10" x14ac:dyDescent="0.2">
      <c r="A47">
        <v>92346</v>
      </c>
      <c r="B47">
        <v>33.9</v>
      </c>
      <c r="C47" t="s">
        <v>914</v>
      </c>
      <c r="D47" t="s">
        <v>1353</v>
      </c>
      <c r="E47" t="s">
        <v>1353</v>
      </c>
      <c r="F47" t="s">
        <v>1353</v>
      </c>
      <c r="G47" t="s">
        <v>1353</v>
      </c>
      <c r="H47" t="s">
        <v>1353</v>
      </c>
    </row>
    <row r="48" spans="1:10" x14ac:dyDescent="0.2">
      <c r="A48">
        <v>92706</v>
      </c>
      <c r="B48">
        <v>33</v>
      </c>
      <c r="C48" t="s">
        <v>914</v>
      </c>
      <c r="D48" t="s">
        <v>1353</v>
      </c>
      <c r="E48" t="s">
        <v>1353</v>
      </c>
      <c r="F48" t="s">
        <v>1353</v>
      </c>
      <c r="G48" t="s">
        <v>1353</v>
      </c>
      <c r="H48" t="s">
        <v>1353</v>
      </c>
    </row>
    <row r="49" spans="1:8" x14ac:dyDescent="0.2">
      <c r="A49">
        <v>91105</v>
      </c>
      <c r="B49">
        <v>33</v>
      </c>
      <c r="C49" t="s">
        <v>914</v>
      </c>
      <c r="D49" t="s">
        <v>1353</v>
      </c>
      <c r="E49" t="s">
        <v>1353</v>
      </c>
      <c r="F49" t="s">
        <v>1353</v>
      </c>
      <c r="G49" t="s">
        <v>1353</v>
      </c>
      <c r="H49" t="s">
        <v>1353</v>
      </c>
    </row>
    <row r="50" spans="1:8" x14ac:dyDescent="0.2">
      <c r="A50">
        <v>92404</v>
      </c>
      <c r="B50">
        <v>32</v>
      </c>
      <c r="C50" t="s">
        <v>914</v>
      </c>
      <c r="D50" t="s">
        <v>1353</v>
      </c>
      <c r="E50" t="s">
        <v>1353</v>
      </c>
      <c r="F50" t="s">
        <v>1353</v>
      </c>
      <c r="G50" t="s">
        <v>1353</v>
      </c>
      <c r="H50" t="s">
        <v>1353</v>
      </c>
    </row>
    <row r="51" spans="1:8" x14ac:dyDescent="0.2">
      <c r="A51">
        <v>92404</v>
      </c>
      <c r="B51">
        <v>32</v>
      </c>
      <c r="C51" t="s">
        <v>914</v>
      </c>
      <c r="D51" t="s">
        <v>1353</v>
      </c>
      <c r="E51" t="s">
        <v>1352</v>
      </c>
      <c r="F51" t="s">
        <v>1352</v>
      </c>
      <c r="G51" t="s">
        <v>1352</v>
      </c>
      <c r="H51" t="s">
        <v>1352</v>
      </c>
    </row>
    <row r="52" spans="1:8" x14ac:dyDescent="0.2">
      <c r="A52">
        <v>92346</v>
      </c>
      <c r="B52">
        <v>32</v>
      </c>
      <c r="C52" t="s">
        <v>914</v>
      </c>
      <c r="D52" t="s">
        <v>1367</v>
      </c>
      <c r="E52" t="s">
        <v>1367</v>
      </c>
      <c r="F52" t="s">
        <v>1367</v>
      </c>
      <c r="G52" t="s">
        <v>1367</v>
      </c>
      <c r="H52" t="s">
        <v>1367</v>
      </c>
    </row>
    <row r="53" spans="1:8" x14ac:dyDescent="0.2">
      <c r="A53">
        <v>92373</v>
      </c>
      <c r="B53">
        <v>32</v>
      </c>
      <c r="C53" t="s">
        <v>914</v>
      </c>
      <c r="D53" t="s">
        <v>1353</v>
      </c>
      <c r="E53" t="s">
        <v>1353</v>
      </c>
      <c r="F53" t="s">
        <v>1353</v>
      </c>
      <c r="G53" t="s">
        <v>1353</v>
      </c>
      <c r="H53" t="s">
        <v>1353</v>
      </c>
    </row>
    <row r="54" spans="1:8" x14ac:dyDescent="0.2">
      <c r="A54">
        <v>92335</v>
      </c>
      <c r="B54">
        <v>31</v>
      </c>
      <c r="C54" t="s">
        <v>914</v>
      </c>
      <c r="D54" t="s">
        <v>1353</v>
      </c>
      <c r="E54" t="s">
        <v>1353</v>
      </c>
      <c r="F54" t="s">
        <v>1353</v>
      </c>
      <c r="G54" t="s">
        <v>1353</v>
      </c>
      <c r="H54" t="s">
        <v>1353</v>
      </c>
    </row>
    <row r="55" spans="1:8" x14ac:dyDescent="0.2">
      <c r="A55">
        <v>91001</v>
      </c>
      <c r="B55">
        <v>30</v>
      </c>
      <c r="C55" t="s">
        <v>914</v>
      </c>
      <c r="D55" t="s">
        <v>1353</v>
      </c>
      <c r="E55" t="s">
        <v>1353</v>
      </c>
      <c r="F55" t="s">
        <v>1353</v>
      </c>
      <c r="G55" t="s">
        <v>1353</v>
      </c>
      <c r="H55" t="s">
        <v>1353</v>
      </c>
    </row>
    <row r="56" spans="1:8" x14ac:dyDescent="0.2">
      <c r="A56">
        <v>92376</v>
      </c>
      <c r="B56">
        <v>30</v>
      </c>
      <c r="C56" t="s">
        <v>914</v>
      </c>
      <c r="D56" t="s">
        <v>1353</v>
      </c>
      <c r="E56" t="s">
        <v>1353</v>
      </c>
      <c r="F56" t="s">
        <v>1353</v>
      </c>
      <c r="G56" t="s">
        <v>1353</v>
      </c>
      <c r="H56" t="s">
        <v>1353</v>
      </c>
    </row>
    <row r="57" spans="1:8" x14ac:dyDescent="0.2">
      <c r="A57">
        <v>92408</v>
      </c>
      <c r="B57">
        <v>30</v>
      </c>
      <c r="C57" t="s">
        <v>914</v>
      </c>
      <c r="D57" t="s">
        <v>1352</v>
      </c>
      <c r="E57" t="s">
        <v>1352</v>
      </c>
      <c r="F57" t="s">
        <v>1352</v>
      </c>
      <c r="G57" t="s">
        <v>1352</v>
      </c>
      <c r="H57" t="s">
        <v>1352</v>
      </c>
    </row>
    <row r="58" spans="1:8" x14ac:dyDescent="0.2">
      <c r="A58">
        <v>92408</v>
      </c>
      <c r="B58">
        <v>30</v>
      </c>
      <c r="C58" t="s">
        <v>914</v>
      </c>
      <c r="D58" t="s">
        <v>1353</v>
      </c>
      <c r="E58" t="s">
        <v>1353</v>
      </c>
      <c r="F58" t="s">
        <v>1353</v>
      </c>
      <c r="G58" t="s">
        <v>1353</v>
      </c>
      <c r="H58" t="s">
        <v>1353</v>
      </c>
    </row>
    <row r="59" spans="1:8" x14ac:dyDescent="0.2">
      <c r="A59">
        <v>92503</v>
      </c>
      <c r="B59">
        <v>30</v>
      </c>
      <c r="C59" t="s">
        <v>914</v>
      </c>
      <c r="D59" t="s">
        <v>1353</v>
      </c>
      <c r="E59" t="s">
        <v>1353</v>
      </c>
      <c r="F59" t="s">
        <v>1353</v>
      </c>
      <c r="G59" t="s">
        <v>1353</v>
      </c>
      <c r="H59" t="s">
        <v>1353</v>
      </c>
    </row>
    <row r="60" spans="1:8" x14ac:dyDescent="0.2">
      <c r="A60">
        <v>92506</v>
      </c>
      <c r="B60">
        <v>30</v>
      </c>
      <c r="C60" t="s">
        <v>914</v>
      </c>
      <c r="D60" t="s">
        <v>1353</v>
      </c>
      <c r="E60" t="s">
        <v>1353</v>
      </c>
      <c r="F60" t="s">
        <v>1353</v>
      </c>
      <c r="G60" t="s">
        <v>1353</v>
      </c>
      <c r="H60" t="s">
        <v>1353</v>
      </c>
    </row>
    <row r="61" spans="1:8" x14ac:dyDescent="0.2">
      <c r="A61">
        <v>92373</v>
      </c>
      <c r="B61">
        <v>30</v>
      </c>
      <c r="C61" t="s">
        <v>914</v>
      </c>
      <c r="D61" t="s">
        <v>1353</v>
      </c>
      <c r="E61" t="s">
        <v>1353</v>
      </c>
      <c r="F61" t="s">
        <v>1353</v>
      </c>
      <c r="G61" t="s">
        <v>1353</v>
      </c>
      <c r="H61" t="s">
        <v>1353</v>
      </c>
    </row>
    <row r="62" spans="1:8" x14ac:dyDescent="0.2">
      <c r="A62">
        <v>90640</v>
      </c>
      <c r="B62">
        <v>30</v>
      </c>
      <c r="C62" t="s">
        <v>914</v>
      </c>
      <c r="D62" t="s">
        <v>1353</v>
      </c>
      <c r="E62" t="s">
        <v>1353</v>
      </c>
      <c r="F62" t="s">
        <v>1353</v>
      </c>
      <c r="G62" t="s">
        <v>1353</v>
      </c>
      <c r="H62" t="s">
        <v>1353</v>
      </c>
    </row>
    <row r="63" spans="1:8" x14ac:dyDescent="0.2">
      <c r="A63">
        <v>92408</v>
      </c>
      <c r="B63">
        <v>30</v>
      </c>
      <c r="C63" t="s">
        <v>914</v>
      </c>
      <c r="D63" t="s">
        <v>1352</v>
      </c>
      <c r="E63" t="s">
        <v>1352</v>
      </c>
      <c r="F63" t="s">
        <v>1352</v>
      </c>
      <c r="G63" t="s">
        <v>1352</v>
      </c>
      <c r="H63" t="s">
        <v>1352</v>
      </c>
    </row>
    <row r="64" spans="1:8" x14ac:dyDescent="0.2">
      <c r="A64">
        <v>92505</v>
      </c>
      <c r="B64">
        <v>30</v>
      </c>
      <c r="C64" t="s">
        <v>914</v>
      </c>
      <c r="D64" t="s">
        <v>1353</v>
      </c>
      <c r="E64" t="s">
        <v>1353</v>
      </c>
      <c r="F64" t="s">
        <v>1353</v>
      </c>
      <c r="G64" t="s">
        <v>1353</v>
      </c>
      <c r="H64" t="s">
        <v>1353</v>
      </c>
    </row>
    <row r="65" spans="1:8" x14ac:dyDescent="0.2">
      <c r="A65">
        <v>92509</v>
      </c>
      <c r="B65">
        <v>30</v>
      </c>
      <c r="C65" t="s">
        <v>914</v>
      </c>
      <c r="D65" t="s">
        <v>1353</v>
      </c>
      <c r="E65" t="s">
        <v>1353</v>
      </c>
      <c r="F65" t="s">
        <v>1353</v>
      </c>
      <c r="G65" t="s">
        <v>1353</v>
      </c>
      <c r="H65" t="s">
        <v>1353</v>
      </c>
    </row>
    <row r="66" spans="1:8" x14ac:dyDescent="0.2">
      <c r="A66">
        <v>90042</v>
      </c>
      <c r="B66">
        <v>30</v>
      </c>
      <c r="C66" t="s">
        <v>914</v>
      </c>
      <c r="D66" t="s">
        <v>1353</v>
      </c>
      <c r="E66" t="s">
        <v>1353</v>
      </c>
      <c r="F66" t="s">
        <v>1353</v>
      </c>
      <c r="G66" t="s">
        <v>1353</v>
      </c>
      <c r="H66" t="s">
        <v>1353</v>
      </c>
    </row>
    <row r="67" spans="1:8" x14ac:dyDescent="0.2">
      <c r="A67">
        <v>92404</v>
      </c>
      <c r="B67">
        <v>30</v>
      </c>
      <c r="C67" t="s">
        <v>914</v>
      </c>
      <c r="D67" t="s">
        <v>1353</v>
      </c>
      <c r="E67" t="s">
        <v>1352</v>
      </c>
      <c r="F67" t="s">
        <v>1352</v>
      </c>
      <c r="G67" t="s">
        <v>1352</v>
      </c>
      <c r="H67" t="s">
        <v>1352</v>
      </c>
    </row>
    <row r="68" spans="1:8" x14ac:dyDescent="0.2">
      <c r="A68">
        <v>92867</v>
      </c>
      <c r="B68">
        <v>30</v>
      </c>
      <c r="C68" t="s">
        <v>914</v>
      </c>
      <c r="D68" t="s">
        <v>1353</v>
      </c>
      <c r="E68" t="s">
        <v>1353</v>
      </c>
      <c r="F68" t="s">
        <v>1353</v>
      </c>
      <c r="G68" t="s">
        <v>1353</v>
      </c>
      <c r="H68" t="s">
        <v>1353</v>
      </c>
    </row>
    <row r="69" spans="1:8" x14ac:dyDescent="0.2">
      <c r="A69">
        <v>91125</v>
      </c>
      <c r="B69">
        <v>30</v>
      </c>
      <c r="C69" t="s">
        <v>914</v>
      </c>
      <c r="D69" t="s">
        <v>1353</v>
      </c>
      <c r="E69" t="s">
        <v>1353</v>
      </c>
      <c r="F69" t="s">
        <v>1353</v>
      </c>
      <c r="G69" t="s">
        <v>1353</v>
      </c>
      <c r="H69" t="s">
        <v>1353</v>
      </c>
    </row>
    <row r="70" spans="1:8" x14ac:dyDescent="0.2">
      <c r="A70">
        <v>92507</v>
      </c>
      <c r="B70">
        <v>30</v>
      </c>
      <c r="C70" t="s">
        <v>914</v>
      </c>
      <c r="D70" t="s">
        <v>1353</v>
      </c>
      <c r="E70" t="s">
        <v>1353</v>
      </c>
      <c r="F70" t="s">
        <v>1353</v>
      </c>
      <c r="G70" t="s">
        <v>1353</v>
      </c>
      <c r="H70" t="s">
        <v>1353</v>
      </c>
    </row>
    <row r="71" spans="1:8" x14ac:dyDescent="0.2">
      <c r="A71">
        <v>92557</v>
      </c>
      <c r="B71">
        <v>30</v>
      </c>
      <c r="C71" t="s">
        <v>914</v>
      </c>
      <c r="D71" t="s">
        <v>1353</v>
      </c>
      <c r="E71" t="s">
        <v>1353</v>
      </c>
      <c r="F71" t="s">
        <v>1353</v>
      </c>
      <c r="G71" t="s">
        <v>1353</v>
      </c>
      <c r="H71" t="s">
        <v>1353</v>
      </c>
    </row>
    <row r="72" spans="1:8" x14ac:dyDescent="0.2">
      <c r="A72">
        <v>91101</v>
      </c>
      <c r="B72">
        <v>30</v>
      </c>
      <c r="C72" t="s">
        <v>1390</v>
      </c>
      <c r="D72" t="s">
        <v>1353</v>
      </c>
      <c r="E72" t="s">
        <v>1353</v>
      </c>
      <c r="F72" t="s">
        <v>1353</v>
      </c>
      <c r="G72" t="s">
        <v>1353</v>
      </c>
      <c r="H72" t="s">
        <v>1353</v>
      </c>
    </row>
    <row r="73" spans="1:8" x14ac:dyDescent="0.2">
      <c r="A73">
        <v>92407</v>
      </c>
      <c r="B73">
        <v>30</v>
      </c>
      <c r="C73" t="s">
        <v>1390</v>
      </c>
      <c r="D73" t="s">
        <v>202</v>
      </c>
      <c r="E73" t="s">
        <v>202</v>
      </c>
      <c r="F73" t="s">
        <v>202</v>
      </c>
      <c r="G73" t="s">
        <v>202</v>
      </c>
      <c r="H73" t="s">
        <v>202</v>
      </c>
    </row>
    <row r="74" spans="1:8" x14ac:dyDescent="0.2">
      <c r="A74">
        <v>91103</v>
      </c>
      <c r="B74">
        <v>29</v>
      </c>
      <c r="C74" t="s">
        <v>914</v>
      </c>
      <c r="D74" t="s">
        <v>1353</v>
      </c>
      <c r="E74" t="s">
        <v>1353</v>
      </c>
      <c r="F74" t="s">
        <v>1353</v>
      </c>
      <c r="G74" t="s">
        <v>1353</v>
      </c>
      <c r="H74" t="s">
        <v>1353</v>
      </c>
    </row>
    <row r="75" spans="1:8" x14ac:dyDescent="0.2">
      <c r="A75" t="s">
        <v>1419</v>
      </c>
      <c r="B75">
        <v>29</v>
      </c>
      <c r="C75" t="s">
        <v>1390</v>
      </c>
      <c r="D75" t="s">
        <v>202</v>
      </c>
      <c r="E75" t="s">
        <v>202</v>
      </c>
      <c r="F75" t="s">
        <v>202</v>
      </c>
      <c r="G75" t="s">
        <v>202</v>
      </c>
      <c r="H75" t="s">
        <v>1353</v>
      </c>
    </row>
    <row r="76" spans="1:8" x14ac:dyDescent="0.2">
      <c r="A76">
        <v>92410</v>
      </c>
      <c r="B76">
        <v>28</v>
      </c>
      <c r="C76" t="s">
        <v>914</v>
      </c>
      <c r="D76" t="s">
        <v>1355</v>
      </c>
      <c r="E76" t="s">
        <v>1355</v>
      </c>
      <c r="F76" t="s">
        <v>1355</v>
      </c>
      <c r="G76" t="s">
        <v>1355</v>
      </c>
      <c r="H76" t="s">
        <v>1355</v>
      </c>
    </row>
    <row r="77" spans="1:8" x14ac:dyDescent="0.2">
      <c r="A77">
        <v>92376</v>
      </c>
      <c r="B77">
        <v>28</v>
      </c>
      <c r="C77" t="s">
        <v>914</v>
      </c>
      <c r="D77" t="s">
        <v>1367</v>
      </c>
      <c r="E77" t="s">
        <v>1367</v>
      </c>
      <c r="F77" t="s">
        <v>1367</v>
      </c>
      <c r="G77" t="s">
        <v>1367</v>
      </c>
      <c r="H77" t="s">
        <v>1367</v>
      </c>
    </row>
    <row r="78" spans="1:8" x14ac:dyDescent="0.2">
      <c r="A78" t="s">
        <v>1420</v>
      </c>
      <c r="B78">
        <v>28</v>
      </c>
      <c r="C78" t="s">
        <v>914</v>
      </c>
      <c r="D78" t="s">
        <v>1353</v>
      </c>
      <c r="E78" t="s">
        <v>1353</v>
      </c>
      <c r="F78" t="s">
        <v>1353</v>
      </c>
      <c r="G78" t="s">
        <v>1353</v>
      </c>
      <c r="H78" t="s">
        <v>1353</v>
      </c>
    </row>
    <row r="79" spans="1:8" x14ac:dyDescent="0.2">
      <c r="A79">
        <v>91001</v>
      </c>
      <c r="B79">
        <v>28</v>
      </c>
      <c r="C79" t="s">
        <v>914</v>
      </c>
      <c r="D79" t="s">
        <v>1353</v>
      </c>
      <c r="E79" t="s">
        <v>1353</v>
      </c>
      <c r="F79" t="s">
        <v>1353</v>
      </c>
      <c r="G79" t="s">
        <v>1353</v>
      </c>
      <c r="H79" t="s">
        <v>1353</v>
      </c>
    </row>
    <row r="80" spans="1:8" x14ac:dyDescent="0.2">
      <c r="A80">
        <v>90601</v>
      </c>
      <c r="B80">
        <v>28</v>
      </c>
      <c r="C80" t="s">
        <v>914</v>
      </c>
      <c r="D80" t="s">
        <v>1353</v>
      </c>
      <c r="E80" t="s">
        <v>1353</v>
      </c>
      <c r="F80" t="s">
        <v>1353</v>
      </c>
      <c r="G80" t="s">
        <v>1353</v>
      </c>
      <c r="H80" t="s">
        <v>1353</v>
      </c>
    </row>
    <row r="81" spans="1:8" x14ac:dyDescent="0.2">
      <c r="A81">
        <v>91001</v>
      </c>
      <c r="B81">
        <v>28</v>
      </c>
      <c r="C81" t="s">
        <v>914</v>
      </c>
      <c r="D81" t="s">
        <v>1353</v>
      </c>
      <c r="E81" t="s">
        <v>1353</v>
      </c>
      <c r="F81" t="s">
        <v>1353</v>
      </c>
      <c r="G81" t="s">
        <v>1353</v>
      </c>
      <c r="H81" t="s">
        <v>1353</v>
      </c>
    </row>
    <row r="82" spans="1:8" x14ac:dyDescent="0.2">
      <c r="A82">
        <v>91101</v>
      </c>
      <c r="B82">
        <v>27.3</v>
      </c>
      <c r="C82" t="s">
        <v>914</v>
      </c>
      <c r="D82" t="s">
        <v>1353</v>
      </c>
      <c r="E82" t="s">
        <v>1353</v>
      </c>
      <c r="F82" t="s">
        <v>1353</v>
      </c>
      <c r="G82" t="s">
        <v>1353</v>
      </c>
      <c r="H82" t="s">
        <v>191</v>
      </c>
    </row>
    <row r="83" spans="1:8" x14ac:dyDescent="0.2">
      <c r="A83">
        <v>91107</v>
      </c>
      <c r="B83">
        <v>27</v>
      </c>
      <c r="C83" t="s">
        <v>914</v>
      </c>
      <c r="D83" t="s">
        <v>1353</v>
      </c>
      <c r="E83" t="s">
        <v>1353</v>
      </c>
      <c r="F83" t="s">
        <v>1353</v>
      </c>
      <c r="G83" t="s">
        <v>1353</v>
      </c>
      <c r="H83" t="s">
        <v>1353</v>
      </c>
    </row>
    <row r="84" spans="1:8" x14ac:dyDescent="0.2">
      <c r="A84">
        <v>91001</v>
      </c>
      <c r="B84">
        <v>27</v>
      </c>
      <c r="C84" t="s">
        <v>914</v>
      </c>
      <c r="D84" t="s">
        <v>1353</v>
      </c>
      <c r="E84" t="s">
        <v>1353</v>
      </c>
      <c r="F84" t="s">
        <v>1353</v>
      </c>
      <c r="G84" t="s">
        <v>1353</v>
      </c>
      <c r="H84" t="s">
        <v>1353</v>
      </c>
    </row>
    <row r="85" spans="1:8" x14ac:dyDescent="0.2">
      <c r="A85">
        <v>92407</v>
      </c>
      <c r="B85">
        <v>27</v>
      </c>
      <c r="C85" t="s">
        <v>914</v>
      </c>
      <c r="D85" t="s">
        <v>1353</v>
      </c>
      <c r="E85" t="s">
        <v>1353</v>
      </c>
      <c r="F85" t="s">
        <v>1353</v>
      </c>
      <c r="G85" t="s">
        <v>1353</v>
      </c>
      <c r="H85" t="s">
        <v>1353</v>
      </c>
    </row>
    <row r="86" spans="1:8" x14ac:dyDescent="0.2">
      <c r="A86">
        <v>92405</v>
      </c>
      <c r="B86">
        <v>27</v>
      </c>
      <c r="C86" t="s">
        <v>914</v>
      </c>
      <c r="D86" t="s">
        <v>1353</v>
      </c>
      <c r="E86" t="s">
        <v>1353</v>
      </c>
      <c r="F86" t="s">
        <v>1353</v>
      </c>
      <c r="G86" t="s">
        <v>1353</v>
      </c>
      <c r="H86" t="s">
        <v>1353</v>
      </c>
    </row>
    <row r="87" spans="1:8" x14ac:dyDescent="0.2">
      <c r="A87" t="s">
        <v>1421</v>
      </c>
      <c r="B87">
        <v>27</v>
      </c>
      <c r="C87" t="s">
        <v>914</v>
      </c>
      <c r="D87" t="s">
        <v>1352</v>
      </c>
      <c r="E87" t="s">
        <v>1352</v>
      </c>
      <c r="F87" t="s">
        <v>1352</v>
      </c>
      <c r="G87" t="s">
        <v>1352</v>
      </c>
      <c r="H87" t="s">
        <v>1352</v>
      </c>
    </row>
    <row r="88" spans="1:8" x14ac:dyDescent="0.2">
      <c r="A88">
        <v>92504</v>
      </c>
      <c r="B88">
        <v>27</v>
      </c>
      <c r="C88" t="s">
        <v>914</v>
      </c>
      <c r="D88" t="s">
        <v>1353</v>
      </c>
      <c r="E88" t="s">
        <v>1353</v>
      </c>
      <c r="F88" t="s">
        <v>1353</v>
      </c>
      <c r="G88" t="s">
        <v>1353</v>
      </c>
      <c r="H88" t="s">
        <v>1353</v>
      </c>
    </row>
    <row r="89" spans="1:8" x14ac:dyDescent="0.2">
      <c r="A89">
        <v>91104</v>
      </c>
      <c r="B89">
        <v>27</v>
      </c>
      <c r="C89" t="s">
        <v>914</v>
      </c>
      <c r="D89" t="s">
        <v>1353</v>
      </c>
      <c r="E89" t="s">
        <v>1353</v>
      </c>
      <c r="F89" t="s">
        <v>1352</v>
      </c>
      <c r="G89" t="s">
        <v>1353</v>
      </c>
      <c r="H89" t="s">
        <v>1353</v>
      </c>
    </row>
    <row r="90" spans="1:8" x14ac:dyDescent="0.2">
      <c r="A90">
        <v>92868</v>
      </c>
      <c r="B90">
        <v>27</v>
      </c>
      <c r="C90" t="s">
        <v>914</v>
      </c>
      <c r="D90" t="s">
        <v>1353</v>
      </c>
      <c r="E90" t="s">
        <v>1353</v>
      </c>
      <c r="F90" t="s">
        <v>1353</v>
      </c>
      <c r="G90" t="s">
        <v>1353</v>
      </c>
      <c r="H90" t="s">
        <v>1353</v>
      </c>
    </row>
    <row r="91" spans="1:8" x14ac:dyDescent="0.2">
      <c r="A91">
        <v>91104</v>
      </c>
      <c r="B91">
        <v>27</v>
      </c>
      <c r="C91" t="s">
        <v>914</v>
      </c>
      <c r="D91" t="s">
        <v>191</v>
      </c>
      <c r="E91" t="s">
        <v>1353</v>
      </c>
      <c r="F91" t="s">
        <v>1353</v>
      </c>
      <c r="G91" t="s">
        <v>1353</v>
      </c>
      <c r="H91" t="s">
        <v>1353</v>
      </c>
    </row>
    <row r="92" spans="1:8" x14ac:dyDescent="0.2">
      <c r="A92">
        <v>92835</v>
      </c>
      <c r="B92">
        <v>26</v>
      </c>
      <c r="C92" t="s">
        <v>914</v>
      </c>
      <c r="D92" t="s">
        <v>195</v>
      </c>
      <c r="E92" t="s">
        <v>195</v>
      </c>
      <c r="F92" t="s">
        <v>195</v>
      </c>
      <c r="G92" t="s">
        <v>1353</v>
      </c>
      <c r="H92" t="s">
        <v>195</v>
      </c>
    </row>
    <row r="93" spans="1:8" x14ac:dyDescent="0.2">
      <c r="A93">
        <v>91791</v>
      </c>
      <c r="B93">
        <v>26</v>
      </c>
      <c r="C93" t="s">
        <v>914</v>
      </c>
      <c r="D93" t="s">
        <v>1353</v>
      </c>
      <c r="E93" t="s">
        <v>1353</v>
      </c>
      <c r="F93" t="s">
        <v>1353</v>
      </c>
      <c r="G93" t="s">
        <v>1353</v>
      </c>
      <c r="H93" t="s">
        <v>1353</v>
      </c>
    </row>
    <row r="94" spans="1:8" x14ac:dyDescent="0.2">
      <c r="A94">
        <v>91107</v>
      </c>
      <c r="B94">
        <v>26</v>
      </c>
      <c r="C94" t="s">
        <v>914</v>
      </c>
      <c r="D94" t="s">
        <v>1353</v>
      </c>
      <c r="E94" t="s">
        <v>1353</v>
      </c>
      <c r="F94" t="s">
        <v>1353</v>
      </c>
      <c r="G94" t="s">
        <v>1353</v>
      </c>
      <c r="H94" t="s">
        <v>1353</v>
      </c>
    </row>
    <row r="95" spans="1:8" x14ac:dyDescent="0.2">
      <c r="A95">
        <v>90603</v>
      </c>
      <c r="B95">
        <v>26</v>
      </c>
      <c r="C95" t="s">
        <v>914</v>
      </c>
      <c r="D95" t="s">
        <v>1353</v>
      </c>
      <c r="E95" t="s">
        <v>1353</v>
      </c>
      <c r="F95" t="s">
        <v>1353</v>
      </c>
      <c r="G95" t="s">
        <v>1353</v>
      </c>
      <c r="H95" t="s">
        <v>1353</v>
      </c>
    </row>
    <row r="96" spans="1:8" x14ac:dyDescent="0.2">
      <c r="A96">
        <v>91001</v>
      </c>
      <c r="B96">
        <v>26</v>
      </c>
      <c r="C96" t="s">
        <v>914</v>
      </c>
      <c r="D96" t="s">
        <v>1353</v>
      </c>
      <c r="E96" t="s">
        <v>1353</v>
      </c>
      <c r="F96" t="s">
        <v>1353</v>
      </c>
      <c r="G96" t="s">
        <v>1353</v>
      </c>
      <c r="H96" t="s">
        <v>1353</v>
      </c>
    </row>
    <row r="97" spans="1:8" x14ac:dyDescent="0.2">
      <c r="A97">
        <v>91754</v>
      </c>
      <c r="B97">
        <v>26</v>
      </c>
      <c r="C97" t="s">
        <v>914</v>
      </c>
      <c r="D97" t="s">
        <v>1353</v>
      </c>
      <c r="E97" t="s">
        <v>1353</v>
      </c>
      <c r="F97" t="s">
        <v>1353</v>
      </c>
      <c r="G97" t="s">
        <v>1353</v>
      </c>
      <c r="H97" t="s">
        <v>1353</v>
      </c>
    </row>
    <row r="98" spans="1:8" x14ac:dyDescent="0.2">
      <c r="A98" t="s">
        <v>1397</v>
      </c>
      <c r="B98">
        <v>26</v>
      </c>
      <c r="C98" t="s">
        <v>914</v>
      </c>
      <c r="D98" t="s">
        <v>1353</v>
      </c>
      <c r="E98" t="s">
        <v>1353</v>
      </c>
      <c r="F98" t="s">
        <v>1353</v>
      </c>
      <c r="G98" t="s">
        <v>1353</v>
      </c>
      <c r="H98" t="s">
        <v>1353</v>
      </c>
    </row>
    <row r="99" spans="1:8" x14ac:dyDescent="0.2">
      <c r="A99">
        <v>91106</v>
      </c>
      <c r="B99">
        <v>26</v>
      </c>
      <c r="C99" t="s">
        <v>1390</v>
      </c>
      <c r="D99" t="s">
        <v>202</v>
      </c>
      <c r="E99" t="s">
        <v>202</v>
      </c>
      <c r="F99" t="s">
        <v>202</v>
      </c>
      <c r="G99" t="s">
        <v>202</v>
      </c>
      <c r="H99" t="s">
        <v>1353</v>
      </c>
    </row>
    <row r="100" spans="1:8" x14ac:dyDescent="0.2">
      <c r="A100">
        <v>91755</v>
      </c>
      <c r="B100">
        <v>26</v>
      </c>
      <c r="C100" t="s">
        <v>1390</v>
      </c>
      <c r="D100" t="s">
        <v>1353</v>
      </c>
      <c r="E100" t="s">
        <v>1353</v>
      </c>
      <c r="F100" t="s">
        <v>1353</v>
      </c>
      <c r="G100" t="s">
        <v>1353</v>
      </c>
      <c r="H100" t="s">
        <v>1353</v>
      </c>
    </row>
    <row r="101" spans="1:8" x14ac:dyDescent="0.2">
      <c r="A101">
        <v>92509</v>
      </c>
      <c r="B101">
        <v>25</v>
      </c>
      <c r="C101" t="s">
        <v>914</v>
      </c>
      <c r="D101" t="s">
        <v>1353</v>
      </c>
      <c r="E101" t="s">
        <v>1353</v>
      </c>
      <c r="F101" t="s">
        <v>1353</v>
      </c>
      <c r="G101" t="s">
        <v>1353</v>
      </c>
      <c r="H101" t="s">
        <v>1353</v>
      </c>
    </row>
    <row r="102" spans="1:8" x14ac:dyDescent="0.2">
      <c r="A102">
        <v>92377</v>
      </c>
      <c r="B102">
        <v>25</v>
      </c>
      <c r="C102" t="s">
        <v>914</v>
      </c>
      <c r="D102" t="s">
        <v>1367</v>
      </c>
      <c r="E102" t="s">
        <v>1367</v>
      </c>
      <c r="F102" t="s">
        <v>1367</v>
      </c>
      <c r="G102" t="s">
        <v>1367</v>
      </c>
      <c r="H102" t="s">
        <v>1367</v>
      </c>
    </row>
    <row r="103" spans="1:8" x14ac:dyDescent="0.2">
      <c r="A103">
        <v>90602</v>
      </c>
      <c r="B103">
        <v>25</v>
      </c>
      <c r="C103" t="s">
        <v>914</v>
      </c>
      <c r="D103" t="s">
        <v>1353</v>
      </c>
      <c r="E103" t="s">
        <v>1353</v>
      </c>
      <c r="F103" t="s">
        <v>1353</v>
      </c>
      <c r="G103" t="s">
        <v>1353</v>
      </c>
      <c r="H103" t="s">
        <v>1353</v>
      </c>
    </row>
    <row r="104" spans="1:8" x14ac:dyDescent="0.2">
      <c r="A104">
        <v>91744</v>
      </c>
      <c r="B104">
        <v>25</v>
      </c>
      <c r="C104" t="s">
        <v>914</v>
      </c>
      <c r="D104" t="s">
        <v>1353</v>
      </c>
      <c r="E104" t="s">
        <v>1353</v>
      </c>
      <c r="F104" t="s">
        <v>1353</v>
      </c>
      <c r="G104" t="s">
        <v>1353</v>
      </c>
      <c r="H104" t="s">
        <v>1353</v>
      </c>
    </row>
    <row r="105" spans="1:8" x14ac:dyDescent="0.2">
      <c r="A105">
        <v>92879</v>
      </c>
      <c r="B105">
        <v>25</v>
      </c>
      <c r="C105" t="s">
        <v>914</v>
      </c>
      <c r="D105" t="s">
        <v>1358</v>
      </c>
      <c r="E105" t="s">
        <v>1358</v>
      </c>
      <c r="F105" t="s">
        <v>1358</v>
      </c>
      <c r="G105" t="s">
        <v>1358</v>
      </c>
      <c r="H105" t="s">
        <v>1358</v>
      </c>
    </row>
    <row r="106" spans="1:8" x14ac:dyDescent="0.2">
      <c r="A106">
        <v>91761</v>
      </c>
      <c r="B106">
        <v>25</v>
      </c>
      <c r="C106" t="s">
        <v>914</v>
      </c>
      <c r="D106" t="s">
        <v>1353</v>
      </c>
      <c r="E106" t="s">
        <v>1353</v>
      </c>
      <c r="F106" t="s">
        <v>1353</v>
      </c>
      <c r="G106" t="s">
        <v>1353</v>
      </c>
      <c r="H106" t="s">
        <v>1353</v>
      </c>
    </row>
    <row r="107" spans="1:8" x14ac:dyDescent="0.2">
      <c r="A107" t="s">
        <v>1421</v>
      </c>
      <c r="B107">
        <v>25</v>
      </c>
      <c r="C107" t="s">
        <v>914</v>
      </c>
      <c r="D107" t="s">
        <v>1353</v>
      </c>
      <c r="E107" t="s">
        <v>1353</v>
      </c>
      <c r="F107" t="s">
        <v>1353</v>
      </c>
      <c r="G107" t="s">
        <v>1353</v>
      </c>
      <c r="H107" t="s">
        <v>191</v>
      </c>
    </row>
    <row r="108" spans="1:8" x14ac:dyDescent="0.2">
      <c r="A108">
        <v>91101</v>
      </c>
      <c r="B108">
        <v>25</v>
      </c>
      <c r="C108" t="s">
        <v>914</v>
      </c>
      <c r="D108" t="s">
        <v>1353</v>
      </c>
      <c r="E108" t="s">
        <v>1353</v>
      </c>
      <c r="F108" t="s">
        <v>1353</v>
      </c>
      <c r="G108" t="s">
        <v>1353</v>
      </c>
      <c r="H108" t="s">
        <v>1353</v>
      </c>
    </row>
    <row r="109" spans="1:8" x14ac:dyDescent="0.2">
      <c r="A109">
        <v>92337</v>
      </c>
      <c r="B109">
        <v>25</v>
      </c>
      <c r="C109" t="s">
        <v>1390</v>
      </c>
      <c r="D109" t="s">
        <v>1352</v>
      </c>
      <c r="E109" t="s">
        <v>1353</v>
      </c>
      <c r="F109" t="s">
        <v>1352</v>
      </c>
      <c r="G109" t="s">
        <v>1353</v>
      </c>
      <c r="H109" t="s">
        <v>1352</v>
      </c>
    </row>
    <row r="110" spans="1:8" x14ac:dyDescent="0.2">
      <c r="A110">
        <v>90650</v>
      </c>
      <c r="B110">
        <v>24</v>
      </c>
      <c r="C110" t="s">
        <v>914</v>
      </c>
      <c r="D110" t="s">
        <v>1352</v>
      </c>
      <c r="E110" t="s">
        <v>1352</v>
      </c>
      <c r="F110" t="s">
        <v>1352</v>
      </c>
      <c r="G110" t="s">
        <v>1352</v>
      </c>
      <c r="H110" t="s">
        <v>1352</v>
      </c>
    </row>
    <row r="111" spans="1:8" x14ac:dyDescent="0.2">
      <c r="A111">
        <v>95376</v>
      </c>
      <c r="B111">
        <v>24</v>
      </c>
      <c r="C111" t="s">
        <v>914</v>
      </c>
      <c r="D111" t="s">
        <v>1352</v>
      </c>
      <c r="E111" t="s">
        <v>1353</v>
      </c>
      <c r="F111" t="s">
        <v>1353</v>
      </c>
      <c r="G111" t="s">
        <v>1353</v>
      </c>
      <c r="H111" t="s">
        <v>1353</v>
      </c>
    </row>
    <row r="112" spans="1:8" x14ac:dyDescent="0.2">
      <c r="A112">
        <v>91024</v>
      </c>
      <c r="B112">
        <v>24</v>
      </c>
      <c r="C112" t="s">
        <v>914</v>
      </c>
      <c r="D112" t="s">
        <v>1352</v>
      </c>
      <c r="E112" t="s">
        <v>1352</v>
      </c>
      <c r="F112" t="s">
        <v>1352</v>
      </c>
      <c r="G112" t="s">
        <v>1352</v>
      </c>
      <c r="H112" t="s">
        <v>1352</v>
      </c>
    </row>
    <row r="113" spans="1:8" x14ac:dyDescent="0.2">
      <c r="A113">
        <v>92376</v>
      </c>
      <c r="B113">
        <v>24</v>
      </c>
      <c r="C113" t="s">
        <v>914</v>
      </c>
      <c r="D113" t="s">
        <v>1367</v>
      </c>
      <c r="E113" t="s">
        <v>1367</v>
      </c>
      <c r="F113" t="s">
        <v>1367</v>
      </c>
      <c r="G113" t="s">
        <v>1367</v>
      </c>
      <c r="H113" t="s">
        <v>1367</v>
      </c>
    </row>
    <row r="114" spans="1:8" x14ac:dyDescent="0.2">
      <c r="A114">
        <v>92553</v>
      </c>
      <c r="B114">
        <v>23</v>
      </c>
      <c r="C114" t="s">
        <v>914</v>
      </c>
      <c r="D114" t="s">
        <v>1353</v>
      </c>
      <c r="E114" t="s">
        <v>1353</v>
      </c>
      <c r="F114" t="s">
        <v>1352</v>
      </c>
      <c r="G114" t="s">
        <v>1353</v>
      </c>
      <c r="H114" t="s">
        <v>1353</v>
      </c>
    </row>
    <row r="115" spans="1:8" x14ac:dyDescent="0.2">
      <c r="A115">
        <v>92886</v>
      </c>
      <c r="B115">
        <v>23</v>
      </c>
      <c r="C115" t="s">
        <v>914</v>
      </c>
      <c r="D115" t="s">
        <v>1353</v>
      </c>
      <c r="E115" t="s">
        <v>1353</v>
      </c>
      <c r="F115" t="s">
        <v>1353</v>
      </c>
      <c r="G115" t="s">
        <v>1353</v>
      </c>
      <c r="H115" t="s">
        <v>1353</v>
      </c>
    </row>
    <row r="116" spans="1:8" x14ac:dyDescent="0.2">
      <c r="A116">
        <v>92377</v>
      </c>
      <c r="B116">
        <v>23</v>
      </c>
      <c r="C116" t="s">
        <v>914</v>
      </c>
      <c r="D116" t="s">
        <v>1355</v>
      </c>
      <c r="E116" t="s">
        <v>1355</v>
      </c>
      <c r="F116" t="s">
        <v>1355</v>
      </c>
      <c r="G116" t="s">
        <v>1355</v>
      </c>
      <c r="H116" t="s">
        <v>1355</v>
      </c>
    </row>
    <row r="117" spans="1:8" x14ac:dyDescent="0.2">
      <c r="A117">
        <v>92880</v>
      </c>
      <c r="B117">
        <v>23</v>
      </c>
      <c r="C117" t="s">
        <v>914</v>
      </c>
      <c r="D117" t="s">
        <v>1353</v>
      </c>
      <c r="E117" t="s">
        <v>1353</v>
      </c>
      <c r="F117" t="s">
        <v>1353</v>
      </c>
      <c r="G117" t="s">
        <v>1353</v>
      </c>
      <c r="H117" t="s">
        <v>1353</v>
      </c>
    </row>
    <row r="118" spans="1:8" x14ac:dyDescent="0.2">
      <c r="A118">
        <v>92501</v>
      </c>
      <c r="B118">
        <v>23</v>
      </c>
      <c r="C118" t="s">
        <v>914</v>
      </c>
      <c r="D118" t="s">
        <v>1353</v>
      </c>
      <c r="E118" t="s">
        <v>1353</v>
      </c>
      <c r="F118" t="s">
        <v>1353</v>
      </c>
      <c r="G118" t="s">
        <v>1353</v>
      </c>
      <c r="H118" t="s">
        <v>1353</v>
      </c>
    </row>
    <row r="119" spans="1:8" x14ac:dyDescent="0.2">
      <c r="A119">
        <v>92376</v>
      </c>
      <c r="B119">
        <v>22</v>
      </c>
      <c r="C119" t="s">
        <v>914</v>
      </c>
      <c r="D119" t="s">
        <v>1353</v>
      </c>
      <c r="E119" t="s">
        <v>1353</v>
      </c>
      <c r="F119" t="s">
        <v>1353</v>
      </c>
      <c r="G119" t="s">
        <v>1353</v>
      </c>
      <c r="H119" t="s">
        <v>1353</v>
      </c>
    </row>
    <row r="120" spans="1:8" x14ac:dyDescent="0.2">
      <c r="A120">
        <v>92376</v>
      </c>
      <c r="B120">
        <v>22</v>
      </c>
      <c r="C120" t="s">
        <v>914</v>
      </c>
      <c r="D120" t="s">
        <v>1353</v>
      </c>
      <c r="E120" t="s">
        <v>1353</v>
      </c>
      <c r="F120" t="s">
        <v>1353</v>
      </c>
      <c r="G120" t="s">
        <v>1353</v>
      </c>
      <c r="H120" t="s">
        <v>1353</v>
      </c>
    </row>
    <row r="121" spans="1:8" x14ac:dyDescent="0.2">
      <c r="A121">
        <v>91007</v>
      </c>
      <c r="B121">
        <v>22</v>
      </c>
      <c r="C121" t="s">
        <v>914</v>
      </c>
      <c r="D121" t="s">
        <v>1353</v>
      </c>
      <c r="E121" t="s">
        <v>1353</v>
      </c>
      <c r="F121" t="s">
        <v>1353</v>
      </c>
      <c r="G121" t="s">
        <v>1353</v>
      </c>
      <c r="H121" t="s">
        <v>1353</v>
      </c>
    </row>
    <row r="122" spans="1:8" x14ac:dyDescent="0.2">
      <c r="A122" t="s">
        <v>1422</v>
      </c>
      <c r="B122">
        <v>22</v>
      </c>
      <c r="C122" t="s">
        <v>914</v>
      </c>
      <c r="D122" t="s">
        <v>202</v>
      </c>
      <c r="E122" t="s">
        <v>202</v>
      </c>
      <c r="F122" t="s">
        <v>202</v>
      </c>
      <c r="G122" t="s">
        <v>202</v>
      </c>
      <c r="H122" t="s">
        <v>1353</v>
      </c>
    </row>
    <row r="123" spans="1:8" x14ac:dyDescent="0.2">
      <c r="A123">
        <v>91702</v>
      </c>
      <c r="B123">
        <v>21</v>
      </c>
      <c r="C123" t="s">
        <v>914</v>
      </c>
      <c r="D123" t="s">
        <v>1353</v>
      </c>
      <c r="E123" t="s">
        <v>1353</v>
      </c>
      <c r="F123" t="s">
        <v>1353</v>
      </c>
      <c r="G123" t="s">
        <v>1353</v>
      </c>
      <c r="H123" t="s">
        <v>1353</v>
      </c>
    </row>
    <row r="124" spans="1:8" x14ac:dyDescent="0.2">
      <c r="A124">
        <v>92835</v>
      </c>
      <c r="B124">
        <v>21</v>
      </c>
      <c r="C124" t="s">
        <v>914</v>
      </c>
      <c r="D124" t="s">
        <v>1353</v>
      </c>
      <c r="E124" t="s">
        <v>1353</v>
      </c>
      <c r="F124" t="s">
        <v>1353</v>
      </c>
      <c r="G124" t="s">
        <v>1353</v>
      </c>
      <c r="H124" t="s">
        <v>1353</v>
      </c>
    </row>
    <row r="125" spans="1:8" x14ac:dyDescent="0.2">
      <c r="A125">
        <v>92336</v>
      </c>
      <c r="B125">
        <v>21</v>
      </c>
      <c r="C125" t="s">
        <v>914</v>
      </c>
      <c r="D125" t="s">
        <v>1353</v>
      </c>
      <c r="E125" t="s">
        <v>1353</v>
      </c>
      <c r="F125" t="s">
        <v>1353</v>
      </c>
      <c r="G125" t="s">
        <v>1353</v>
      </c>
      <c r="H125" t="s">
        <v>1353</v>
      </c>
    </row>
    <row r="126" spans="1:8" x14ac:dyDescent="0.2">
      <c r="A126">
        <v>92880</v>
      </c>
      <c r="B126">
        <v>21</v>
      </c>
      <c r="C126" t="s">
        <v>914</v>
      </c>
      <c r="D126" t="s">
        <v>1353</v>
      </c>
      <c r="E126" t="s">
        <v>1353</v>
      </c>
      <c r="F126" t="s">
        <v>1353</v>
      </c>
      <c r="G126" t="s">
        <v>1353</v>
      </c>
      <c r="H126" t="s">
        <v>1353</v>
      </c>
    </row>
    <row r="127" spans="1:8" x14ac:dyDescent="0.2">
      <c r="A127">
        <v>91730</v>
      </c>
      <c r="B127">
        <v>21</v>
      </c>
      <c r="C127" t="s">
        <v>1390</v>
      </c>
      <c r="D127" t="s">
        <v>1353</v>
      </c>
      <c r="E127" t="s">
        <v>1353</v>
      </c>
      <c r="F127" t="s">
        <v>1353</v>
      </c>
      <c r="G127" t="s">
        <v>1353</v>
      </c>
      <c r="H127" t="s">
        <v>1353</v>
      </c>
    </row>
    <row r="128" spans="1:8" x14ac:dyDescent="0.2">
      <c r="A128">
        <v>91105</v>
      </c>
      <c r="B128">
        <v>20</v>
      </c>
      <c r="C128" t="s">
        <v>914</v>
      </c>
      <c r="D128" t="s">
        <v>1353</v>
      </c>
      <c r="E128" t="s">
        <v>1353</v>
      </c>
      <c r="F128" t="s">
        <v>1353</v>
      </c>
      <c r="G128" t="s">
        <v>1353</v>
      </c>
      <c r="H128" t="s">
        <v>1353</v>
      </c>
    </row>
    <row r="129" spans="1:8" x14ac:dyDescent="0.2">
      <c r="A129">
        <v>92407</v>
      </c>
      <c r="B129">
        <v>20</v>
      </c>
      <c r="C129" t="s">
        <v>914</v>
      </c>
      <c r="D129" t="s">
        <v>1353</v>
      </c>
      <c r="E129" t="s">
        <v>1353</v>
      </c>
      <c r="F129" t="s">
        <v>1353</v>
      </c>
      <c r="G129" t="s">
        <v>199</v>
      </c>
      <c r="H129" t="s">
        <v>1353</v>
      </c>
    </row>
    <row r="130" spans="1:8" x14ac:dyDescent="0.2">
      <c r="A130">
        <v>92377</v>
      </c>
      <c r="B130">
        <v>20</v>
      </c>
      <c r="C130" t="s">
        <v>914</v>
      </c>
      <c r="D130" t="s">
        <v>1353</v>
      </c>
      <c r="E130" t="s">
        <v>1353</v>
      </c>
      <c r="F130" t="s">
        <v>1353</v>
      </c>
      <c r="G130" t="s">
        <v>1353</v>
      </c>
      <c r="H130" t="s">
        <v>202</v>
      </c>
    </row>
    <row r="131" spans="1:8" x14ac:dyDescent="0.2">
      <c r="A131">
        <v>91104</v>
      </c>
      <c r="B131">
        <v>20</v>
      </c>
      <c r="C131" t="s">
        <v>914</v>
      </c>
      <c r="D131" t="s">
        <v>1353</v>
      </c>
      <c r="E131" t="s">
        <v>1353</v>
      </c>
      <c r="F131" t="s">
        <v>1353</v>
      </c>
      <c r="G131" t="s">
        <v>1353</v>
      </c>
      <c r="H131" t="s">
        <v>1353</v>
      </c>
    </row>
    <row r="132" spans="1:8" x14ac:dyDescent="0.2">
      <c r="A132">
        <v>92336</v>
      </c>
      <c r="B132">
        <v>20</v>
      </c>
      <c r="C132" t="s">
        <v>914</v>
      </c>
      <c r="D132" t="s">
        <v>1353</v>
      </c>
      <c r="E132" t="s">
        <v>1353</v>
      </c>
      <c r="F132" t="s">
        <v>1353</v>
      </c>
      <c r="G132" t="s">
        <v>1353</v>
      </c>
      <c r="H132" t="s">
        <v>1353</v>
      </c>
    </row>
    <row r="133" spans="1:8" x14ac:dyDescent="0.2">
      <c r="A133">
        <v>91761</v>
      </c>
      <c r="B133">
        <v>20</v>
      </c>
      <c r="C133" t="s">
        <v>914</v>
      </c>
      <c r="D133" t="s">
        <v>1353</v>
      </c>
      <c r="E133" t="s">
        <v>1353</v>
      </c>
      <c r="F133" t="s">
        <v>1353</v>
      </c>
      <c r="G133" t="s">
        <v>1353</v>
      </c>
      <c r="H133" t="s">
        <v>1353</v>
      </c>
    </row>
    <row r="134" spans="1:8" x14ac:dyDescent="0.2">
      <c r="A134">
        <v>91766</v>
      </c>
      <c r="B134">
        <v>20</v>
      </c>
      <c r="C134" t="s">
        <v>914</v>
      </c>
      <c r="D134" t="s">
        <v>1353</v>
      </c>
      <c r="E134" t="s">
        <v>1353</v>
      </c>
      <c r="F134" t="s">
        <v>1353</v>
      </c>
      <c r="G134" t="s">
        <v>1353</v>
      </c>
      <c r="H134" t="s">
        <v>1353</v>
      </c>
    </row>
    <row r="135" spans="1:8" x14ac:dyDescent="0.2">
      <c r="A135">
        <v>92336</v>
      </c>
      <c r="B135">
        <v>20</v>
      </c>
      <c r="C135" t="s">
        <v>914</v>
      </c>
      <c r="D135" t="s">
        <v>1352</v>
      </c>
      <c r="E135" t="s">
        <v>1353</v>
      </c>
      <c r="F135" t="s">
        <v>1353</v>
      </c>
      <c r="G135" t="s">
        <v>1352</v>
      </c>
      <c r="H135" t="s">
        <v>1352</v>
      </c>
    </row>
    <row r="136" spans="1:8" x14ac:dyDescent="0.2">
      <c r="A136">
        <v>92374</v>
      </c>
      <c r="B136">
        <v>20</v>
      </c>
      <c r="C136" t="s">
        <v>914</v>
      </c>
      <c r="D136" t="s">
        <v>202</v>
      </c>
      <c r="E136" t="s">
        <v>1353</v>
      </c>
      <c r="F136" t="s">
        <v>1353</v>
      </c>
      <c r="G136" t="s">
        <v>1353</v>
      </c>
      <c r="H136" t="s">
        <v>1353</v>
      </c>
    </row>
    <row r="137" spans="1:8" x14ac:dyDescent="0.2">
      <c r="A137">
        <v>92316</v>
      </c>
      <c r="B137">
        <v>20</v>
      </c>
      <c r="C137" t="s">
        <v>914</v>
      </c>
      <c r="D137" t="s">
        <v>1367</v>
      </c>
      <c r="E137" t="s">
        <v>1367</v>
      </c>
      <c r="F137" t="s">
        <v>1367</v>
      </c>
      <c r="G137" t="s">
        <v>1367</v>
      </c>
      <c r="H137" t="s">
        <v>1367</v>
      </c>
    </row>
    <row r="138" spans="1:8" x14ac:dyDescent="0.2">
      <c r="A138">
        <v>91730</v>
      </c>
      <c r="B138">
        <v>20</v>
      </c>
      <c r="C138" t="s">
        <v>914</v>
      </c>
      <c r="D138" t="s">
        <v>1353</v>
      </c>
      <c r="E138" t="s">
        <v>1353</v>
      </c>
      <c r="F138" t="s">
        <v>1353</v>
      </c>
      <c r="G138" t="s">
        <v>1353</v>
      </c>
      <c r="H138" t="s">
        <v>1353</v>
      </c>
    </row>
    <row r="139" spans="1:8" x14ac:dyDescent="0.2">
      <c r="A139">
        <v>91762</v>
      </c>
      <c r="B139">
        <v>20</v>
      </c>
      <c r="C139" t="s">
        <v>914</v>
      </c>
      <c r="D139" t="s">
        <v>1365</v>
      </c>
      <c r="E139" t="s">
        <v>202</v>
      </c>
      <c r="F139" t="s">
        <v>202</v>
      </c>
      <c r="G139" t="s">
        <v>1353</v>
      </c>
      <c r="H139" t="s">
        <v>1353</v>
      </c>
    </row>
    <row r="140" spans="1:8" x14ac:dyDescent="0.2">
      <c r="A140">
        <v>92337</v>
      </c>
      <c r="B140">
        <v>20</v>
      </c>
      <c r="C140" t="s">
        <v>914</v>
      </c>
      <c r="D140" t="s">
        <v>1352</v>
      </c>
      <c r="E140" t="s">
        <v>1352</v>
      </c>
      <c r="F140" t="s">
        <v>1352</v>
      </c>
      <c r="G140" t="s">
        <v>1352</v>
      </c>
      <c r="H140" t="s">
        <v>1352</v>
      </c>
    </row>
    <row r="141" spans="1:8" x14ac:dyDescent="0.2">
      <c r="A141">
        <v>91730</v>
      </c>
      <c r="B141">
        <v>20</v>
      </c>
      <c r="C141" t="s">
        <v>914</v>
      </c>
      <c r="D141" t="s">
        <v>1353</v>
      </c>
      <c r="E141" t="s">
        <v>1353</v>
      </c>
      <c r="F141" t="s">
        <v>1353</v>
      </c>
      <c r="G141" t="s">
        <v>1353</v>
      </c>
      <c r="H141" t="s">
        <v>1353</v>
      </c>
    </row>
    <row r="142" spans="1:8" x14ac:dyDescent="0.2">
      <c r="A142">
        <v>92335</v>
      </c>
      <c r="B142">
        <v>20</v>
      </c>
      <c r="C142" t="s">
        <v>914</v>
      </c>
      <c r="D142" t="s">
        <v>1353</v>
      </c>
      <c r="E142" t="s">
        <v>1353</v>
      </c>
      <c r="F142" t="s">
        <v>1353</v>
      </c>
      <c r="G142" t="s">
        <v>1353</v>
      </c>
      <c r="H142" t="s">
        <v>1353</v>
      </c>
    </row>
    <row r="143" spans="1:8" x14ac:dyDescent="0.2">
      <c r="A143">
        <v>91748</v>
      </c>
      <c r="B143">
        <v>19</v>
      </c>
      <c r="C143" t="s">
        <v>914</v>
      </c>
      <c r="D143" t="s">
        <v>1353</v>
      </c>
      <c r="E143" t="s">
        <v>1353</v>
      </c>
      <c r="F143" t="s">
        <v>1353</v>
      </c>
      <c r="G143" t="s">
        <v>1353</v>
      </c>
      <c r="H143" t="s">
        <v>1353</v>
      </c>
    </row>
    <row r="144" spans="1:8" x14ac:dyDescent="0.2">
      <c r="A144">
        <v>92337</v>
      </c>
      <c r="B144">
        <v>19</v>
      </c>
      <c r="C144" t="s">
        <v>914</v>
      </c>
      <c r="D144" t="s">
        <v>1353</v>
      </c>
      <c r="E144" t="s">
        <v>1353</v>
      </c>
      <c r="F144" t="s">
        <v>1353</v>
      </c>
      <c r="G144" t="s">
        <v>1353</v>
      </c>
      <c r="H144" t="s">
        <v>1353</v>
      </c>
    </row>
    <row r="145" spans="1:8" x14ac:dyDescent="0.2">
      <c r="A145">
        <v>92337</v>
      </c>
      <c r="B145">
        <v>19</v>
      </c>
      <c r="C145" t="s">
        <v>914</v>
      </c>
      <c r="D145" t="s">
        <v>195</v>
      </c>
      <c r="E145" t="s">
        <v>1353</v>
      </c>
      <c r="F145" t="s">
        <v>1353</v>
      </c>
      <c r="G145" t="s">
        <v>1353</v>
      </c>
      <c r="H145" t="s">
        <v>191</v>
      </c>
    </row>
    <row r="146" spans="1:8" x14ac:dyDescent="0.2">
      <c r="A146">
        <v>91739</v>
      </c>
      <c r="B146">
        <v>19</v>
      </c>
      <c r="C146" t="s">
        <v>914</v>
      </c>
      <c r="D146" t="s">
        <v>1353</v>
      </c>
      <c r="E146" t="s">
        <v>1353</v>
      </c>
      <c r="F146" t="s">
        <v>1353</v>
      </c>
      <c r="G146" t="s">
        <v>1353</v>
      </c>
      <c r="H146" t="s">
        <v>1353</v>
      </c>
    </row>
    <row r="147" spans="1:8" x14ac:dyDescent="0.2">
      <c r="A147">
        <v>91739</v>
      </c>
      <c r="B147">
        <v>18.5</v>
      </c>
      <c r="C147" t="s">
        <v>914</v>
      </c>
      <c r="D147" t="s">
        <v>1353</v>
      </c>
      <c r="E147" t="s">
        <v>1353</v>
      </c>
      <c r="F147" t="s">
        <v>1353</v>
      </c>
      <c r="G147" t="s">
        <v>1353</v>
      </c>
      <c r="H147" t="s">
        <v>191</v>
      </c>
    </row>
    <row r="148" spans="1:8" x14ac:dyDescent="0.2">
      <c r="A148">
        <v>92335</v>
      </c>
      <c r="B148">
        <v>18.3</v>
      </c>
      <c r="C148" t="s">
        <v>914</v>
      </c>
      <c r="D148" t="s">
        <v>1353</v>
      </c>
      <c r="E148" t="s">
        <v>1353</v>
      </c>
      <c r="F148" t="s">
        <v>1353</v>
      </c>
      <c r="G148" t="s">
        <v>1353</v>
      </c>
      <c r="H148" t="s">
        <v>1353</v>
      </c>
    </row>
    <row r="149" spans="1:8" x14ac:dyDescent="0.2">
      <c r="A149">
        <v>92336</v>
      </c>
      <c r="B149">
        <v>18</v>
      </c>
      <c r="C149" t="s">
        <v>914</v>
      </c>
      <c r="D149" t="s">
        <v>1353</v>
      </c>
      <c r="E149" t="s">
        <v>1353</v>
      </c>
      <c r="F149" t="s">
        <v>1353</v>
      </c>
      <c r="G149" t="s">
        <v>1353</v>
      </c>
      <c r="H149" t="s">
        <v>1353</v>
      </c>
    </row>
    <row r="150" spans="1:8" x14ac:dyDescent="0.2">
      <c r="A150">
        <v>92335</v>
      </c>
      <c r="B150">
        <v>18</v>
      </c>
      <c r="C150" t="s">
        <v>914</v>
      </c>
      <c r="D150" t="s">
        <v>1353</v>
      </c>
      <c r="E150" t="s">
        <v>1353</v>
      </c>
      <c r="F150" t="s">
        <v>1353</v>
      </c>
      <c r="G150" t="s">
        <v>1353</v>
      </c>
      <c r="H150" t="s">
        <v>1353</v>
      </c>
    </row>
    <row r="151" spans="1:8" x14ac:dyDescent="0.2">
      <c r="A151">
        <v>92509</v>
      </c>
      <c r="B151">
        <v>18</v>
      </c>
      <c r="C151" t="s">
        <v>914</v>
      </c>
      <c r="D151" t="s">
        <v>1353</v>
      </c>
      <c r="E151" t="s">
        <v>1353</v>
      </c>
      <c r="F151" t="s">
        <v>1353</v>
      </c>
      <c r="G151" t="s">
        <v>1353</v>
      </c>
      <c r="H151" t="s">
        <v>1353</v>
      </c>
    </row>
    <row r="152" spans="1:8" x14ac:dyDescent="0.2">
      <c r="A152">
        <v>92335</v>
      </c>
      <c r="B152">
        <v>18</v>
      </c>
      <c r="C152" t="s">
        <v>914</v>
      </c>
      <c r="D152" t="s">
        <v>1353</v>
      </c>
      <c r="E152" t="s">
        <v>1353</v>
      </c>
      <c r="F152" t="s">
        <v>1353</v>
      </c>
      <c r="G152" t="s">
        <v>1353</v>
      </c>
      <c r="H152" t="s">
        <v>1353</v>
      </c>
    </row>
    <row r="153" spans="1:8" x14ac:dyDescent="0.2">
      <c r="A153">
        <v>91752</v>
      </c>
      <c r="B153">
        <v>18</v>
      </c>
      <c r="C153" t="s">
        <v>914</v>
      </c>
      <c r="D153" t="s">
        <v>1353</v>
      </c>
      <c r="E153" t="s">
        <v>1353</v>
      </c>
      <c r="F153" t="s">
        <v>1353</v>
      </c>
      <c r="G153" t="s">
        <v>1353</v>
      </c>
      <c r="H153" t="s">
        <v>1353</v>
      </c>
    </row>
    <row r="154" spans="1:8" x14ac:dyDescent="0.2">
      <c r="A154">
        <v>92337</v>
      </c>
      <c r="B154">
        <v>18</v>
      </c>
      <c r="C154" t="s">
        <v>914</v>
      </c>
      <c r="D154" t="s">
        <v>1367</v>
      </c>
      <c r="E154" t="s">
        <v>1367</v>
      </c>
      <c r="F154" t="s">
        <v>1367</v>
      </c>
      <c r="G154" t="s">
        <v>1367</v>
      </c>
      <c r="H154" t="s">
        <v>1367</v>
      </c>
    </row>
    <row r="155" spans="1:8" x14ac:dyDescent="0.2">
      <c r="A155">
        <v>92407</v>
      </c>
      <c r="B155">
        <v>18</v>
      </c>
      <c r="C155" t="s">
        <v>914</v>
      </c>
      <c r="D155" t="s">
        <v>1352</v>
      </c>
      <c r="E155" t="s">
        <v>1352</v>
      </c>
      <c r="F155" t="s">
        <v>1352</v>
      </c>
      <c r="G155" t="s">
        <v>1352</v>
      </c>
      <c r="H155" t="s">
        <v>1352</v>
      </c>
    </row>
    <row r="156" spans="1:8" x14ac:dyDescent="0.2">
      <c r="A156">
        <v>91706</v>
      </c>
      <c r="B156">
        <v>18</v>
      </c>
      <c r="C156" t="s">
        <v>914</v>
      </c>
      <c r="D156" t="s">
        <v>1353</v>
      </c>
      <c r="E156" t="s">
        <v>1353</v>
      </c>
      <c r="F156" t="s">
        <v>1353</v>
      </c>
      <c r="G156" t="s">
        <v>1353</v>
      </c>
      <c r="H156" t="s">
        <v>1353</v>
      </c>
    </row>
    <row r="157" spans="1:8" x14ac:dyDescent="0.2">
      <c r="A157">
        <v>92821</v>
      </c>
      <c r="B157">
        <v>18</v>
      </c>
      <c r="C157" t="s">
        <v>1390</v>
      </c>
      <c r="D157" t="s">
        <v>1353</v>
      </c>
      <c r="E157" t="s">
        <v>1388</v>
      </c>
      <c r="F157" t="s">
        <v>1353</v>
      </c>
      <c r="G157" t="s">
        <v>1388</v>
      </c>
      <c r="H157" t="s">
        <v>1351</v>
      </c>
    </row>
    <row r="158" spans="1:8" x14ac:dyDescent="0.2">
      <c r="A158">
        <v>91739</v>
      </c>
      <c r="B158">
        <v>17.5</v>
      </c>
      <c r="C158" t="s">
        <v>914</v>
      </c>
      <c r="D158" t="s">
        <v>202</v>
      </c>
      <c r="E158" t="s">
        <v>202</v>
      </c>
      <c r="F158" t="s">
        <v>202</v>
      </c>
      <c r="G158" t="s">
        <v>202</v>
      </c>
      <c r="H158" t="s">
        <v>202</v>
      </c>
    </row>
    <row r="159" spans="1:8" x14ac:dyDescent="0.2">
      <c r="A159">
        <v>92337</v>
      </c>
      <c r="B159">
        <v>17</v>
      </c>
      <c r="C159" t="s">
        <v>914</v>
      </c>
      <c r="D159" t="s">
        <v>1353</v>
      </c>
      <c r="E159" t="s">
        <v>1353</v>
      </c>
      <c r="F159" t="s">
        <v>1353</v>
      </c>
      <c r="G159" t="s">
        <v>1388</v>
      </c>
      <c r="H159" t="s">
        <v>1388</v>
      </c>
    </row>
    <row r="160" spans="1:8" x14ac:dyDescent="0.2">
      <c r="A160">
        <v>92663</v>
      </c>
      <c r="B160">
        <v>17</v>
      </c>
      <c r="C160" t="s">
        <v>914</v>
      </c>
      <c r="D160" t="s">
        <v>1353</v>
      </c>
      <c r="E160" t="s">
        <v>1353</v>
      </c>
      <c r="F160" t="s">
        <v>1353</v>
      </c>
      <c r="G160" t="s">
        <v>1353</v>
      </c>
      <c r="H160" t="s">
        <v>1353</v>
      </c>
    </row>
    <row r="161" spans="1:8" x14ac:dyDescent="0.2">
      <c r="A161">
        <v>92335</v>
      </c>
      <c r="B161">
        <v>17</v>
      </c>
      <c r="C161" t="s">
        <v>914</v>
      </c>
      <c r="D161" t="s">
        <v>1352</v>
      </c>
      <c r="E161" t="s">
        <v>1352</v>
      </c>
      <c r="F161" t="s">
        <v>1352</v>
      </c>
      <c r="G161" t="s">
        <v>1352</v>
      </c>
      <c r="H161" t="s">
        <v>1352</v>
      </c>
    </row>
    <row r="162" spans="1:8" x14ac:dyDescent="0.2">
      <c r="A162">
        <v>92316</v>
      </c>
      <c r="B162">
        <v>17</v>
      </c>
      <c r="C162" t="s">
        <v>914</v>
      </c>
      <c r="D162" t="s">
        <v>1353</v>
      </c>
      <c r="E162" t="s">
        <v>1353</v>
      </c>
      <c r="F162" t="s">
        <v>1353</v>
      </c>
      <c r="G162" t="s">
        <v>1353</v>
      </c>
      <c r="H162" t="s">
        <v>1353</v>
      </c>
    </row>
    <row r="163" spans="1:8" x14ac:dyDescent="0.2">
      <c r="A163">
        <v>92336</v>
      </c>
      <c r="B163">
        <v>17</v>
      </c>
      <c r="C163" t="s">
        <v>914</v>
      </c>
      <c r="D163" t="s">
        <v>1352</v>
      </c>
      <c r="E163" t="s">
        <v>1353</v>
      </c>
      <c r="F163" t="s">
        <v>202</v>
      </c>
      <c r="G163" t="s">
        <v>1353</v>
      </c>
      <c r="H163" t="s">
        <v>1353</v>
      </c>
    </row>
    <row r="164" spans="1:8" x14ac:dyDescent="0.2">
      <c r="A164">
        <v>92336</v>
      </c>
      <c r="B164">
        <v>17</v>
      </c>
      <c r="C164" t="s">
        <v>914</v>
      </c>
      <c r="D164" t="s">
        <v>191</v>
      </c>
      <c r="E164" t="s">
        <v>1353</v>
      </c>
      <c r="F164" t="s">
        <v>1353</v>
      </c>
      <c r="G164" t="s">
        <v>1353</v>
      </c>
      <c r="H164" t="s">
        <v>1353</v>
      </c>
    </row>
    <row r="165" spans="1:8" x14ac:dyDescent="0.2">
      <c r="A165">
        <v>91171</v>
      </c>
      <c r="B165">
        <v>16.600000000000001</v>
      </c>
      <c r="C165" t="s">
        <v>914</v>
      </c>
      <c r="D165" t="s">
        <v>1353</v>
      </c>
      <c r="E165" t="s">
        <v>1353</v>
      </c>
      <c r="F165" t="s">
        <v>1353</v>
      </c>
      <c r="G165" t="s">
        <v>195</v>
      </c>
      <c r="H165" t="s">
        <v>1353</v>
      </c>
    </row>
    <row r="166" spans="1:8" x14ac:dyDescent="0.2">
      <c r="A166">
        <v>92336</v>
      </c>
      <c r="B166">
        <v>16</v>
      </c>
      <c r="C166" t="s">
        <v>914</v>
      </c>
      <c r="D166" t="s">
        <v>202</v>
      </c>
      <c r="E166" t="s">
        <v>1353</v>
      </c>
      <c r="F166" t="s">
        <v>1353</v>
      </c>
      <c r="G166" t="s">
        <v>1353</v>
      </c>
      <c r="H166" t="s">
        <v>1353</v>
      </c>
    </row>
    <row r="167" spans="1:8" x14ac:dyDescent="0.2">
      <c r="A167">
        <v>92336</v>
      </c>
      <c r="B167">
        <v>16</v>
      </c>
      <c r="C167" t="s">
        <v>914</v>
      </c>
      <c r="D167" t="s">
        <v>1352</v>
      </c>
      <c r="E167" t="s">
        <v>1352</v>
      </c>
      <c r="F167" t="s">
        <v>1352</v>
      </c>
      <c r="G167" t="s">
        <v>1352</v>
      </c>
      <c r="H167" t="s">
        <v>1352</v>
      </c>
    </row>
    <row r="168" spans="1:8" x14ac:dyDescent="0.2">
      <c r="A168" t="s">
        <v>1401</v>
      </c>
      <c r="B168">
        <v>16</v>
      </c>
      <c r="C168" t="s">
        <v>914</v>
      </c>
      <c r="D168" t="s">
        <v>1367</v>
      </c>
      <c r="E168" t="s">
        <v>1373</v>
      </c>
      <c r="F168" t="s">
        <v>1373</v>
      </c>
      <c r="G168" t="s">
        <v>1352</v>
      </c>
      <c r="H168" t="s">
        <v>1367</v>
      </c>
    </row>
    <row r="169" spans="1:8" x14ac:dyDescent="0.2">
      <c r="A169">
        <v>91702</v>
      </c>
      <c r="B169">
        <v>15</v>
      </c>
      <c r="C169" t="s">
        <v>914</v>
      </c>
      <c r="D169" t="s">
        <v>1353</v>
      </c>
      <c r="E169" t="s">
        <v>1353</v>
      </c>
      <c r="F169" t="s">
        <v>1353</v>
      </c>
      <c r="G169" t="s">
        <v>1353</v>
      </c>
      <c r="H169" t="s">
        <v>1353</v>
      </c>
    </row>
    <row r="170" spans="1:8" x14ac:dyDescent="0.2">
      <c r="A170">
        <v>91730</v>
      </c>
      <c r="B170">
        <v>15</v>
      </c>
      <c r="C170" t="s">
        <v>914</v>
      </c>
      <c r="D170" t="s">
        <v>1353</v>
      </c>
      <c r="E170" t="s">
        <v>1353</v>
      </c>
      <c r="F170" t="s">
        <v>1353</v>
      </c>
      <c r="G170" t="s">
        <v>1353</v>
      </c>
      <c r="H170" t="s">
        <v>202</v>
      </c>
    </row>
    <row r="171" spans="1:8" x14ac:dyDescent="0.2">
      <c r="A171">
        <v>91766</v>
      </c>
      <c r="B171">
        <v>15</v>
      </c>
      <c r="C171" t="s">
        <v>914</v>
      </c>
      <c r="D171" t="s">
        <v>1352</v>
      </c>
      <c r="E171" t="s">
        <v>1352</v>
      </c>
      <c r="F171" t="s">
        <v>1352</v>
      </c>
      <c r="G171" t="s">
        <v>1352</v>
      </c>
      <c r="H171" t="s">
        <v>1352</v>
      </c>
    </row>
    <row r="172" spans="1:8" x14ac:dyDescent="0.2">
      <c r="A172">
        <v>92335</v>
      </c>
      <c r="B172">
        <v>15</v>
      </c>
      <c r="C172" t="s">
        <v>914</v>
      </c>
      <c r="D172" t="s">
        <v>1353</v>
      </c>
      <c r="E172" t="s">
        <v>1353</v>
      </c>
      <c r="F172" t="s">
        <v>1353</v>
      </c>
      <c r="G172" t="s">
        <v>1353</v>
      </c>
      <c r="H172" t="s">
        <v>1353</v>
      </c>
    </row>
    <row r="173" spans="1:8" x14ac:dyDescent="0.2">
      <c r="A173">
        <v>91765</v>
      </c>
      <c r="B173">
        <v>15</v>
      </c>
      <c r="C173" t="s">
        <v>914</v>
      </c>
      <c r="D173" t="s">
        <v>1353</v>
      </c>
      <c r="E173" t="s">
        <v>1353</v>
      </c>
      <c r="F173" t="s">
        <v>1353</v>
      </c>
      <c r="G173" t="s">
        <v>1353</v>
      </c>
      <c r="H173" t="s">
        <v>1353</v>
      </c>
    </row>
    <row r="174" spans="1:8" x14ac:dyDescent="0.2">
      <c r="A174">
        <v>91701</v>
      </c>
      <c r="B174">
        <v>15</v>
      </c>
      <c r="C174" t="s">
        <v>914</v>
      </c>
      <c r="D174" t="s">
        <v>1353</v>
      </c>
      <c r="E174" t="s">
        <v>195</v>
      </c>
      <c r="F174" t="s">
        <v>1353</v>
      </c>
      <c r="G174" t="s">
        <v>1353</v>
      </c>
      <c r="H174" t="s">
        <v>1353</v>
      </c>
    </row>
    <row r="175" spans="1:8" x14ac:dyDescent="0.2">
      <c r="A175">
        <v>91766</v>
      </c>
      <c r="B175">
        <v>15</v>
      </c>
      <c r="C175" t="s">
        <v>914</v>
      </c>
      <c r="D175" t="s">
        <v>1352</v>
      </c>
      <c r="E175" t="s">
        <v>1352</v>
      </c>
      <c r="F175" t="s">
        <v>1352</v>
      </c>
      <c r="G175" t="s">
        <v>1352</v>
      </c>
      <c r="H175" t="s">
        <v>1352</v>
      </c>
    </row>
    <row r="176" spans="1:8" x14ac:dyDescent="0.2">
      <c r="A176">
        <v>91767</v>
      </c>
      <c r="B176">
        <v>15</v>
      </c>
      <c r="C176" t="s">
        <v>914</v>
      </c>
      <c r="D176" t="s">
        <v>1352</v>
      </c>
      <c r="E176" t="s">
        <v>1352</v>
      </c>
      <c r="F176" t="s">
        <v>195</v>
      </c>
      <c r="G176" t="s">
        <v>195</v>
      </c>
      <c r="H176" t="s">
        <v>191</v>
      </c>
    </row>
    <row r="177" spans="1:8" x14ac:dyDescent="0.2">
      <c r="A177">
        <v>92335</v>
      </c>
      <c r="B177">
        <v>15</v>
      </c>
      <c r="C177" t="s">
        <v>914</v>
      </c>
      <c r="D177" t="s">
        <v>1352</v>
      </c>
      <c r="E177" t="s">
        <v>1355</v>
      </c>
      <c r="F177" t="s">
        <v>1352</v>
      </c>
      <c r="G177" t="s">
        <v>1352</v>
      </c>
      <c r="H177" t="s">
        <v>1352</v>
      </c>
    </row>
    <row r="178" spans="1:8" x14ac:dyDescent="0.2">
      <c r="A178">
        <v>92235</v>
      </c>
      <c r="B178">
        <v>15</v>
      </c>
      <c r="C178" t="s">
        <v>914</v>
      </c>
      <c r="D178" t="s">
        <v>1352</v>
      </c>
      <c r="E178" t="s">
        <v>195</v>
      </c>
      <c r="F178" t="s">
        <v>1352</v>
      </c>
      <c r="G178" t="s">
        <v>1352</v>
      </c>
      <c r="H178" t="s">
        <v>1352</v>
      </c>
    </row>
    <row r="179" spans="1:8" x14ac:dyDescent="0.2">
      <c r="A179">
        <v>91709</v>
      </c>
      <c r="B179">
        <v>15</v>
      </c>
      <c r="C179" t="s">
        <v>914</v>
      </c>
      <c r="D179" t="s">
        <v>1353</v>
      </c>
      <c r="E179" t="s">
        <v>202</v>
      </c>
      <c r="F179" t="s">
        <v>202</v>
      </c>
      <c r="G179" t="s">
        <v>1353</v>
      </c>
      <c r="H179" t="s">
        <v>1353</v>
      </c>
    </row>
    <row r="180" spans="1:8" x14ac:dyDescent="0.2">
      <c r="A180">
        <v>91722</v>
      </c>
      <c r="B180">
        <v>15</v>
      </c>
      <c r="C180" t="s">
        <v>914</v>
      </c>
      <c r="D180" t="s">
        <v>1374</v>
      </c>
      <c r="E180" t="s">
        <v>1374</v>
      </c>
      <c r="F180" t="s">
        <v>202</v>
      </c>
      <c r="G180" t="s">
        <v>202</v>
      </c>
      <c r="H180" t="s">
        <v>202</v>
      </c>
    </row>
    <row r="181" spans="1:8" x14ac:dyDescent="0.2">
      <c r="A181">
        <v>91789</v>
      </c>
      <c r="B181">
        <v>15</v>
      </c>
      <c r="C181" t="s">
        <v>914</v>
      </c>
      <c r="D181" t="s">
        <v>1353</v>
      </c>
      <c r="E181" t="s">
        <v>1353</v>
      </c>
      <c r="F181" t="s">
        <v>1353</v>
      </c>
      <c r="G181" t="s">
        <v>1353</v>
      </c>
      <c r="H181" t="s">
        <v>1353</v>
      </c>
    </row>
    <row r="182" spans="1:8" x14ac:dyDescent="0.2">
      <c r="A182">
        <v>91730</v>
      </c>
      <c r="B182">
        <v>15</v>
      </c>
      <c r="C182" t="s">
        <v>914</v>
      </c>
      <c r="D182" t="s">
        <v>1353</v>
      </c>
      <c r="E182" t="s">
        <v>1353</v>
      </c>
      <c r="F182" t="s">
        <v>1353</v>
      </c>
      <c r="G182" t="s">
        <v>1353</v>
      </c>
      <c r="H182" t="s">
        <v>1353</v>
      </c>
    </row>
    <row r="183" spans="1:8" x14ac:dyDescent="0.2">
      <c r="A183" t="s">
        <v>1423</v>
      </c>
      <c r="B183">
        <v>15</v>
      </c>
      <c r="C183" t="s">
        <v>914</v>
      </c>
      <c r="D183" t="s">
        <v>1353</v>
      </c>
      <c r="E183" t="s">
        <v>1353</v>
      </c>
      <c r="F183" t="s">
        <v>1353</v>
      </c>
      <c r="G183" t="s">
        <v>1353</v>
      </c>
      <c r="H183" t="s">
        <v>1353</v>
      </c>
    </row>
    <row r="184" spans="1:8" x14ac:dyDescent="0.2">
      <c r="A184">
        <v>91730</v>
      </c>
      <c r="B184">
        <v>15</v>
      </c>
      <c r="C184" t="s">
        <v>914</v>
      </c>
      <c r="D184" t="s">
        <v>1352</v>
      </c>
      <c r="E184" t="s">
        <v>1352</v>
      </c>
      <c r="F184" t="s">
        <v>1352</v>
      </c>
      <c r="G184" t="s">
        <v>1352</v>
      </c>
      <c r="H184" t="s">
        <v>1352</v>
      </c>
    </row>
    <row r="185" spans="1:8" x14ac:dyDescent="0.2">
      <c r="A185">
        <v>91761</v>
      </c>
      <c r="B185">
        <v>15</v>
      </c>
      <c r="C185" t="s">
        <v>914</v>
      </c>
      <c r="D185" t="s">
        <v>1358</v>
      </c>
      <c r="E185" t="s">
        <v>1358</v>
      </c>
      <c r="F185" t="s">
        <v>1358</v>
      </c>
      <c r="G185" t="s">
        <v>1358</v>
      </c>
      <c r="H185" t="s">
        <v>1358</v>
      </c>
    </row>
    <row r="186" spans="1:8" x14ac:dyDescent="0.2">
      <c r="A186">
        <v>91761</v>
      </c>
      <c r="B186">
        <v>15</v>
      </c>
      <c r="C186" t="s">
        <v>914</v>
      </c>
      <c r="D186" t="s">
        <v>1353</v>
      </c>
      <c r="E186" t="s">
        <v>1353</v>
      </c>
      <c r="F186" t="s">
        <v>1353</v>
      </c>
      <c r="G186" t="s">
        <v>1353</v>
      </c>
      <c r="H186" t="s">
        <v>1353</v>
      </c>
    </row>
    <row r="187" spans="1:8" x14ac:dyDescent="0.2">
      <c r="A187">
        <v>92336</v>
      </c>
      <c r="B187">
        <v>15</v>
      </c>
      <c r="C187" t="s">
        <v>914</v>
      </c>
      <c r="D187" t="s">
        <v>1367</v>
      </c>
      <c r="E187" t="s">
        <v>1373</v>
      </c>
      <c r="F187" t="s">
        <v>1367</v>
      </c>
      <c r="G187" t="s">
        <v>1367</v>
      </c>
      <c r="H187" t="s">
        <v>1367</v>
      </c>
    </row>
    <row r="188" spans="1:8" x14ac:dyDescent="0.2">
      <c r="A188">
        <v>91792</v>
      </c>
      <c r="B188">
        <v>15</v>
      </c>
      <c r="C188" t="s">
        <v>1390</v>
      </c>
      <c r="D188" t="s">
        <v>1353</v>
      </c>
      <c r="E188" t="s">
        <v>1353</v>
      </c>
      <c r="F188" t="s">
        <v>1353</v>
      </c>
      <c r="G188" t="s">
        <v>1353</v>
      </c>
      <c r="H188" t="s">
        <v>1353</v>
      </c>
    </row>
    <row r="189" spans="1:8" x14ac:dyDescent="0.2">
      <c r="A189">
        <v>91711</v>
      </c>
      <c r="B189">
        <v>14</v>
      </c>
      <c r="C189" t="s">
        <v>914</v>
      </c>
      <c r="D189" t="s">
        <v>1353</v>
      </c>
      <c r="E189" t="s">
        <v>1353</v>
      </c>
      <c r="F189" t="s">
        <v>1353</v>
      </c>
      <c r="G189" t="s">
        <v>1353</v>
      </c>
      <c r="H189" t="s">
        <v>1353</v>
      </c>
    </row>
    <row r="190" spans="1:8" x14ac:dyDescent="0.2">
      <c r="A190">
        <v>91709</v>
      </c>
      <c r="B190">
        <v>14</v>
      </c>
      <c r="C190" t="s">
        <v>914</v>
      </c>
      <c r="D190" t="s">
        <v>1353</v>
      </c>
      <c r="E190" t="s">
        <v>1353</v>
      </c>
      <c r="F190" t="s">
        <v>1353</v>
      </c>
      <c r="G190" t="s">
        <v>1353</v>
      </c>
      <c r="H190" t="s">
        <v>1353</v>
      </c>
    </row>
    <row r="191" spans="1:8" x14ac:dyDescent="0.2">
      <c r="A191">
        <v>91722</v>
      </c>
      <c r="B191">
        <v>14</v>
      </c>
      <c r="C191" t="s">
        <v>914</v>
      </c>
      <c r="D191" t="s">
        <v>1353</v>
      </c>
      <c r="E191" t="s">
        <v>1353</v>
      </c>
      <c r="F191" t="s">
        <v>1353</v>
      </c>
      <c r="G191" t="s">
        <v>1353</v>
      </c>
      <c r="H191" t="s">
        <v>1353</v>
      </c>
    </row>
    <row r="192" spans="1:8" x14ac:dyDescent="0.2">
      <c r="A192">
        <v>91784</v>
      </c>
      <c r="B192">
        <v>14</v>
      </c>
      <c r="C192" t="s">
        <v>914</v>
      </c>
      <c r="D192" t="s">
        <v>1353</v>
      </c>
      <c r="E192" t="s">
        <v>1353</v>
      </c>
      <c r="F192" t="s">
        <v>1353</v>
      </c>
      <c r="G192" t="s">
        <v>1353</v>
      </c>
      <c r="H192" t="s">
        <v>1353</v>
      </c>
    </row>
    <row r="193" spans="1:8" x14ac:dyDescent="0.2">
      <c r="A193">
        <v>91702</v>
      </c>
      <c r="B193">
        <v>14</v>
      </c>
      <c r="C193" t="s">
        <v>1390</v>
      </c>
      <c r="D193" t="s">
        <v>202</v>
      </c>
      <c r="E193" t="s">
        <v>202</v>
      </c>
      <c r="F193" t="s">
        <v>202</v>
      </c>
      <c r="G193" t="s">
        <v>202</v>
      </c>
      <c r="H193" t="s">
        <v>1353</v>
      </c>
    </row>
    <row r="194" spans="1:8" x14ac:dyDescent="0.2">
      <c r="A194">
        <v>92335</v>
      </c>
      <c r="B194">
        <v>13</v>
      </c>
      <c r="C194" t="s">
        <v>914</v>
      </c>
      <c r="D194" t="s">
        <v>1352</v>
      </c>
      <c r="E194" t="s">
        <v>1352</v>
      </c>
      <c r="F194" t="s">
        <v>1352</v>
      </c>
      <c r="G194" t="s">
        <v>1352</v>
      </c>
      <c r="H194" t="s">
        <v>1352</v>
      </c>
    </row>
    <row r="195" spans="1:8" x14ac:dyDescent="0.2">
      <c r="A195">
        <v>91784</v>
      </c>
      <c r="B195">
        <v>13</v>
      </c>
      <c r="C195" t="s">
        <v>914</v>
      </c>
      <c r="D195" t="s">
        <v>1353</v>
      </c>
      <c r="E195" t="s">
        <v>199</v>
      </c>
      <c r="F195" t="s">
        <v>1353</v>
      </c>
      <c r="G195" t="s">
        <v>1353</v>
      </c>
      <c r="H195" t="s">
        <v>1353</v>
      </c>
    </row>
    <row r="196" spans="1:8" x14ac:dyDescent="0.2">
      <c r="A196">
        <v>91741</v>
      </c>
      <c r="B196">
        <v>13</v>
      </c>
      <c r="C196" t="s">
        <v>914</v>
      </c>
      <c r="D196" t="s">
        <v>1353</v>
      </c>
      <c r="E196" t="s">
        <v>191</v>
      </c>
      <c r="F196" t="s">
        <v>191</v>
      </c>
      <c r="G196" t="s">
        <v>191</v>
      </c>
      <c r="H196" t="s">
        <v>191</v>
      </c>
    </row>
    <row r="197" spans="1:8" x14ac:dyDescent="0.2">
      <c r="A197">
        <v>91739</v>
      </c>
      <c r="B197">
        <v>13</v>
      </c>
      <c r="C197" t="s">
        <v>914</v>
      </c>
      <c r="D197" t="s">
        <v>1353</v>
      </c>
      <c r="E197" t="s">
        <v>1353</v>
      </c>
      <c r="F197" t="s">
        <v>1353</v>
      </c>
      <c r="G197" t="s">
        <v>1353</v>
      </c>
      <c r="H197" t="s">
        <v>1353</v>
      </c>
    </row>
    <row r="198" spans="1:8" x14ac:dyDescent="0.2">
      <c r="A198">
        <v>91739</v>
      </c>
      <c r="B198">
        <v>13</v>
      </c>
      <c r="C198" t="s">
        <v>914</v>
      </c>
      <c r="D198" t="s">
        <v>1353</v>
      </c>
      <c r="E198" t="s">
        <v>1353</v>
      </c>
      <c r="F198" t="s">
        <v>1353</v>
      </c>
      <c r="G198" t="s">
        <v>1353</v>
      </c>
      <c r="H198" t="s">
        <v>1353</v>
      </c>
    </row>
    <row r="199" spans="1:8" x14ac:dyDescent="0.2">
      <c r="A199">
        <v>91724</v>
      </c>
      <c r="B199">
        <v>13</v>
      </c>
      <c r="C199" t="s">
        <v>914</v>
      </c>
      <c r="D199" t="s">
        <v>1353</v>
      </c>
      <c r="E199" t="s">
        <v>1353</v>
      </c>
      <c r="F199" t="s">
        <v>1353</v>
      </c>
      <c r="G199" t="s">
        <v>1353</v>
      </c>
      <c r="H199" t="s">
        <v>1353</v>
      </c>
    </row>
    <row r="200" spans="1:8" x14ac:dyDescent="0.2">
      <c r="A200">
        <v>91709</v>
      </c>
      <c r="B200">
        <v>13</v>
      </c>
      <c r="C200" t="s">
        <v>914</v>
      </c>
      <c r="D200" t="s">
        <v>1353</v>
      </c>
      <c r="E200" t="s">
        <v>1353</v>
      </c>
      <c r="F200" t="s">
        <v>1353</v>
      </c>
      <c r="G200" t="s">
        <v>1353</v>
      </c>
      <c r="H200" t="s">
        <v>1353</v>
      </c>
    </row>
    <row r="201" spans="1:8" x14ac:dyDescent="0.2">
      <c r="A201">
        <v>91711</v>
      </c>
      <c r="B201">
        <v>12.2</v>
      </c>
      <c r="C201" t="s">
        <v>914</v>
      </c>
      <c r="D201" t="s">
        <v>1356</v>
      </c>
      <c r="E201" t="s">
        <v>1356</v>
      </c>
      <c r="F201" t="s">
        <v>1356</v>
      </c>
      <c r="G201" t="s">
        <v>1356</v>
      </c>
      <c r="H201" t="s">
        <v>1356</v>
      </c>
    </row>
    <row r="202" spans="1:8" x14ac:dyDescent="0.2">
      <c r="A202">
        <v>91761</v>
      </c>
      <c r="B202">
        <v>12</v>
      </c>
      <c r="C202" t="s">
        <v>914</v>
      </c>
      <c r="D202" t="s">
        <v>1352</v>
      </c>
      <c r="E202" t="s">
        <v>1352</v>
      </c>
      <c r="F202" t="s">
        <v>1352</v>
      </c>
      <c r="G202" t="s">
        <v>1352</v>
      </c>
      <c r="H202" t="s">
        <v>1352</v>
      </c>
    </row>
    <row r="203" spans="1:8" x14ac:dyDescent="0.2">
      <c r="A203">
        <v>91741</v>
      </c>
      <c r="B203">
        <v>12</v>
      </c>
      <c r="C203" t="s">
        <v>914</v>
      </c>
      <c r="D203" t="s">
        <v>1353</v>
      </c>
      <c r="E203" t="s">
        <v>1353</v>
      </c>
      <c r="F203" t="s">
        <v>1353</v>
      </c>
      <c r="G203" t="s">
        <v>1353</v>
      </c>
      <c r="H203" t="s">
        <v>1353</v>
      </c>
    </row>
    <row r="204" spans="1:8" x14ac:dyDescent="0.2">
      <c r="A204">
        <v>91763</v>
      </c>
      <c r="B204">
        <v>12</v>
      </c>
      <c r="C204" t="s">
        <v>914</v>
      </c>
      <c r="D204" t="s">
        <v>1353</v>
      </c>
      <c r="E204" t="s">
        <v>1353</v>
      </c>
      <c r="F204" t="s">
        <v>1353</v>
      </c>
      <c r="G204" t="s">
        <v>1353</v>
      </c>
      <c r="H204" t="s">
        <v>1353</v>
      </c>
    </row>
    <row r="205" spans="1:8" x14ac:dyDescent="0.2">
      <c r="A205">
        <v>91764</v>
      </c>
      <c r="B205">
        <v>12</v>
      </c>
      <c r="C205" t="s">
        <v>914</v>
      </c>
      <c r="D205" t="s">
        <v>202</v>
      </c>
      <c r="E205" t="s">
        <v>1353</v>
      </c>
      <c r="F205" t="s">
        <v>1353</v>
      </c>
      <c r="G205" t="s">
        <v>1353</v>
      </c>
      <c r="H205" t="s">
        <v>1353</v>
      </c>
    </row>
    <row r="206" spans="1:8" x14ac:dyDescent="0.2">
      <c r="A206">
        <v>91791</v>
      </c>
      <c r="B206">
        <v>12</v>
      </c>
      <c r="C206" t="s">
        <v>914</v>
      </c>
      <c r="D206" t="s">
        <v>1353</v>
      </c>
      <c r="E206" t="s">
        <v>1353</v>
      </c>
      <c r="F206" t="s">
        <v>1353</v>
      </c>
      <c r="G206" t="s">
        <v>1353</v>
      </c>
      <c r="H206" t="s">
        <v>1353</v>
      </c>
    </row>
    <row r="207" spans="1:8" x14ac:dyDescent="0.2">
      <c r="A207">
        <v>91767</v>
      </c>
      <c r="B207">
        <v>12</v>
      </c>
      <c r="C207" t="s">
        <v>914</v>
      </c>
      <c r="D207" t="s">
        <v>1371</v>
      </c>
      <c r="E207" t="s">
        <v>1371</v>
      </c>
      <c r="F207" t="s">
        <v>1371</v>
      </c>
      <c r="G207" t="s">
        <v>1367</v>
      </c>
      <c r="H207" t="s">
        <v>1367</v>
      </c>
    </row>
    <row r="208" spans="1:8" x14ac:dyDescent="0.2">
      <c r="A208">
        <v>91730</v>
      </c>
      <c r="B208">
        <v>12</v>
      </c>
      <c r="C208" t="s">
        <v>914</v>
      </c>
      <c r="D208" t="s">
        <v>1353</v>
      </c>
      <c r="E208" t="s">
        <v>1353</v>
      </c>
      <c r="F208" t="s">
        <v>1353</v>
      </c>
      <c r="G208" t="s">
        <v>1353</v>
      </c>
      <c r="H208" t="s">
        <v>1353</v>
      </c>
    </row>
    <row r="209" spans="1:8" x14ac:dyDescent="0.2">
      <c r="A209">
        <v>91739</v>
      </c>
      <c r="B209">
        <v>12</v>
      </c>
      <c r="C209" t="s">
        <v>914</v>
      </c>
      <c r="D209" t="s">
        <v>202</v>
      </c>
      <c r="E209" t="s">
        <v>1353</v>
      </c>
      <c r="F209" t="s">
        <v>1353</v>
      </c>
      <c r="G209" t="s">
        <v>1353</v>
      </c>
      <c r="H209" t="s">
        <v>1353</v>
      </c>
    </row>
    <row r="210" spans="1:8" x14ac:dyDescent="0.2">
      <c r="A210">
        <v>91723</v>
      </c>
      <c r="B210">
        <v>12</v>
      </c>
      <c r="C210" t="s">
        <v>914</v>
      </c>
      <c r="D210" t="s">
        <v>1353</v>
      </c>
      <c r="E210" t="s">
        <v>1353</v>
      </c>
      <c r="F210" t="s">
        <v>1353</v>
      </c>
      <c r="G210" t="s">
        <v>1353</v>
      </c>
      <c r="H210" t="s">
        <v>1353</v>
      </c>
    </row>
    <row r="211" spans="1:8" x14ac:dyDescent="0.2">
      <c r="A211">
        <v>91737</v>
      </c>
      <c r="B211">
        <v>12</v>
      </c>
      <c r="C211" t="s">
        <v>914</v>
      </c>
      <c r="D211" t="s">
        <v>1352</v>
      </c>
      <c r="E211" t="s">
        <v>1352</v>
      </c>
      <c r="F211" t="s">
        <v>1352</v>
      </c>
      <c r="G211" t="s">
        <v>1352</v>
      </c>
      <c r="H211" t="s">
        <v>1352</v>
      </c>
    </row>
    <row r="212" spans="1:8" x14ac:dyDescent="0.2">
      <c r="A212">
        <v>91765</v>
      </c>
      <c r="B212">
        <v>12</v>
      </c>
      <c r="C212" t="s">
        <v>1390</v>
      </c>
      <c r="D212" t="s">
        <v>202</v>
      </c>
      <c r="E212" t="s">
        <v>1353</v>
      </c>
      <c r="F212" t="s">
        <v>1353</v>
      </c>
      <c r="G212" t="s">
        <v>1353</v>
      </c>
      <c r="H212" t="s">
        <v>1353</v>
      </c>
    </row>
    <row r="213" spans="1:8" x14ac:dyDescent="0.2">
      <c r="A213">
        <v>91701</v>
      </c>
      <c r="B213">
        <v>11.5</v>
      </c>
      <c r="C213" t="s">
        <v>914</v>
      </c>
      <c r="D213" t="s">
        <v>1352</v>
      </c>
      <c r="E213" t="s">
        <v>1353</v>
      </c>
      <c r="F213" t="s">
        <v>1353</v>
      </c>
      <c r="G213" t="s">
        <v>1352</v>
      </c>
      <c r="H213" t="s">
        <v>1353</v>
      </c>
    </row>
    <row r="214" spans="1:8" x14ac:dyDescent="0.2">
      <c r="A214">
        <v>91709</v>
      </c>
      <c r="B214">
        <v>11.4</v>
      </c>
      <c r="C214" t="s">
        <v>914</v>
      </c>
      <c r="D214" t="s">
        <v>1353</v>
      </c>
      <c r="E214" t="s">
        <v>1353</v>
      </c>
      <c r="F214" t="s">
        <v>1353</v>
      </c>
      <c r="G214" t="s">
        <v>1353</v>
      </c>
      <c r="H214" t="s">
        <v>1353</v>
      </c>
    </row>
    <row r="215" spans="1:8" x14ac:dyDescent="0.2">
      <c r="A215">
        <v>91761</v>
      </c>
      <c r="B215">
        <v>11</v>
      </c>
      <c r="C215" t="s">
        <v>914</v>
      </c>
      <c r="D215" t="s">
        <v>195</v>
      </c>
      <c r="E215" t="s">
        <v>1353</v>
      </c>
      <c r="F215" t="s">
        <v>1353</v>
      </c>
      <c r="G215" t="s">
        <v>1353</v>
      </c>
      <c r="H215" t="s">
        <v>1353</v>
      </c>
    </row>
    <row r="216" spans="1:8" x14ac:dyDescent="0.2">
      <c r="A216">
        <v>91740</v>
      </c>
      <c r="B216">
        <v>11</v>
      </c>
      <c r="C216" t="s">
        <v>914</v>
      </c>
      <c r="D216" t="s">
        <v>1352</v>
      </c>
      <c r="E216" t="s">
        <v>1352</v>
      </c>
      <c r="F216" t="s">
        <v>195</v>
      </c>
      <c r="G216" t="s">
        <v>195</v>
      </c>
      <c r="H216" t="s">
        <v>195</v>
      </c>
    </row>
    <row r="217" spans="1:8" x14ac:dyDescent="0.2">
      <c r="A217">
        <v>92335</v>
      </c>
      <c r="B217">
        <v>11</v>
      </c>
      <c r="C217" t="s">
        <v>914</v>
      </c>
      <c r="D217" t="s">
        <v>1353</v>
      </c>
      <c r="E217" t="s">
        <v>1353</v>
      </c>
      <c r="F217" t="s">
        <v>1353</v>
      </c>
      <c r="G217" t="s">
        <v>202</v>
      </c>
      <c r="H217" t="s">
        <v>202</v>
      </c>
    </row>
    <row r="218" spans="1:8" x14ac:dyDescent="0.2">
      <c r="A218">
        <v>91730</v>
      </c>
      <c r="B218">
        <v>11</v>
      </c>
      <c r="C218" t="s">
        <v>914</v>
      </c>
      <c r="D218" t="s">
        <v>1353</v>
      </c>
      <c r="E218" t="s">
        <v>1353</v>
      </c>
      <c r="F218" t="s">
        <v>1353</v>
      </c>
      <c r="G218" t="s">
        <v>1353</v>
      </c>
      <c r="H218" t="s">
        <v>1353</v>
      </c>
    </row>
    <row r="219" spans="1:8" x14ac:dyDescent="0.2">
      <c r="A219">
        <v>91761</v>
      </c>
      <c r="B219">
        <v>11</v>
      </c>
      <c r="C219" t="s">
        <v>914</v>
      </c>
      <c r="D219" t="s">
        <v>195</v>
      </c>
      <c r="E219" t="s">
        <v>1353</v>
      </c>
      <c r="F219" t="s">
        <v>1353</v>
      </c>
      <c r="G219" t="s">
        <v>1353</v>
      </c>
      <c r="H219" t="s">
        <v>1353</v>
      </c>
    </row>
    <row r="220" spans="1:8" x14ac:dyDescent="0.2">
      <c r="A220">
        <v>91739</v>
      </c>
      <c r="B220">
        <v>11</v>
      </c>
      <c r="C220" t="s">
        <v>914</v>
      </c>
      <c r="D220" t="s">
        <v>1353</v>
      </c>
      <c r="E220" t="s">
        <v>1373</v>
      </c>
      <c r="F220" t="s">
        <v>1353</v>
      </c>
      <c r="G220" t="s">
        <v>1373</v>
      </c>
      <c r="H220" t="s">
        <v>1353</v>
      </c>
    </row>
    <row r="221" spans="1:8" x14ac:dyDescent="0.2">
      <c r="A221" t="s">
        <v>1404</v>
      </c>
      <c r="B221">
        <v>11</v>
      </c>
      <c r="C221" t="s">
        <v>914</v>
      </c>
      <c r="D221" t="s">
        <v>195</v>
      </c>
      <c r="E221" t="s">
        <v>195</v>
      </c>
      <c r="F221" t="s">
        <v>1353</v>
      </c>
      <c r="G221" t="s">
        <v>1353</v>
      </c>
      <c r="H221" t="s">
        <v>1353</v>
      </c>
    </row>
    <row r="222" spans="1:8" x14ac:dyDescent="0.2">
      <c r="A222">
        <v>91730</v>
      </c>
      <c r="B222">
        <v>11</v>
      </c>
      <c r="C222" t="s">
        <v>914</v>
      </c>
      <c r="D222" t="s">
        <v>1353</v>
      </c>
      <c r="E222" t="s">
        <v>1353</v>
      </c>
      <c r="F222" t="s">
        <v>1353</v>
      </c>
      <c r="G222" t="s">
        <v>1353</v>
      </c>
      <c r="H222" t="s">
        <v>1353</v>
      </c>
    </row>
    <row r="223" spans="1:8" x14ac:dyDescent="0.2">
      <c r="A223">
        <v>91730</v>
      </c>
      <c r="B223">
        <v>11</v>
      </c>
      <c r="C223" t="s">
        <v>914</v>
      </c>
      <c r="D223" t="s">
        <v>1352</v>
      </c>
      <c r="E223" t="s">
        <v>1352</v>
      </c>
      <c r="F223" t="s">
        <v>1352</v>
      </c>
      <c r="G223" t="s">
        <v>1352</v>
      </c>
      <c r="H223" t="s">
        <v>1352</v>
      </c>
    </row>
    <row r="224" spans="1:8" x14ac:dyDescent="0.2">
      <c r="A224">
        <v>91710</v>
      </c>
      <c r="B224">
        <v>11</v>
      </c>
      <c r="C224" t="s">
        <v>914</v>
      </c>
      <c r="D224" t="s">
        <v>1351</v>
      </c>
      <c r="E224" t="s">
        <v>1353</v>
      </c>
      <c r="F224" t="s">
        <v>1353</v>
      </c>
      <c r="G224" t="s">
        <v>1353</v>
      </c>
      <c r="H224" t="s">
        <v>1353</v>
      </c>
    </row>
    <row r="225" spans="1:8" x14ac:dyDescent="0.2">
      <c r="A225">
        <v>91730</v>
      </c>
      <c r="B225">
        <v>10.4</v>
      </c>
      <c r="C225" t="s">
        <v>914</v>
      </c>
      <c r="D225" t="s">
        <v>1353</v>
      </c>
      <c r="E225" t="s">
        <v>199</v>
      </c>
      <c r="F225" t="s">
        <v>1353</v>
      </c>
      <c r="G225" t="s">
        <v>1353</v>
      </c>
      <c r="H225" t="s">
        <v>1353</v>
      </c>
    </row>
    <row r="226" spans="1:8" x14ac:dyDescent="0.2">
      <c r="A226">
        <v>91764</v>
      </c>
      <c r="B226">
        <v>10</v>
      </c>
      <c r="C226" t="s">
        <v>914</v>
      </c>
      <c r="D226" t="s">
        <v>1353</v>
      </c>
      <c r="E226" t="s">
        <v>1353</v>
      </c>
      <c r="F226" t="s">
        <v>1353</v>
      </c>
      <c r="G226" t="s">
        <v>1353</v>
      </c>
      <c r="H226" t="s">
        <v>1353</v>
      </c>
    </row>
    <row r="227" spans="1:8" x14ac:dyDescent="0.2">
      <c r="A227">
        <v>91730</v>
      </c>
      <c r="B227">
        <v>10</v>
      </c>
      <c r="C227" t="s">
        <v>914</v>
      </c>
      <c r="D227" t="s">
        <v>1352</v>
      </c>
      <c r="E227" t="s">
        <v>1352</v>
      </c>
      <c r="F227" t="s">
        <v>1352</v>
      </c>
      <c r="G227" t="s">
        <v>1353</v>
      </c>
      <c r="H227" t="s">
        <v>1367</v>
      </c>
    </row>
    <row r="228" spans="1:8" x14ac:dyDescent="0.2">
      <c r="A228">
        <v>91739</v>
      </c>
      <c r="B228">
        <v>10</v>
      </c>
      <c r="C228" t="s">
        <v>914</v>
      </c>
      <c r="D228" t="s">
        <v>1353</v>
      </c>
      <c r="E228" t="s">
        <v>1353</v>
      </c>
      <c r="F228" t="s">
        <v>1353</v>
      </c>
      <c r="G228" t="s">
        <v>1353</v>
      </c>
      <c r="H228" t="s">
        <v>1353</v>
      </c>
    </row>
    <row r="229" spans="1:8" x14ac:dyDescent="0.2">
      <c r="A229">
        <v>91701</v>
      </c>
      <c r="B229">
        <v>10</v>
      </c>
      <c r="C229" t="s">
        <v>914</v>
      </c>
      <c r="D229" t="s">
        <v>1353</v>
      </c>
      <c r="E229" t="s">
        <v>1353</v>
      </c>
      <c r="F229" t="s">
        <v>1353</v>
      </c>
      <c r="G229" t="s">
        <v>1353</v>
      </c>
      <c r="H229" t="s">
        <v>1353</v>
      </c>
    </row>
    <row r="230" spans="1:8" x14ac:dyDescent="0.2">
      <c r="A230">
        <v>91767</v>
      </c>
      <c r="B230">
        <v>10</v>
      </c>
      <c r="C230" t="s">
        <v>914</v>
      </c>
      <c r="D230" t="s">
        <v>1353</v>
      </c>
      <c r="E230" t="s">
        <v>1353</v>
      </c>
      <c r="F230" t="s">
        <v>1353</v>
      </c>
      <c r="G230" t="s">
        <v>1353</v>
      </c>
      <c r="H230" t="s">
        <v>1353</v>
      </c>
    </row>
    <row r="231" spans="1:8" x14ac:dyDescent="0.2">
      <c r="A231">
        <v>91767</v>
      </c>
      <c r="B231">
        <v>10</v>
      </c>
      <c r="C231" t="s">
        <v>914</v>
      </c>
      <c r="D231" t="s">
        <v>1353</v>
      </c>
      <c r="E231" t="s">
        <v>1353</v>
      </c>
      <c r="F231" t="s">
        <v>1353</v>
      </c>
      <c r="G231" t="s">
        <v>1353</v>
      </c>
      <c r="H231" t="s">
        <v>1353</v>
      </c>
    </row>
    <row r="232" spans="1:8" x14ac:dyDescent="0.2">
      <c r="A232">
        <v>91711</v>
      </c>
      <c r="B232">
        <v>10</v>
      </c>
      <c r="C232" t="s">
        <v>914</v>
      </c>
      <c r="D232" t="s">
        <v>1371</v>
      </c>
      <c r="E232" t="s">
        <v>1371</v>
      </c>
      <c r="F232" t="s">
        <v>1371</v>
      </c>
      <c r="G232" t="s">
        <v>1371</v>
      </c>
      <c r="H232" t="s">
        <v>1371</v>
      </c>
    </row>
    <row r="233" spans="1:8" x14ac:dyDescent="0.2">
      <c r="A233">
        <v>91763</v>
      </c>
      <c r="B233">
        <v>10</v>
      </c>
      <c r="C233" t="s">
        <v>914</v>
      </c>
      <c r="D233" t="s">
        <v>1353</v>
      </c>
      <c r="E233" t="s">
        <v>1353</v>
      </c>
      <c r="F233" t="s">
        <v>1353</v>
      </c>
      <c r="G233" t="s">
        <v>1353</v>
      </c>
      <c r="H233" t="s">
        <v>1353</v>
      </c>
    </row>
    <row r="234" spans="1:8" x14ac:dyDescent="0.2">
      <c r="A234">
        <v>91762</v>
      </c>
      <c r="B234">
        <v>10</v>
      </c>
      <c r="C234" t="s">
        <v>914</v>
      </c>
      <c r="D234" t="s">
        <v>1353</v>
      </c>
      <c r="E234" t="s">
        <v>1353</v>
      </c>
      <c r="F234" t="s">
        <v>1353</v>
      </c>
      <c r="G234" t="s">
        <v>1353</v>
      </c>
      <c r="H234" t="s">
        <v>1353</v>
      </c>
    </row>
    <row r="235" spans="1:8" x14ac:dyDescent="0.2">
      <c r="A235">
        <v>91764</v>
      </c>
      <c r="B235">
        <v>10</v>
      </c>
      <c r="C235" t="s">
        <v>914</v>
      </c>
      <c r="D235" t="s">
        <v>1353</v>
      </c>
      <c r="E235" t="s">
        <v>1353</v>
      </c>
      <c r="F235" t="s">
        <v>1353</v>
      </c>
      <c r="G235" t="s">
        <v>1353</v>
      </c>
      <c r="H235" t="s">
        <v>1353</v>
      </c>
    </row>
    <row r="236" spans="1:8" x14ac:dyDescent="0.2">
      <c r="A236">
        <v>91701</v>
      </c>
      <c r="B236">
        <v>10</v>
      </c>
      <c r="C236" t="s">
        <v>914</v>
      </c>
      <c r="D236" t="s">
        <v>195</v>
      </c>
      <c r="E236" t="s">
        <v>191</v>
      </c>
      <c r="F236" t="s">
        <v>1353</v>
      </c>
      <c r="G236" t="s">
        <v>1353</v>
      </c>
      <c r="H236" t="s">
        <v>1353</v>
      </c>
    </row>
    <row r="237" spans="1:8" x14ac:dyDescent="0.2">
      <c r="A237">
        <v>91766</v>
      </c>
      <c r="B237">
        <v>10</v>
      </c>
      <c r="C237" t="s">
        <v>914</v>
      </c>
      <c r="D237" t="s">
        <v>1353</v>
      </c>
      <c r="E237" t="s">
        <v>1353</v>
      </c>
      <c r="F237" t="s">
        <v>1353</v>
      </c>
      <c r="G237" t="s">
        <v>1353</v>
      </c>
      <c r="H237" t="s">
        <v>1353</v>
      </c>
    </row>
    <row r="238" spans="1:8" x14ac:dyDescent="0.2">
      <c r="A238">
        <v>91765</v>
      </c>
      <c r="B238">
        <v>10</v>
      </c>
      <c r="C238" t="s">
        <v>914</v>
      </c>
      <c r="D238" t="s">
        <v>1353</v>
      </c>
      <c r="E238" t="s">
        <v>1353</v>
      </c>
      <c r="F238" t="s">
        <v>1353</v>
      </c>
      <c r="G238" t="s">
        <v>1353</v>
      </c>
      <c r="H238" t="s">
        <v>1353</v>
      </c>
    </row>
    <row r="239" spans="1:8" x14ac:dyDescent="0.2">
      <c r="A239">
        <v>91737</v>
      </c>
      <c r="B239">
        <v>10</v>
      </c>
      <c r="C239" t="s">
        <v>914</v>
      </c>
      <c r="D239" t="s">
        <v>1353</v>
      </c>
      <c r="E239" t="s">
        <v>1353</v>
      </c>
      <c r="F239" t="s">
        <v>1353</v>
      </c>
      <c r="G239" t="s">
        <v>1353</v>
      </c>
      <c r="H239" t="s">
        <v>1353</v>
      </c>
    </row>
    <row r="240" spans="1:8" x14ac:dyDescent="0.2">
      <c r="A240">
        <v>91701</v>
      </c>
      <c r="B240">
        <v>10</v>
      </c>
      <c r="C240" t="s">
        <v>914</v>
      </c>
      <c r="D240" t="s">
        <v>1353</v>
      </c>
      <c r="E240" t="s">
        <v>1353</v>
      </c>
      <c r="F240" t="s">
        <v>1353</v>
      </c>
      <c r="G240" t="s">
        <v>1353</v>
      </c>
      <c r="H240" t="s">
        <v>1353</v>
      </c>
    </row>
    <row r="241" spans="1:8" x14ac:dyDescent="0.2">
      <c r="A241" t="s">
        <v>1424</v>
      </c>
      <c r="B241">
        <v>10</v>
      </c>
      <c r="C241" t="s">
        <v>914</v>
      </c>
      <c r="D241" t="s">
        <v>1352</v>
      </c>
      <c r="E241" t="s">
        <v>1352</v>
      </c>
      <c r="F241" t="s">
        <v>1352</v>
      </c>
      <c r="G241" t="s">
        <v>1352</v>
      </c>
      <c r="H241" t="s">
        <v>1352</v>
      </c>
    </row>
    <row r="242" spans="1:8" x14ac:dyDescent="0.2">
      <c r="A242">
        <v>91762</v>
      </c>
      <c r="B242">
        <v>10</v>
      </c>
      <c r="C242" t="s">
        <v>914</v>
      </c>
      <c r="D242" t="s">
        <v>1353</v>
      </c>
      <c r="E242" t="s">
        <v>1353</v>
      </c>
      <c r="F242" t="s">
        <v>1353</v>
      </c>
      <c r="G242" t="s">
        <v>1353</v>
      </c>
      <c r="H242" t="s">
        <v>1353</v>
      </c>
    </row>
    <row r="243" spans="1:8" x14ac:dyDescent="0.2">
      <c r="A243">
        <v>91786</v>
      </c>
      <c r="B243">
        <v>10</v>
      </c>
      <c r="C243" t="s">
        <v>914</v>
      </c>
      <c r="D243" t="s">
        <v>1353</v>
      </c>
      <c r="E243" t="s">
        <v>1367</v>
      </c>
      <c r="F243" t="s">
        <v>1367</v>
      </c>
      <c r="G243" t="s">
        <v>1367</v>
      </c>
      <c r="H243" t="s">
        <v>1353</v>
      </c>
    </row>
    <row r="244" spans="1:8" x14ac:dyDescent="0.2">
      <c r="A244">
        <v>91709</v>
      </c>
      <c r="B244">
        <v>10</v>
      </c>
      <c r="C244" t="s">
        <v>914</v>
      </c>
      <c r="D244" t="s">
        <v>1353</v>
      </c>
      <c r="E244" t="s">
        <v>1353</v>
      </c>
      <c r="F244" t="s">
        <v>1353</v>
      </c>
      <c r="G244" t="s">
        <v>1353</v>
      </c>
      <c r="H244" t="s">
        <v>1353</v>
      </c>
    </row>
    <row r="245" spans="1:8" x14ac:dyDescent="0.2">
      <c r="A245">
        <v>91765</v>
      </c>
      <c r="B245">
        <v>10</v>
      </c>
      <c r="C245" t="s">
        <v>914</v>
      </c>
      <c r="D245" t="s">
        <v>1353</v>
      </c>
      <c r="E245" t="s">
        <v>1353</v>
      </c>
      <c r="F245" t="s">
        <v>1353</v>
      </c>
      <c r="G245" t="s">
        <v>195</v>
      </c>
      <c r="H245" t="s">
        <v>1353</v>
      </c>
    </row>
    <row r="246" spans="1:8" x14ac:dyDescent="0.2">
      <c r="A246" t="s">
        <v>1425</v>
      </c>
      <c r="B246">
        <v>10</v>
      </c>
      <c r="C246" t="s">
        <v>914</v>
      </c>
      <c r="D246" t="s">
        <v>1353</v>
      </c>
      <c r="E246" t="s">
        <v>1353</v>
      </c>
      <c r="F246" t="s">
        <v>1353</v>
      </c>
      <c r="G246" t="s">
        <v>1353</v>
      </c>
      <c r="H246" t="s">
        <v>1352</v>
      </c>
    </row>
    <row r="247" spans="1:8" x14ac:dyDescent="0.2">
      <c r="A247" t="s">
        <v>1426</v>
      </c>
      <c r="B247">
        <v>9.9</v>
      </c>
      <c r="C247" t="s">
        <v>914</v>
      </c>
      <c r="D247" t="s">
        <v>1353</v>
      </c>
      <c r="E247" t="s">
        <v>1353</v>
      </c>
      <c r="F247" t="s">
        <v>1353</v>
      </c>
      <c r="G247" t="s">
        <v>1353</v>
      </c>
      <c r="H247" t="s">
        <v>1353</v>
      </c>
    </row>
    <row r="248" spans="1:8" x14ac:dyDescent="0.2">
      <c r="A248">
        <v>91701</v>
      </c>
      <c r="B248">
        <v>9.4</v>
      </c>
      <c r="C248" t="s">
        <v>914</v>
      </c>
      <c r="D248" t="s">
        <v>1353</v>
      </c>
      <c r="E248" t="s">
        <v>1353</v>
      </c>
      <c r="F248" t="s">
        <v>1353</v>
      </c>
      <c r="G248" t="s">
        <v>1353</v>
      </c>
      <c r="H248" t="s">
        <v>1353</v>
      </c>
    </row>
    <row r="249" spans="1:8" x14ac:dyDescent="0.2">
      <c r="A249">
        <v>91710</v>
      </c>
      <c r="B249">
        <v>9.3000000000000007</v>
      </c>
      <c r="C249" t="s">
        <v>914</v>
      </c>
      <c r="D249" t="s">
        <v>1353</v>
      </c>
      <c r="E249" t="s">
        <v>1353</v>
      </c>
      <c r="F249" t="s">
        <v>1353</v>
      </c>
      <c r="G249" t="s">
        <v>1353</v>
      </c>
      <c r="H249" t="s">
        <v>1353</v>
      </c>
    </row>
    <row r="250" spans="1:8" x14ac:dyDescent="0.2">
      <c r="A250">
        <v>91740</v>
      </c>
      <c r="B250">
        <v>9</v>
      </c>
      <c r="C250" t="s">
        <v>914</v>
      </c>
      <c r="D250" t="s">
        <v>202</v>
      </c>
      <c r="E250" t="s">
        <v>202</v>
      </c>
      <c r="F250" t="s">
        <v>202</v>
      </c>
      <c r="G250" t="s">
        <v>202</v>
      </c>
      <c r="H250" t="s">
        <v>202</v>
      </c>
    </row>
    <row r="251" spans="1:8" x14ac:dyDescent="0.2">
      <c r="A251">
        <v>91768</v>
      </c>
      <c r="B251">
        <v>9</v>
      </c>
      <c r="C251" t="s">
        <v>914</v>
      </c>
      <c r="D251" t="s">
        <v>1353</v>
      </c>
      <c r="E251" t="s">
        <v>1353</v>
      </c>
      <c r="F251" t="s">
        <v>1353</v>
      </c>
      <c r="G251" t="s">
        <v>1353</v>
      </c>
      <c r="H251" t="s">
        <v>1353</v>
      </c>
    </row>
    <row r="252" spans="1:8" x14ac:dyDescent="0.2">
      <c r="A252">
        <v>91730</v>
      </c>
      <c r="B252">
        <v>9</v>
      </c>
      <c r="C252" t="s">
        <v>914</v>
      </c>
      <c r="D252" t="s">
        <v>1353</v>
      </c>
      <c r="E252" t="s">
        <v>1353</v>
      </c>
      <c r="F252" t="s">
        <v>1353</v>
      </c>
      <c r="G252" t="s">
        <v>1353</v>
      </c>
      <c r="H252" t="s">
        <v>1353</v>
      </c>
    </row>
    <row r="253" spans="1:8" x14ac:dyDescent="0.2">
      <c r="A253">
        <v>91764</v>
      </c>
      <c r="B253">
        <v>9</v>
      </c>
      <c r="C253" t="s">
        <v>914</v>
      </c>
      <c r="D253" t="s">
        <v>1353</v>
      </c>
      <c r="E253" t="s">
        <v>195</v>
      </c>
      <c r="F253" t="s">
        <v>1353</v>
      </c>
      <c r="G253" t="s">
        <v>1353</v>
      </c>
      <c r="H253" t="s">
        <v>1353</v>
      </c>
    </row>
    <row r="254" spans="1:8" x14ac:dyDescent="0.2">
      <c r="A254">
        <v>91737</v>
      </c>
      <c r="B254">
        <v>9</v>
      </c>
      <c r="C254" t="s">
        <v>914</v>
      </c>
      <c r="D254" t="s">
        <v>191</v>
      </c>
      <c r="E254" t="s">
        <v>1353</v>
      </c>
      <c r="F254" t="s">
        <v>1353</v>
      </c>
      <c r="G254" t="s">
        <v>1353</v>
      </c>
      <c r="H254" t="s">
        <v>1352</v>
      </c>
    </row>
    <row r="255" spans="1:8" x14ac:dyDescent="0.2">
      <c r="A255">
        <v>91701</v>
      </c>
      <c r="B255">
        <v>9</v>
      </c>
      <c r="C255" t="s">
        <v>914</v>
      </c>
      <c r="D255" t="s">
        <v>1353</v>
      </c>
      <c r="E255" t="s">
        <v>1353</v>
      </c>
      <c r="F255" t="s">
        <v>1353</v>
      </c>
      <c r="G255" t="s">
        <v>1353</v>
      </c>
      <c r="H255" t="s">
        <v>1353</v>
      </c>
    </row>
    <row r="256" spans="1:8" x14ac:dyDescent="0.2">
      <c r="A256">
        <v>91724</v>
      </c>
      <c r="B256">
        <v>8.68</v>
      </c>
      <c r="C256" t="s">
        <v>914</v>
      </c>
      <c r="D256" t="s">
        <v>1373</v>
      </c>
      <c r="E256" t="s">
        <v>1373</v>
      </c>
      <c r="F256" t="s">
        <v>1373</v>
      </c>
      <c r="G256" t="s">
        <v>1373</v>
      </c>
      <c r="H256" t="s">
        <v>1353</v>
      </c>
    </row>
    <row r="257" spans="1:8" x14ac:dyDescent="0.2">
      <c r="A257">
        <v>91773</v>
      </c>
      <c r="B257">
        <v>8.5</v>
      </c>
      <c r="C257" t="s">
        <v>914</v>
      </c>
      <c r="D257" t="s">
        <v>1353</v>
      </c>
      <c r="E257" t="s">
        <v>1353</v>
      </c>
      <c r="F257" t="s">
        <v>1353</v>
      </c>
      <c r="G257" t="s">
        <v>1353</v>
      </c>
      <c r="H257" t="s">
        <v>1353</v>
      </c>
    </row>
    <row r="258" spans="1:8" x14ac:dyDescent="0.2">
      <c r="A258">
        <v>91710</v>
      </c>
      <c r="B258">
        <v>8.5</v>
      </c>
      <c r="C258" t="s">
        <v>914</v>
      </c>
      <c r="D258" t="s">
        <v>1353</v>
      </c>
      <c r="E258" t="s">
        <v>1353</v>
      </c>
      <c r="F258" t="s">
        <v>1353</v>
      </c>
      <c r="G258" t="s">
        <v>1353</v>
      </c>
      <c r="H258" t="s">
        <v>1353</v>
      </c>
    </row>
    <row r="259" spans="1:8" x14ac:dyDescent="0.2">
      <c r="A259">
        <v>91764</v>
      </c>
      <c r="B259">
        <v>8.3000000000000007</v>
      </c>
      <c r="C259" t="s">
        <v>914</v>
      </c>
      <c r="D259" t="s">
        <v>1353</v>
      </c>
      <c r="E259" t="s">
        <v>1353</v>
      </c>
      <c r="F259" t="s">
        <v>1353</v>
      </c>
      <c r="G259" t="s">
        <v>1353</v>
      </c>
      <c r="H259" t="s">
        <v>1353</v>
      </c>
    </row>
    <row r="260" spans="1:8" x14ac:dyDescent="0.2">
      <c r="A260">
        <v>91750</v>
      </c>
      <c r="B260">
        <v>8</v>
      </c>
      <c r="C260" t="s">
        <v>914</v>
      </c>
      <c r="D260" t="s">
        <v>1353</v>
      </c>
      <c r="E260" t="s">
        <v>1353</v>
      </c>
      <c r="F260" t="s">
        <v>1353</v>
      </c>
      <c r="G260" t="s">
        <v>1353</v>
      </c>
      <c r="H260" t="s">
        <v>1353</v>
      </c>
    </row>
    <row r="261" spans="1:8" x14ac:dyDescent="0.2">
      <c r="A261">
        <v>91701</v>
      </c>
      <c r="B261">
        <v>8</v>
      </c>
      <c r="C261" t="s">
        <v>914</v>
      </c>
      <c r="D261" t="s">
        <v>202</v>
      </c>
      <c r="E261" t="s">
        <v>202</v>
      </c>
      <c r="F261" t="s">
        <v>1355</v>
      </c>
      <c r="G261" t="s">
        <v>202</v>
      </c>
      <c r="H261" t="s">
        <v>1355</v>
      </c>
    </row>
    <row r="262" spans="1:8" x14ac:dyDescent="0.2">
      <c r="A262">
        <v>91722</v>
      </c>
      <c r="B262">
        <v>8</v>
      </c>
      <c r="C262" t="s">
        <v>914</v>
      </c>
      <c r="D262" t="s">
        <v>1353</v>
      </c>
      <c r="E262" t="s">
        <v>1352</v>
      </c>
      <c r="F262" t="s">
        <v>1352</v>
      </c>
      <c r="G262" t="s">
        <v>1352</v>
      </c>
      <c r="H262" t="s">
        <v>1352</v>
      </c>
    </row>
    <row r="263" spans="1:8" x14ac:dyDescent="0.2">
      <c r="A263">
        <v>91763</v>
      </c>
      <c r="B263">
        <v>8</v>
      </c>
      <c r="C263" t="s">
        <v>914</v>
      </c>
      <c r="D263" t="s">
        <v>1353</v>
      </c>
      <c r="E263" t="s">
        <v>1353</v>
      </c>
      <c r="F263" t="s">
        <v>1356</v>
      </c>
      <c r="G263" t="s">
        <v>1359</v>
      </c>
      <c r="H263" t="s">
        <v>202</v>
      </c>
    </row>
    <row r="264" spans="1:8" x14ac:dyDescent="0.2">
      <c r="A264">
        <v>91730</v>
      </c>
      <c r="B264">
        <v>8</v>
      </c>
      <c r="C264" t="s">
        <v>914</v>
      </c>
      <c r="D264" t="s">
        <v>1353</v>
      </c>
      <c r="E264" t="s">
        <v>1353</v>
      </c>
      <c r="F264" t="s">
        <v>1353</v>
      </c>
      <c r="G264" t="s">
        <v>1353</v>
      </c>
      <c r="H264" t="s">
        <v>1353</v>
      </c>
    </row>
    <row r="265" spans="1:8" x14ac:dyDescent="0.2">
      <c r="A265">
        <v>91786</v>
      </c>
      <c r="B265">
        <v>8</v>
      </c>
      <c r="C265" t="s">
        <v>914</v>
      </c>
      <c r="D265" t="s">
        <v>1353</v>
      </c>
      <c r="E265" t="s">
        <v>1353</v>
      </c>
      <c r="F265" t="s">
        <v>1353</v>
      </c>
      <c r="G265" t="s">
        <v>1353</v>
      </c>
      <c r="H265" t="s">
        <v>1353</v>
      </c>
    </row>
    <row r="266" spans="1:8" x14ac:dyDescent="0.2">
      <c r="A266">
        <v>91701</v>
      </c>
      <c r="B266">
        <v>8</v>
      </c>
      <c r="C266" t="s">
        <v>914</v>
      </c>
      <c r="D266" t="s">
        <v>1353</v>
      </c>
      <c r="E266" t="s">
        <v>202</v>
      </c>
      <c r="F266" t="s">
        <v>202</v>
      </c>
      <c r="G266" t="s">
        <v>1353</v>
      </c>
      <c r="H266" t="s">
        <v>1353</v>
      </c>
    </row>
    <row r="267" spans="1:8" x14ac:dyDescent="0.2">
      <c r="A267">
        <v>91784</v>
      </c>
      <c r="B267">
        <v>8</v>
      </c>
      <c r="C267" t="s">
        <v>914</v>
      </c>
      <c r="D267" t="s">
        <v>1353</v>
      </c>
      <c r="E267" t="s">
        <v>1353</v>
      </c>
      <c r="F267" t="s">
        <v>1353</v>
      </c>
      <c r="G267" t="s">
        <v>1353</v>
      </c>
      <c r="H267" t="s">
        <v>1353</v>
      </c>
    </row>
    <row r="268" spans="1:8" x14ac:dyDescent="0.2">
      <c r="A268">
        <v>91763</v>
      </c>
      <c r="B268">
        <v>8</v>
      </c>
      <c r="C268" t="s">
        <v>914</v>
      </c>
      <c r="D268" t="s">
        <v>1353</v>
      </c>
      <c r="E268" t="s">
        <v>1353</v>
      </c>
      <c r="F268" t="s">
        <v>1353</v>
      </c>
      <c r="G268" t="s">
        <v>1353</v>
      </c>
      <c r="H268" t="s">
        <v>195</v>
      </c>
    </row>
    <row r="269" spans="1:8" x14ac:dyDescent="0.2">
      <c r="A269" t="s">
        <v>1427</v>
      </c>
      <c r="B269">
        <v>8</v>
      </c>
      <c r="C269" t="s">
        <v>914</v>
      </c>
      <c r="D269" t="s">
        <v>1353</v>
      </c>
      <c r="E269" t="s">
        <v>1353</v>
      </c>
      <c r="F269" t="s">
        <v>199</v>
      </c>
      <c r="G269" t="s">
        <v>199</v>
      </c>
      <c r="H269" t="s">
        <v>199</v>
      </c>
    </row>
    <row r="270" spans="1:8" x14ac:dyDescent="0.2">
      <c r="A270">
        <v>91773</v>
      </c>
      <c r="B270">
        <v>8</v>
      </c>
      <c r="C270" t="s">
        <v>914</v>
      </c>
      <c r="D270" t="s">
        <v>1353</v>
      </c>
      <c r="E270" t="s">
        <v>1353</v>
      </c>
      <c r="F270" t="s">
        <v>1353</v>
      </c>
      <c r="G270" t="s">
        <v>1353</v>
      </c>
      <c r="H270" t="s">
        <v>191</v>
      </c>
    </row>
    <row r="271" spans="1:8" x14ac:dyDescent="0.2">
      <c r="A271">
        <v>91740</v>
      </c>
      <c r="B271">
        <v>8</v>
      </c>
      <c r="C271" t="s">
        <v>914</v>
      </c>
      <c r="D271" t="s">
        <v>195</v>
      </c>
      <c r="E271" t="s">
        <v>1353</v>
      </c>
      <c r="F271" t="s">
        <v>1372</v>
      </c>
      <c r="G271" t="s">
        <v>1353</v>
      </c>
      <c r="H271" t="s">
        <v>1353</v>
      </c>
    </row>
    <row r="272" spans="1:8" x14ac:dyDescent="0.2">
      <c r="A272">
        <v>91773</v>
      </c>
      <c r="B272">
        <v>8</v>
      </c>
      <c r="C272" t="s">
        <v>914</v>
      </c>
      <c r="D272" t="s">
        <v>1353</v>
      </c>
      <c r="E272" t="s">
        <v>1353</v>
      </c>
      <c r="F272" t="s">
        <v>1353</v>
      </c>
      <c r="G272" t="s">
        <v>1353</v>
      </c>
      <c r="H272" t="s">
        <v>1353</v>
      </c>
    </row>
    <row r="273" spans="1:8" x14ac:dyDescent="0.2">
      <c r="A273">
        <v>91762</v>
      </c>
      <c r="B273">
        <v>8</v>
      </c>
      <c r="C273" t="s">
        <v>914</v>
      </c>
      <c r="D273" t="s">
        <v>1353</v>
      </c>
      <c r="E273" t="s">
        <v>1353</v>
      </c>
      <c r="F273" t="s">
        <v>1353</v>
      </c>
      <c r="G273" t="s">
        <v>1353</v>
      </c>
      <c r="H273" t="s">
        <v>1353</v>
      </c>
    </row>
    <row r="274" spans="1:8" x14ac:dyDescent="0.2">
      <c r="A274">
        <v>91730</v>
      </c>
      <c r="B274">
        <v>8</v>
      </c>
      <c r="C274" t="s">
        <v>914</v>
      </c>
      <c r="D274" t="s">
        <v>1353</v>
      </c>
      <c r="E274" t="s">
        <v>1353</v>
      </c>
      <c r="F274" t="s">
        <v>1353</v>
      </c>
      <c r="G274" t="s">
        <v>1353</v>
      </c>
      <c r="H274" t="s">
        <v>1353</v>
      </c>
    </row>
    <row r="275" spans="1:8" x14ac:dyDescent="0.2">
      <c r="A275">
        <v>91701</v>
      </c>
      <c r="B275">
        <v>8</v>
      </c>
      <c r="C275" t="s">
        <v>914</v>
      </c>
      <c r="D275" t="s">
        <v>1353</v>
      </c>
      <c r="E275" t="s">
        <v>1353</v>
      </c>
      <c r="F275" t="s">
        <v>1353</v>
      </c>
      <c r="G275" t="s">
        <v>1353</v>
      </c>
      <c r="H275" t="s">
        <v>1353</v>
      </c>
    </row>
    <row r="276" spans="1:8" x14ac:dyDescent="0.2">
      <c r="A276">
        <v>91701</v>
      </c>
      <c r="B276">
        <v>8</v>
      </c>
      <c r="C276" t="s">
        <v>914</v>
      </c>
      <c r="D276" t="s">
        <v>1353</v>
      </c>
      <c r="E276" t="s">
        <v>1353</v>
      </c>
      <c r="F276" t="s">
        <v>1353</v>
      </c>
      <c r="G276" t="s">
        <v>1353</v>
      </c>
      <c r="H276" t="s">
        <v>1353</v>
      </c>
    </row>
    <row r="277" spans="1:8" x14ac:dyDescent="0.2">
      <c r="A277">
        <v>91730</v>
      </c>
      <c r="B277">
        <v>7.9</v>
      </c>
      <c r="C277" t="s">
        <v>914</v>
      </c>
      <c r="D277" t="s">
        <v>1353</v>
      </c>
      <c r="E277" t="s">
        <v>191</v>
      </c>
      <c r="F277" t="s">
        <v>191</v>
      </c>
      <c r="G277" t="s">
        <v>191</v>
      </c>
      <c r="H277" t="s">
        <v>195</v>
      </c>
    </row>
    <row r="278" spans="1:8" x14ac:dyDescent="0.2">
      <c r="A278">
        <v>91784</v>
      </c>
      <c r="B278">
        <v>7.5</v>
      </c>
      <c r="C278" t="s">
        <v>914</v>
      </c>
      <c r="D278" t="s">
        <v>1373</v>
      </c>
      <c r="E278" t="s">
        <v>1373</v>
      </c>
      <c r="F278" t="s">
        <v>1353</v>
      </c>
      <c r="G278" t="s">
        <v>1353</v>
      </c>
      <c r="H278" t="s">
        <v>1353</v>
      </c>
    </row>
    <row r="279" spans="1:8" x14ac:dyDescent="0.2">
      <c r="A279">
        <v>91764</v>
      </c>
      <c r="B279">
        <v>7.4</v>
      </c>
      <c r="C279" t="s">
        <v>1390</v>
      </c>
      <c r="D279" t="s">
        <v>1353</v>
      </c>
      <c r="E279" t="s">
        <v>1353</v>
      </c>
      <c r="F279" t="s">
        <v>1353</v>
      </c>
      <c r="G279" t="s">
        <v>1353</v>
      </c>
      <c r="H279" t="s">
        <v>1353</v>
      </c>
    </row>
    <row r="280" spans="1:8" x14ac:dyDescent="0.2">
      <c r="A280">
        <v>92335</v>
      </c>
      <c r="B280">
        <v>7.2</v>
      </c>
      <c r="C280" t="s">
        <v>914</v>
      </c>
      <c r="D280" t="s">
        <v>1353</v>
      </c>
      <c r="E280" t="s">
        <v>1353</v>
      </c>
      <c r="F280" t="s">
        <v>1353</v>
      </c>
      <c r="G280" t="s">
        <v>1353</v>
      </c>
      <c r="H280" t="s">
        <v>1353</v>
      </c>
    </row>
    <row r="281" spans="1:8" x14ac:dyDescent="0.2">
      <c r="A281">
        <v>91711</v>
      </c>
      <c r="B281">
        <v>7</v>
      </c>
      <c r="C281" t="s">
        <v>914</v>
      </c>
      <c r="D281" t="s">
        <v>1353</v>
      </c>
      <c r="E281" t="s">
        <v>1353</v>
      </c>
      <c r="F281" t="s">
        <v>1353</v>
      </c>
      <c r="G281" t="s">
        <v>1353</v>
      </c>
      <c r="H281" t="s">
        <v>1353</v>
      </c>
    </row>
    <row r="282" spans="1:8" x14ac:dyDescent="0.2">
      <c r="A282">
        <v>91750</v>
      </c>
      <c r="B282">
        <v>7</v>
      </c>
      <c r="C282" t="s">
        <v>914</v>
      </c>
      <c r="D282" t="s">
        <v>1353</v>
      </c>
      <c r="E282" t="s">
        <v>1353</v>
      </c>
      <c r="F282" t="s">
        <v>1353</v>
      </c>
      <c r="G282" t="s">
        <v>1353</v>
      </c>
      <c r="H282" t="s">
        <v>1353</v>
      </c>
    </row>
    <row r="283" spans="1:8" x14ac:dyDescent="0.2">
      <c r="A283">
        <v>91711</v>
      </c>
      <c r="B283">
        <v>7</v>
      </c>
      <c r="C283" t="s">
        <v>914</v>
      </c>
      <c r="D283" t="s">
        <v>1353</v>
      </c>
      <c r="E283" t="s">
        <v>1353</v>
      </c>
      <c r="F283" t="s">
        <v>1353</v>
      </c>
      <c r="G283" t="s">
        <v>1353</v>
      </c>
      <c r="H283" t="s">
        <v>1353</v>
      </c>
    </row>
    <row r="284" spans="1:8" x14ac:dyDescent="0.2">
      <c r="A284">
        <v>91766</v>
      </c>
      <c r="B284">
        <v>7</v>
      </c>
      <c r="C284" t="s">
        <v>914</v>
      </c>
      <c r="D284" t="s">
        <v>1353</v>
      </c>
      <c r="E284" t="s">
        <v>1353</v>
      </c>
      <c r="F284" t="s">
        <v>1353</v>
      </c>
      <c r="G284" t="s">
        <v>1353</v>
      </c>
      <c r="H284" t="s">
        <v>1353</v>
      </c>
    </row>
    <row r="285" spans="1:8" x14ac:dyDescent="0.2">
      <c r="A285">
        <v>91764</v>
      </c>
      <c r="B285">
        <v>7</v>
      </c>
      <c r="C285" t="s">
        <v>914</v>
      </c>
      <c r="D285" t="s">
        <v>1353</v>
      </c>
      <c r="E285" t="s">
        <v>1353</v>
      </c>
      <c r="F285" t="s">
        <v>1353</v>
      </c>
      <c r="G285" t="s">
        <v>1353</v>
      </c>
      <c r="H285" t="s">
        <v>1353</v>
      </c>
    </row>
    <row r="286" spans="1:8" x14ac:dyDescent="0.2">
      <c r="A286">
        <v>91767</v>
      </c>
      <c r="B286">
        <v>7</v>
      </c>
      <c r="C286" t="s">
        <v>914</v>
      </c>
      <c r="D286" t="s">
        <v>1352</v>
      </c>
      <c r="E286" t="s">
        <v>1352</v>
      </c>
      <c r="F286" t="s">
        <v>1352</v>
      </c>
      <c r="G286" t="s">
        <v>1352</v>
      </c>
      <c r="H286" t="s">
        <v>1352</v>
      </c>
    </row>
    <row r="287" spans="1:8" x14ac:dyDescent="0.2">
      <c r="A287">
        <v>91768</v>
      </c>
      <c r="B287">
        <v>7</v>
      </c>
      <c r="C287" t="s">
        <v>914</v>
      </c>
      <c r="D287" t="s">
        <v>1353</v>
      </c>
      <c r="E287" t="s">
        <v>1353</v>
      </c>
      <c r="F287" t="s">
        <v>1353</v>
      </c>
      <c r="G287" t="s">
        <v>1353</v>
      </c>
      <c r="H287" t="s">
        <v>1353</v>
      </c>
    </row>
    <row r="288" spans="1:8" x14ac:dyDescent="0.2">
      <c r="A288">
        <v>91750</v>
      </c>
      <c r="B288">
        <v>7</v>
      </c>
      <c r="C288" t="s">
        <v>914</v>
      </c>
      <c r="D288" t="s">
        <v>1356</v>
      </c>
      <c r="E288" t="s">
        <v>1356</v>
      </c>
      <c r="F288" t="s">
        <v>1356</v>
      </c>
      <c r="G288" t="s">
        <v>1356</v>
      </c>
      <c r="H288" t="s">
        <v>1356</v>
      </c>
    </row>
    <row r="289" spans="1:8" x14ac:dyDescent="0.2">
      <c r="A289">
        <v>91701</v>
      </c>
      <c r="B289">
        <v>7</v>
      </c>
      <c r="C289" t="s">
        <v>914</v>
      </c>
      <c r="D289" t="s">
        <v>1353</v>
      </c>
      <c r="E289" t="s">
        <v>1353</v>
      </c>
      <c r="F289" t="s">
        <v>1353</v>
      </c>
      <c r="G289" t="s">
        <v>1353</v>
      </c>
      <c r="H289" t="s">
        <v>191</v>
      </c>
    </row>
    <row r="290" spans="1:8" x14ac:dyDescent="0.2">
      <c r="A290">
        <v>91766</v>
      </c>
      <c r="B290">
        <v>7</v>
      </c>
      <c r="C290" t="s">
        <v>914</v>
      </c>
      <c r="D290" t="s">
        <v>1356</v>
      </c>
      <c r="E290" t="s">
        <v>1356</v>
      </c>
      <c r="F290" t="s">
        <v>1356</v>
      </c>
      <c r="G290" t="s">
        <v>1356</v>
      </c>
      <c r="H290" t="s">
        <v>1356</v>
      </c>
    </row>
    <row r="291" spans="1:8" x14ac:dyDescent="0.2">
      <c r="A291">
        <v>91750</v>
      </c>
      <c r="B291">
        <v>7</v>
      </c>
      <c r="C291" t="s">
        <v>914</v>
      </c>
      <c r="D291" t="s">
        <v>191</v>
      </c>
      <c r="E291" t="s">
        <v>191</v>
      </c>
      <c r="F291" t="s">
        <v>191</v>
      </c>
      <c r="G291" t="s">
        <v>191</v>
      </c>
      <c r="H291" t="s">
        <v>191</v>
      </c>
    </row>
    <row r="292" spans="1:8" x14ac:dyDescent="0.2">
      <c r="A292">
        <v>91762</v>
      </c>
      <c r="B292">
        <v>7</v>
      </c>
      <c r="C292" t="s">
        <v>914</v>
      </c>
      <c r="D292" t="s">
        <v>1353</v>
      </c>
      <c r="E292" t="s">
        <v>1353</v>
      </c>
      <c r="F292" t="s">
        <v>1353</v>
      </c>
      <c r="G292" t="s">
        <v>1353</v>
      </c>
      <c r="H292" t="s">
        <v>1353</v>
      </c>
    </row>
    <row r="293" spans="1:8" x14ac:dyDescent="0.2">
      <c r="A293">
        <v>91786</v>
      </c>
      <c r="B293">
        <v>7</v>
      </c>
      <c r="C293" t="s">
        <v>914</v>
      </c>
      <c r="D293" t="s">
        <v>1353</v>
      </c>
      <c r="E293" t="s">
        <v>1353</v>
      </c>
      <c r="F293" t="s">
        <v>1353</v>
      </c>
      <c r="G293" t="s">
        <v>1353</v>
      </c>
      <c r="H293" t="s">
        <v>1353</v>
      </c>
    </row>
    <row r="294" spans="1:8" x14ac:dyDescent="0.2">
      <c r="A294">
        <v>91709</v>
      </c>
      <c r="B294">
        <v>7</v>
      </c>
      <c r="C294" t="s">
        <v>914</v>
      </c>
      <c r="D294" t="s">
        <v>1353</v>
      </c>
      <c r="E294" t="s">
        <v>1353</v>
      </c>
      <c r="F294" t="s">
        <v>1353</v>
      </c>
      <c r="G294" t="s">
        <v>1353</v>
      </c>
      <c r="H294" t="s">
        <v>1353</v>
      </c>
    </row>
    <row r="295" spans="1:8" x14ac:dyDescent="0.2">
      <c r="A295">
        <v>91730</v>
      </c>
      <c r="B295">
        <v>7</v>
      </c>
      <c r="C295" t="s">
        <v>914</v>
      </c>
      <c r="D295" t="s">
        <v>1353</v>
      </c>
      <c r="E295" t="s">
        <v>1353</v>
      </c>
      <c r="F295" t="s">
        <v>1353</v>
      </c>
      <c r="G295" t="s">
        <v>1353</v>
      </c>
      <c r="H295" t="s">
        <v>1353</v>
      </c>
    </row>
    <row r="296" spans="1:8" x14ac:dyDescent="0.2">
      <c r="A296">
        <v>91730</v>
      </c>
      <c r="B296">
        <v>7</v>
      </c>
      <c r="C296" t="s">
        <v>914</v>
      </c>
      <c r="D296" t="s">
        <v>191</v>
      </c>
      <c r="E296" t="s">
        <v>1353</v>
      </c>
      <c r="F296" t="s">
        <v>1353</v>
      </c>
      <c r="G296" t="s">
        <v>1352</v>
      </c>
      <c r="H296" t="s">
        <v>1353</v>
      </c>
    </row>
    <row r="297" spans="1:8" x14ac:dyDescent="0.2">
      <c r="A297">
        <v>91766</v>
      </c>
      <c r="B297">
        <v>7</v>
      </c>
      <c r="C297" t="s">
        <v>914</v>
      </c>
      <c r="D297" t="s">
        <v>1353</v>
      </c>
      <c r="E297" t="s">
        <v>1353</v>
      </c>
      <c r="F297" t="s">
        <v>1353</v>
      </c>
      <c r="G297" t="s">
        <v>1353</v>
      </c>
      <c r="H297" t="s">
        <v>1353</v>
      </c>
    </row>
    <row r="298" spans="1:8" x14ac:dyDescent="0.2">
      <c r="A298">
        <v>91762</v>
      </c>
      <c r="B298">
        <v>6.3</v>
      </c>
      <c r="C298" t="s">
        <v>914</v>
      </c>
      <c r="D298" t="s">
        <v>1353</v>
      </c>
      <c r="E298" t="s">
        <v>1353</v>
      </c>
      <c r="F298" t="s">
        <v>1353</v>
      </c>
      <c r="G298" t="s">
        <v>1353</v>
      </c>
      <c r="H298" t="s">
        <v>1353</v>
      </c>
    </row>
    <row r="299" spans="1:8" x14ac:dyDescent="0.2">
      <c r="A299">
        <v>91730</v>
      </c>
      <c r="B299">
        <v>6.3</v>
      </c>
      <c r="C299" t="s">
        <v>914</v>
      </c>
      <c r="D299" t="s">
        <v>1353</v>
      </c>
      <c r="E299" t="s">
        <v>1353</v>
      </c>
      <c r="F299" t="s">
        <v>1353</v>
      </c>
      <c r="G299" t="s">
        <v>195</v>
      </c>
      <c r="H299" t="s">
        <v>1353</v>
      </c>
    </row>
    <row r="300" spans="1:8" x14ac:dyDescent="0.2">
      <c r="A300">
        <v>91764</v>
      </c>
      <c r="B300">
        <v>6</v>
      </c>
      <c r="C300" t="s">
        <v>914</v>
      </c>
      <c r="D300" t="s">
        <v>1353</v>
      </c>
      <c r="E300" t="s">
        <v>1353</v>
      </c>
      <c r="F300" t="s">
        <v>1353</v>
      </c>
      <c r="G300" t="s">
        <v>1353</v>
      </c>
      <c r="H300" t="s">
        <v>1353</v>
      </c>
    </row>
    <row r="301" spans="1:8" x14ac:dyDescent="0.2">
      <c r="A301">
        <v>91763</v>
      </c>
      <c r="B301">
        <v>6</v>
      </c>
      <c r="C301" t="s">
        <v>914</v>
      </c>
      <c r="D301" t="s">
        <v>1353</v>
      </c>
      <c r="E301" t="s">
        <v>1353</v>
      </c>
      <c r="F301" t="s">
        <v>1353</v>
      </c>
      <c r="G301" t="s">
        <v>1353</v>
      </c>
      <c r="H301" t="s">
        <v>1353</v>
      </c>
    </row>
    <row r="302" spans="1:8" x14ac:dyDescent="0.2">
      <c r="A302">
        <v>91786</v>
      </c>
      <c r="B302">
        <v>6</v>
      </c>
      <c r="C302" t="s">
        <v>914</v>
      </c>
      <c r="D302" t="s">
        <v>1353</v>
      </c>
      <c r="E302" t="s">
        <v>1353</v>
      </c>
      <c r="F302" t="s">
        <v>1353</v>
      </c>
      <c r="G302" t="s">
        <v>1353</v>
      </c>
      <c r="H302" t="s">
        <v>1353</v>
      </c>
    </row>
    <row r="303" spans="1:8" x14ac:dyDescent="0.2">
      <c r="A303">
        <v>91766</v>
      </c>
      <c r="B303">
        <v>6</v>
      </c>
      <c r="C303" t="s">
        <v>914</v>
      </c>
      <c r="D303" t="s">
        <v>1353</v>
      </c>
      <c r="E303" t="s">
        <v>1353</v>
      </c>
      <c r="F303" t="s">
        <v>1353</v>
      </c>
      <c r="G303" t="s">
        <v>1353</v>
      </c>
      <c r="H303" t="s">
        <v>1353</v>
      </c>
    </row>
    <row r="304" spans="1:8" x14ac:dyDescent="0.2">
      <c r="A304">
        <v>91762</v>
      </c>
      <c r="B304">
        <v>6</v>
      </c>
      <c r="C304" t="s">
        <v>914</v>
      </c>
      <c r="D304" t="s">
        <v>1353</v>
      </c>
      <c r="E304" t="s">
        <v>1353</v>
      </c>
      <c r="F304" t="s">
        <v>1353</v>
      </c>
      <c r="G304" t="s">
        <v>1353</v>
      </c>
      <c r="H304" t="s">
        <v>1353</v>
      </c>
    </row>
    <row r="305" spans="1:8" x14ac:dyDescent="0.2">
      <c r="A305">
        <v>91784</v>
      </c>
      <c r="B305">
        <v>6</v>
      </c>
      <c r="C305" t="s">
        <v>914</v>
      </c>
      <c r="D305" t="s">
        <v>1353</v>
      </c>
      <c r="E305" t="s">
        <v>1353</v>
      </c>
      <c r="F305" t="s">
        <v>1353</v>
      </c>
      <c r="G305" t="s">
        <v>1353</v>
      </c>
      <c r="H305" t="s">
        <v>1353</v>
      </c>
    </row>
    <row r="306" spans="1:8" x14ac:dyDescent="0.2">
      <c r="A306">
        <v>91764</v>
      </c>
      <c r="B306">
        <v>6</v>
      </c>
      <c r="C306" t="s">
        <v>914</v>
      </c>
      <c r="D306" t="s">
        <v>1353</v>
      </c>
      <c r="E306" t="s">
        <v>1353</v>
      </c>
      <c r="F306" t="s">
        <v>1353</v>
      </c>
      <c r="G306" t="s">
        <v>1353</v>
      </c>
      <c r="H306" t="s">
        <v>1353</v>
      </c>
    </row>
    <row r="307" spans="1:8" x14ac:dyDescent="0.2">
      <c r="A307">
        <v>91733</v>
      </c>
      <c r="B307">
        <v>6</v>
      </c>
      <c r="C307" t="s">
        <v>914</v>
      </c>
      <c r="D307" t="s">
        <v>1353</v>
      </c>
      <c r="E307" t="s">
        <v>1353</v>
      </c>
      <c r="F307" t="s">
        <v>1353</v>
      </c>
      <c r="G307" t="s">
        <v>1353</v>
      </c>
      <c r="H307" t="s">
        <v>1353</v>
      </c>
    </row>
    <row r="308" spans="1:8" x14ac:dyDescent="0.2">
      <c r="A308">
        <v>91762</v>
      </c>
      <c r="B308">
        <v>6</v>
      </c>
      <c r="C308" t="s">
        <v>914</v>
      </c>
      <c r="D308" t="s">
        <v>1353</v>
      </c>
      <c r="E308" t="s">
        <v>1353</v>
      </c>
      <c r="F308" t="s">
        <v>1353</v>
      </c>
      <c r="G308" t="s">
        <v>1353</v>
      </c>
      <c r="H308" t="s">
        <v>1353</v>
      </c>
    </row>
    <row r="309" spans="1:8" x14ac:dyDescent="0.2">
      <c r="A309">
        <v>91784</v>
      </c>
      <c r="B309">
        <v>6</v>
      </c>
      <c r="C309" t="s">
        <v>914</v>
      </c>
      <c r="D309" t="s">
        <v>1352</v>
      </c>
      <c r="E309" t="s">
        <v>1352</v>
      </c>
      <c r="F309" t="s">
        <v>1352</v>
      </c>
      <c r="G309" t="s">
        <v>1352</v>
      </c>
      <c r="H309" t="s">
        <v>1353</v>
      </c>
    </row>
    <row r="310" spans="1:8" x14ac:dyDescent="0.2">
      <c r="A310">
        <v>91784</v>
      </c>
      <c r="B310">
        <v>6</v>
      </c>
      <c r="C310" t="s">
        <v>914</v>
      </c>
      <c r="D310" t="s">
        <v>1352</v>
      </c>
      <c r="E310" t="s">
        <v>1352</v>
      </c>
      <c r="F310" t="s">
        <v>1352</v>
      </c>
      <c r="G310" t="s">
        <v>1352</v>
      </c>
      <c r="H310" t="s">
        <v>1352</v>
      </c>
    </row>
    <row r="311" spans="1:8" x14ac:dyDescent="0.2">
      <c r="A311">
        <v>91741</v>
      </c>
      <c r="B311">
        <v>6</v>
      </c>
      <c r="C311" t="s">
        <v>914</v>
      </c>
      <c r="D311" t="s">
        <v>1353</v>
      </c>
      <c r="E311" t="s">
        <v>1353</v>
      </c>
      <c r="F311" t="s">
        <v>1353</v>
      </c>
      <c r="G311" t="s">
        <v>1353</v>
      </c>
      <c r="H311" t="s">
        <v>1353</v>
      </c>
    </row>
    <row r="312" spans="1:8" x14ac:dyDescent="0.2">
      <c r="A312">
        <v>91762</v>
      </c>
      <c r="B312">
        <v>6</v>
      </c>
      <c r="C312" t="s">
        <v>914</v>
      </c>
      <c r="D312" t="s">
        <v>1353</v>
      </c>
      <c r="E312" t="s">
        <v>1353</v>
      </c>
      <c r="F312" t="s">
        <v>1353</v>
      </c>
      <c r="G312" t="s">
        <v>1353</v>
      </c>
      <c r="H312" t="s">
        <v>1353</v>
      </c>
    </row>
    <row r="313" spans="1:8" x14ac:dyDescent="0.2">
      <c r="A313">
        <v>91784</v>
      </c>
      <c r="B313">
        <v>6</v>
      </c>
      <c r="C313" t="s">
        <v>914</v>
      </c>
      <c r="D313" t="s">
        <v>1353</v>
      </c>
      <c r="E313" t="s">
        <v>1353</v>
      </c>
      <c r="F313" t="s">
        <v>1353</v>
      </c>
      <c r="G313" t="s">
        <v>1353</v>
      </c>
      <c r="H313" t="s">
        <v>1353</v>
      </c>
    </row>
    <row r="314" spans="1:8" x14ac:dyDescent="0.2">
      <c r="A314">
        <v>91784</v>
      </c>
      <c r="B314">
        <v>6</v>
      </c>
      <c r="C314" t="s">
        <v>1390</v>
      </c>
      <c r="D314" t="s">
        <v>202</v>
      </c>
      <c r="E314" t="s">
        <v>202</v>
      </c>
      <c r="F314" t="s">
        <v>202</v>
      </c>
      <c r="G314" t="s">
        <v>1352</v>
      </c>
      <c r="H314" t="s">
        <v>202</v>
      </c>
    </row>
    <row r="315" spans="1:8" x14ac:dyDescent="0.2">
      <c r="A315">
        <v>91784</v>
      </c>
      <c r="B315">
        <v>6</v>
      </c>
      <c r="C315" t="s">
        <v>1390</v>
      </c>
      <c r="D315" t="s">
        <v>199</v>
      </c>
      <c r="E315" t="s">
        <v>1353</v>
      </c>
      <c r="F315" t="s">
        <v>1353</v>
      </c>
      <c r="G315" t="s">
        <v>199</v>
      </c>
      <c r="H315" t="s">
        <v>199</v>
      </c>
    </row>
    <row r="316" spans="1:8" x14ac:dyDescent="0.2">
      <c r="A316">
        <v>91784</v>
      </c>
      <c r="B316">
        <v>6</v>
      </c>
      <c r="C316" t="s">
        <v>1390</v>
      </c>
      <c r="D316" t="s">
        <v>1353</v>
      </c>
      <c r="E316" t="s">
        <v>1353</v>
      </c>
      <c r="F316" t="s">
        <v>1353</v>
      </c>
      <c r="G316" t="s">
        <v>1353</v>
      </c>
      <c r="H316" t="s">
        <v>1353</v>
      </c>
    </row>
    <row r="317" spans="1:8" x14ac:dyDescent="0.2">
      <c r="A317">
        <v>91701</v>
      </c>
      <c r="B317">
        <v>5.8</v>
      </c>
      <c r="C317" t="s">
        <v>914</v>
      </c>
      <c r="D317" t="s">
        <v>1353</v>
      </c>
      <c r="E317" t="s">
        <v>1353</v>
      </c>
      <c r="F317" t="s">
        <v>1353</v>
      </c>
      <c r="G317" t="s">
        <v>1353</v>
      </c>
      <c r="H317" t="s">
        <v>1353</v>
      </c>
    </row>
    <row r="318" spans="1:8" x14ac:dyDescent="0.2">
      <c r="A318">
        <v>91784</v>
      </c>
      <c r="B318">
        <v>5.7</v>
      </c>
      <c r="C318" t="s">
        <v>914</v>
      </c>
      <c r="D318" t="s">
        <v>1353</v>
      </c>
      <c r="E318" t="s">
        <v>1353</v>
      </c>
      <c r="F318" t="s">
        <v>1353</v>
      </c>
      <c r="G318" t="s">
        <v>1353</v>
      </c>
      <c r="H318" t="s">
        <v>1353</v>
      </c>
    </row>
    <row r="319" spans="1:8" x14ac:dyDescent="0.2">
      <c r="A319">
        <v>91768</v>
      </c>
      <c r="B319">
        <v>5</v>
      </c>
      <c r="C319" t="s">
        <v>914</v>
      </c>
      <c r="D319" t="s">
        <v>1353</v>
      </c>
      <c r="E319" t="s">
        <v>1353</v>
      </c>
      <c r="F319" t="s">
        <v>1353</v>
      </c>
      <c r="G319" t="s">
        <v>199</v>
      </c>
      <c r="H319" t="s">
        <v>199</v>
      </c>
    </row>
    <row r="320" spans="1:8" x14ac:dyDescent="0.2">
      <c r="A320">
        <v>91764</v>
      </c>
      <c r="B320">
        <v>5</v>
      </c>
      <c r="C320" t="s">
        <v>914</v>
      </c>
      <c r="D320" t="s">
        <v>1353</v>
      </c>
      <c r="E320" t="s">
        <v>1353</v>
      </c>
      <c r="F320" t="s">
        <v>1353</v>
      </c>
      <c r="G320" t="s">
        <v>1353</v>
      </c>
      <c r="H320" t="s">
        <v>1353</v>
      </c>
    </row>
    <row r="321" spans="1:8" x14ac:dyDescent="0.2">
      <c r="A321">
        <v>91762</v>
      </c>
      <c r="B321">
        <v>5</v>
      </c>
      <c r="C321" t="s">
        <v>914</v>
      </c>
      <c r="D321" t="s">
        <v>1353</v>
      </c>
      <c r="E321" t="s">
        <v>1353</v>
      </c>
      <c r="F321" t="s">
        <v>1353</v>
      </c>
      <c r="G321" t="s">
        <v>1353</v>
      </c>
      <c r="H321" t="s">
        <v>1353</v>
      </c>
    </row>
    <row r="322" spans="1:8" x14ac:dyDescent="0.2">
      <c r="A322">
        <v>91784</v>
      </c>
      <c r="B322">
        <v>5</v>
      </c>
      <c r="C322" t="s">
        <v>914</v>
      </c>
      <c r="D322" t="s">
        <v>1353</v>
      </c>
      <c r="E322" t="s">
        <v>1353</v>
      </c>
      <c r="F322" t="s">
        <v>1353</v>
      </c>
      <c r="G322" t="s">
        <v>1353</v>
      </c>
      <c r="H322" t="s">
        <v>1353</v>
      </c>
    </row>
    <row r="323" spans="1:8" x14ac:dyDescent="0.2">
      <c r="A323">
        <v>91763</v>
      </c>
      <c r="B323">
        <v>5</v>
      </c>
      <c r="C323" t="s">
        <v>914</v>
      </c>
      <c r="D323" t="s">
        <v>1353</v>
      </c>
      <c r="E323" t="s">
        <v>1353</v>
      </c>
      <c r="F323" t="s">
        <v>1353</v>
      </c>
      <c r="G323" t="s">
        <v>1353</v>
      </c>
      <c r="H323" t="s">
        <v>1353</v>
      </c>
    </row>
    <row r="324" spans="1:8" x14ac:dyDescent="0.2">
      <c r="A324">
        <v>91786</v>
      </c>
      <c r="B324">
        <v>5</v>
      </c>
      <c r="C324" t="s">
        <v>914</v>
      </c>
      <c r="D324" t="s">
        <v>1353</v>
      </c>
      <c r="E324" t="s">
        <v>1353</v>
      </c>
      <c r="F324" t="s">
        <v>1353</v>
      </c>
      <c r="G324" t="s">
        <v>1353</v>
      </c>
      <c r="H324" t="s">
        <v>1353</v>
      </c>
    </row>
    <row r="325" spans="1:8" x14ac:dyDescent="0.2">
      <c r="A325">
        <v>91786</v>
      </c>
      <c r="B325">
        <v>5</v>
      </c>
      <c r="C325" t="s">
        <v>914</v>
      </c>
      <c r="D325" t="s">
        <v>1353</v>
      </c>
      <c r="E325" t="s">
        <v>1353</v>
      </c>
      <c r="F325" t="s">
        <v>1353</v>
      </c>
      <c r="G325" t="s">
        <v>1353</v>
      </c>
      <c r="H325" t="s">
        <v>1353</v>
      </c>
    </row>
    <row r="326" spans="1:8" x14ac:dyDescent="0.2">
      <c r="A326">
        <v>91764</v>
      </c>
      <c r="B326">
        <v>5</v>
      </c>
      <c r="C326" t="s">
        <v>914</v>
      </c>
      <c r="D326" t="s">
        <v>1353</v>
      </c>
      <c r="E326" t="s">
        <v>1353</v>
      </c>
      <c r="F326" t="s">
        <v>1353</v>
      </c>
      <c r="G326" t="s">
        <v>1353</v>
      </c>
      <c r="H326" t="s">
        <v>1353</v>
      </c>
    </row>
    <row r="327" spans="1:8" x14ac:dyDescent="0.2">
      <c r="A327">
        <v>91786</v>
      </c>
      <c r="B327">
        <v>5</v>
      </c>
      <c r="C327" t="s">
        <v>914</v>
      </c>
      <c r="D327" t="s">
        <v>1353</v>
      </c>
      <c r="E327" t="s">
        <v>1353</v>
      </c>
      <c r="F327" t="s">
        <v>1353</v>
      </c>
      <c r="G327" t="s">
        <v>1353</v>
      </c>
      <c r="H327" t="s">
        <v>1353</v>
      </c>
    </row>
    <row r="328" spans="1:8" x14ac:dyDescent="0.2">
      <c r="A328">
        <v>91761</v>
      </c>
      <c r="B328">
        <v>5</v>
      </c>
      <c r="C328" t="s">
        <v>914</v>
      </c>
      <c r="D328" t="s">
        <v>1353</v>
      </c>
      <c r="E328" t="s">
        <v>1353</v>
      </c>
      <c r="F328" t="s">
        <v>1353</v>
      </c>
      <c r="G328" t="s">
        <v>1353</v>
      </c>
      <c r="H328" t="s">
        <v>1353</v>
      </c>
    </row>
    <row r="329" spans="1:8" x14ac:dyDescent="0.2">
      <c r="A329">
        <v>91762</v>
      </c>
      <c r="B329">
        <v>5</v>
      </c>
      <c r="C329" t="s">
        <v>914</v>
      </c>
      <c r="D329" t="s">
        <v>1353</v>
      </c>
      <c r="E329" t="s">
        <v>1353</v>
      </c>
      <c r="F329" t="s">
        <v>1353</v>
      </c>
      <c r="G329" t="s">
        <v>1353</v>
      </c>
      <c r="H329" t="s">
        <v>199</v>
      </c>
    </row>
    <row r="330" spans="1:8" x14ac:dyDescent="0.2">
      <c r="A330">
        <v>91767</v>
      </c>
      <c r="B330">
        <v>5</v>
      </c>
      <c r="C330" t="s">
        <v>914</v>
      </c>
      <c r="D330" t="s">
        <v>1352</v>
      </c>
      <c r="E330" t="s">
        <v>1352</v>
      </c>
      <c r="F330" t="s">
        <v>1352</v>
      </c>
      <c r="G330" t="s">
        <v>1352</v>
      </c>
      <c r="H330" t="s">
        <v>191</v>
      </c>
    </row>
    <row r="331" spans="1:8" x14ac:dyDescent="0.2">
      <c r="A331">
        <v>91786</v>
      </c>
      <c r="B331">
        <v>5</v>
      </c>
      <c r="C331" t="s">
        <v>914</v>
      </c>
      <c r="D331" t="s">
        <v>1352</v>
      </c>
      <c r="E331" t="s">
        <v>1352</v>
      </c>
      <c r="F331" t="s">
        <v>1352</v>
      </c>
      <c r="G331" t="s">
        <v>1352</v>
      </c>
      <c r="H331" t="s">
        <v>1352</v>
      </c>
    </row>
    <row r="332" spans="1:8" x14ac:dyDescent="0.2">
      <c r="A332">
        <v>91750</v>
      </c>
      <c r="B332">
        <v>5</v>
      </c>
      <c r="C332" t="s">
        <v>914</v>
      </c>
      <c r="D332" t="s">
        <v>1353</v>
      </c>
      <c r="E332" t="s">
        <v>202</v>
      </c>
      <c r="F332" t="s">
        <v>202</v>
      </c>
      <c r="G332" t="s">
        <v>1353</v>
      </c>
      <c r="H332" t="s">
        <v>1353</v>
      </c>
    </row>
    <row r="333" spans="1:8" x14ac:dyDescent="0.2">
      <c r="A333">
        <v>91786</v>
      </c>
      <c r="B333">
        <v>5</v>
      </c>
      <c r="C333" t="s">
        <v>914</v>
      </c>
      <c r="D333" t="s">
        <v>1373</v>
      </c>
      <c r="E333" t="s">
        <v>1353</v>
      </c>
      <c r="F333" t="s">
        <v>1373</v>
      </c>
      <c r="G333" t="s">
        <v>1373</v>
      </c>
      <c r="H333" t="s">
        <v>1373</v>
      </c>
    </row>
    <row r="334" spans="1:8" x14ac:dyDescent="0.2">
      <c r="A334">
        <v>91762</v>
      </c>
      <c r="B334">
        <v>5</v>
      </c>
      <c r="C334" t="s">
        <v>914</v>
      </c>
      <c r="D334" t="s">
        <v>191</v>
      </c>
      <c r="E334" t="s">
        <v>1353</v>
      </c>
      <c r="F334" t="s">
        <v>1353</v>
      </c>
      <c r="G334" t="s">
        <v>1353</v>
      </c>
      <c r="H334" t="s">
        <v>1353</v>
      </c>
    </row>
    <row r="335" spans="1:8" x14ac:dyDescent="0.2">
      <c r="A335">
        <v>91762</v>
      </c>
      <c r="B335">
        <v>5</v>
      </c>
      <c r="C335" t="s">
        <v>914</v>
      </c>
      <c r="D335" t="s">
        <v>1353</v>
      </c>
      <c r="E335" t="s">
        <v>1353</v>
      </c>
      <c r="F335" t="s">
        <v>1353</v>
      </c>
      <c r="G335" t="s">
        <v>1353</v>
      </c>
      <c r="H335" t="s">
        <v>1353</v>
      </c>
    </row>
    <row r="336" spans="1:8" x14ac:dyDescent="0.2">
      <c r="A336">
        <v>91786</v>
      </c>
      <c r="B336">
        <v>5</v>
      </c>
      <c r="C336" t="s">
        <v>914</v>
      </c>
      <c r="D336" t="s">
        <v>1353</v>
      </c>
      <c r="E336" t="s">
        <v>1353</v>
      </c>
      <c r="F336" t="s">
        <v>1353</v>
      </c>
      <c r="G336" t="s">
        <v>1353</v>
      </c>
      <c r="H336" t="s">
        <v>1353</v>
      </c>
    </row>
    <row r="337" spans="1:8" x14ac:dyDescent="0.2">
      <c r="A337">
        <v>92563</v>
      </c>
      <c r="B337">
        <v>5</v>
      </c>
      <c r="C337" t="s">
        <v>914</v>
      </c>
      <c r="D337" t="s">
        <v>1353</v>
      </c>
      <c r="E337" t="s">
        <v>1353</v>
      </c>
      <c r="F337" t="s">
        <v>1353</v>
      </c>
      <c r="G337" t="s">
        <v>1353</v>
      </c>
      <c r="H337" t="s">
        <v>1353</v>
      </c>
    </row>
    <row r="338" spans="1:8" x14ac:dyDescent="0.2">
      <c r="A338">
        <v>91786</v>
      </c>
      <c r="B338">
        <v>5</v>
      </c>
      <c r="C338" t="s">
        <v>914</v>
      </c>
      <c r="D338" t="s">
        <v>202</v>
      </c>
      <c r="E338" t="s">
        <v>202</v>
      </c>
      <c r="F338" t="s">
        <v>1358</v>
      </c>
      <c r="G338" t="s">
        <v>1358</v>
      </c>
      <c r="H338" t="s">
        <v>1358</v>
      </c>
    </row>
    <row r="339" spans="1:8" x14ac:dyDescent="0.2">
      <c r="A339">
        <v>91786</v>
      </c>
      <c r="B339">
        <v>5</v>
      </c>
      <c r="C339" t="s">
        <v>914</v>
      </c>
      <c r="D339" t="s">
        <v>1352</v>
      </c>
      <c r="E339" t="s">
        <v>1352</v>
      </c>
      <c r="F339" t="s">
        <v>1352</v>
      </c>
      <c r="G339" t="s">
        <v>1352</v>
      </c>
      <c r="H339" t="s">
        <v>1352</v>
      </c>
    </row>
    <row r="340" spans="1:8" x14ac:dyDescent="0.2">
      <c r="A340">
        <v>91711</v>
      </c>
      <c r="B340">
        <v>5</v>
      </c>
      <c r="C340" t="s">
        <v>914</v>
      </c>
      <c r="D340" t="s">
        <v>191</v>
      </c>
      <c r="E340" t="s">
        <v>191</v>
      </c>
      <c r="F340" t="s">
        <v>191</v>
      </c>
      <c r="G340" t="s">
        <v>1352</v>
      </c>
      <c r="H340" t="s">
        <v>1352</v>
      </c>
    </row>
    <row r="341" spans="1:8" x14ac:dyDescent="0.2">
      <c r="A341">
        <v>91750</v>
      </c>
      <c r="B341">
        <v>5</v>
      </c>
      <c r="C341" t="s">
        <v>914</v>
      </c>
      <c r="D341" t="s">
        <v>1352</v>
      </c>
      <c r="E341" t="s">
        <v>1352</v>
      </c>
      <c r="F341" t="s">
        <v>1352</v>
      </c>
      <c r="G341" t="s">
        <v>1352</v>
      </c>
      <c r="H341" t="s">
        <v>1353</v>
      </c>
    </row>
    <row r="342" spans="1:8" x14ac:dyDescent="0.2">
      <c r="A342" t="s">
        <v>1428</v>
      </c>
      <c r="B342">
        <v>5</v>
      </c>
      <c r="C342" t="s">
        <v>914</v>
      </c>
      <c r="D342" t="s">
        <v>1353</v>
      </c>
      <c r="E342" t="s">
        <v>1353</v>
      </c>
      <c r="F342" t="s">
        <v>1353</v>
      </c>
      <c r="G342" t="s">
        <v>1353</v>
      </c>
      <c r="H342" t="s">
        <v>1353</v>
      </c>
    </row>
    <row r="343" spans="1:8" x14ac:dyDescent="0.2">
      <c r="A343">
        <v>92337</v>
      </c>
      <c r="B343">
        <v>5</v>
      </c>
      <c r="C343" t="s">
        <v>914</v>
      </c>
      <c r="D343" t="s">
        <v>1353</v>
      </c>
      <c r="E343" t="s">
        <v>1353</v>
      </c>
      <c r="F343" t="s">
        <v>195</v>
      </c>
      <c r="G343" t="s">
        <v>1353</v>
      </c>
      <c r="H343" t="s">
        <v>1353</v>
      </c>
    </row>
    <row r="344" spans="1:8" x14ac:dyDescent="0.2">
      <c r="A344">
        <v>91750</v>
      </c>
      <c r="B344">
        <v>5</v>
      </c>
      <c r="C344" t="s">
        <v>914</v>
      </c>
      <c r="D344" t="s">
        <v>1353</v>
      </c>
      <c r="E344" t="s">
        <v>1353</v>
      </c>
      <c r="F344" t="s">
        <v>1353</v>
      </c>
      <c r="G344" t="s">
        <v>1353</v>
      </c>
      <c r="H344" t="s">
        <v>1353</v>
      </c>
    </row>
    <row r="345" spans="1:8" x14ac:dyDescent="0.2">
      <c r="A345">
        <v>91750</v>
      </c>
      <c r="B345">
        <v>5</v>
      </c>
      <c r="C345" t="s">
        <v>914</v>
      </c>
      <c r="D345" t="s">
        <v>1353</v>
      </c>
      <c r="E345" t="s">
        <v>1353</v>
      </c>
      <c r="F345" t="s">
        <v>1353</v>
      </c>
      <c r="G345" t="s">
        <v>1353</v>
      </c>
      <c r="H345" t="s">
        <v>1353</v>
      </c>
    </row>
    <row r="346" spans="1:8" x14ac:dyDescent="0.2">
      <c r="A346">
        <v>91786</v>
      </c>
      <c r="B346">
        <v>5</v>
      </c>
      <c r="C346" t="s">
        <v>914</v>
      </c>
      <c r="D346" t="s">
        <v>1353</v>
      </c>
      <c r="E346" t="s">
        <v>1353</v>
      </c>
      <c r="F346" t="s">
        <v>1353</v>
      </c>
      <c r="G346" t="s">
        <v>1353</v>
      </c>
      <c r="H346" t="s">
        <v>1353</v>
      </c>
    </row>
    <row r="347" spans="1:8" x14ac:dyDescent="0.2">
      <c r="A347">
        <v>91711</v>
      </c>
      <c r="B347">
        <v>5</v>
      </c>
      <c r="C347" t="s">
        <v>914</v>
      </c>
      <c r="D347" t="s">
        <v>1353</v>
      </c>
      <c r="E347" t="s">
        <v>1353</v>
      </c>
      <c r="F347" t="s">
        <v>1353</v>
      </c>
      <c r="G347" t="s">
        <v>1353</v>
      </c>
      <c r="H347" t="s">
        <v>1353</v>
      </c>
    </row>
    <row r="348" spans="1:8" x14ac:dyDescent="0.2">
      <c r="A348">
        <v>91784</v>
      </c>
      <c r="B348">
        <v>5</v>
      </c>
      <c r="C348" t="s">
        <v>914</v>
      </c>
      <c r="D348" t="s">
        <v>1353</v>
      </c>
      <c r="E348" t="s">
        <v>1353</v>
      </c>
      <c r="F348" t="s">
        <v>1353</v>
      </c>
      <c r="G348" t="s">
        <v>1353</v>
      </c>
      <c r="H348" t="s">
        <v>1353</v>
      </c>
    </row>
    <row r="349" spans="1:8" x14ac:dyDescent="0.2">
      <c r="A349">
        <v>91773</v>
      </c>
      <c r="B349">
        <v>5</v>
      </c>
      <c r="C349" t="s">
        <v>1390</v>
      </c>
      <c r="D349" t="s">
        <v>1353</v>
      </c>
      <c r="E349" t="s">
        <v>1353</v>
      </c>
      <c r="F349" t="s">
        <v>1353</v>
      </c>
      <c r="G349" t="s">
        <v>1353</v>
      </c>
      <c r="H349" t="s">
        <v>1353</v>
      </c>
    </row>
    <row r="350" spans="1:8" x14ac:dyDescent="0.2">
      <c r="A350" t="s">
        <v>1427</v>
      </c>
      <c r="B350">
        <v>5</v>
      </c>
      <c r="C350" t="s">
        <v>1390</v>
      </c>
      <c r="D350" t="s">
        <v>1353</v>
      </c>
      <c r="E350" t="s">
        <v>1353</v>
      </c>
      <c r="F350" t="s">
        <v>1353</v>
      </c>
      <c r="G350" t="s">
        <v>1353</v>
      </c>
      <c r="H350" t="s">
        <v>1353</v>
      </c>
    </row>
    <row r="351" spans="1:8" x14ac:dyDescent="0.2">
      <c r="A351" t="s">
        <v>1429</v>
      </c>
      <c r="B351">
        <v>5</v>
      </c>
      <c r="C351" t="s">
        <v>1390</v>
      </c>
      <c r="D351" t="s">
        <v>1353</v>
      </c>
      <c r="E351" t="s">
        <v>1353</v>
      </c>
      <c r="F351" t="s">
        <v>202</v>
      </c>
      <c r="G351" t="s">
        <v>1355</v>
      </c>
      <c r="H351" t="s">
        <v>1353</v>
      </c>
    </row>
    <row r="352" spans="1:8" x14ac:dyDescent="0.2">
      <c r="A352">
        <v>91784</v>
      </c>
      <c r="B352">
        <v>4.5</v>
      </c>
      <c r="C352" t="s">
        <v>914</v>
      </c>
      <c r="D352" t="s">
        <v>1352</v>
      </c>
      <c r="E352" t="s">
        <v>1352</v>
      </c>
      <c r="F352" t="s">
        <v>1352</v>
      </c>
      <c r="G352" t="s">
        <v>1352</v>
      </c>
      <c r="H352" t="s">
        <v>1352</v>
      </c>
    </row>
    <row r="353" spans="1:8" x14ac:dyDescent="0.2">
      <c r="A353">
        <v>91786</v>
      </c>
      <c r="B353">
        <v>4.5</v>
      </c>
      <c r="C353" t="s">
        <v>914</v>
      </c>
      <c r="D353" t="s">
        <v>202</v>
      </c>
      <c r="E353" t="s">
        <v>1352</v>
      </c>
      <c r="F353" t="s">
        <v>1352</v>
      </c>
      <c r="G353" t="s">
        <v>1352</v>
      </c>
      <c r="H353" t="s">
        <v>1353</v>
      </c>
    </row>
    <row r="354" spans="1:8" x14ac:dyDescent="0.2">
      <c r="A354">
        <v>91786</v>
      </c>
      <c r="B354">
        <v>4.5</v>
      </c>
      <c r="C354" t="s">
        <v>914</v>
      </c>
      <c r="D354" t="s">
        <v>1352</v>
      </c>
      <c r="E354" t="s">
        <v>1373</v>
      </c>
      <c r="F354" t="s">
        <v>1373</v>
      </c>
      <c r="G354" t="s">
        <v>1373</v>
      </c>
      <c r="H354" t="s">
        <v>1352</v>
      </c>
    </row>
    <row r="355" spans="1:8" x14ac:dyDescent="0.2">
      <c r="A355">
        <v>91784</v>
      </c>
      <c r="B355">
        <v>4.5</v>
      </c>
      <c r="C355" t="s">
        <v>914</v>
      </c>
      <c r="D355" t="s">
        <v>1353</v>
      </c>
      <c r="E355" t="s">
        <v>1353</v>
      </c>
      <c r="F355" t="s">
        <v>1353</v>
      </c>
      <c r="G355" t="s">
        <v>1353</v>
      </c>
      <c r="H355" t="s">
        <v>1353</v>
      </c>
    </row>
    <row r="356" spans="1:8" x14ac:dyDescent="0.2">
      <c r="A356">
        <v>91711</v>
      </c>
      <c r="B356">
        <v>4.3</v>
      </c>
      <c r="C356" t="s">
        <v>914</v>
      </c>
      <c r="D356" t="s">
        <v>1353</v>
      </c>
      <c r="E356" t="s">
        <v>1353</v>
      </c>
      <c r="F356" t="s">
        <v>1353</v>
      </c>
      <c r="G356" t="s">
        <v>1353</v>
      </c>
      <c r="H356" t="s">
        <v>1353</v>
      </c>
    </row>
    <row r="357" spans="1:8" x14ac:dyDescent="0.2">
      <c r="A357">
        <v>91762</v>
      </c>
      <c r="B357">
        <v>4.2</v>
      </c>
      <c r="C357" t="s">
        <v>914</v>
      </c>
      <c r="D357" t="s">
        <v>1353</v>
      </c>
      <c r="E357" t="s">
        <v>1355</v>
      </c>
      <c r="F357" t="s">
        <v>1355</v>
      </c>
      <c r="G357" t="s">
        <v>1353</v>
      </c>
      <c r="H357" t="s">
        <v>1353</v>
      </c>
    </row>
    <row r="358" spans="1:8" x14ac:dyDescent="0.2">
      <c r="A358">
        <v>91763</v>
      </c>
      <c r="B358">
        <v>4.0999999999999996</v>
      </c>
      <c r="C358" t="s">
        <v>914</v>
      </c>
      <c r="D358" t="s">
        <v>1356</v>
      </c>
      <c r="E358" t="s">
        <v>1356</v>
      </c>
      <c r="F358" t="s">
        <v>1356</v>
      </c>
      <c r="G358" t="s">
        <v>1356</v>
      </c>
      <c r="H358" t="s">
        <v>1356</v>
      </c>
    </row>
    <row r="359" spans="1:8" x14ac:dyDescent="0.2">
      <c r="A359">
        <v>91767</v>
      </c>
      <c r="B359">
        <v>4.0999999999999996</v>
      </c>
      <c r="C359" t="s">
        <v>1390</v>
      </c>
      <c r="D359" t="s">
        <v>1353</v>
      </c>
      <c r="E359" t="s">
        <v>1373</v>
      </c>
      <c r="F359" t="s">
        <v>1353</v>
      </c>
      <c r="G359" t="s">
        <v>1353</v>
      </c>
      <c r="H359" t="s">
        <v>1353</v>
      </c>
    </row>
    <row r="360" spans="1:8" x14ac:dyDescent="0.2">
      <c r="A360">
        <v>91763</v>
      </c>
      <c r="B360">
        <v>4</v>
      </c>
      <c r="C360" t="s">
        <v>914</v>
      </c>
      <c r="D360" t="s">
        <v>1353</v>
      </c>
      <c r="E360" t="s">
        <v>1353</v>
      </c>
      <c r="F360" t="s">
        <v>1353</v>
      </c>
      <c r="G360" t="s">
        <v>1353</v>
      </c>
      <c r="H360" t="s">
        <v>1353</v>
      </c>
    </row>
    <row r="361" spans="1:8" x14ac:dyDescent="0.2">
      <c r="A361">
        <v>91763</v>
      </c>
      <c r="B361">
        <v>4</v>
      </c>
      <c r="C361" t="s">
        <v>914</v>
      </c>
      <c r="D361" t="s">
        <v>1353</v>
      </c>
      <c r="E361" t="s">
        <v>1353</v>
      </c>
      <c r="F361" t="s">
        <v>1353</v>
      </c>
      <c r="G361" t="s">
        <v>1353</v>
      </c>
      <c r="H361" t="s">
        <v>1353</v>
      </c>
    </row>
    <row r="362" spans="1:8" x14ac:dyDescent="0.2">
      <c r="A362">
        <v>91786</v>
      </c>
      <c r="B362">
        <v>4</v>
      </c>
      <c r="C362" t="s">
        <v>914</v>
      </c>
      <c r="D362" t="s">
        <v>1353</v>
      </c>
      <c r="E362" t="s">
        <v>1353</v>
      </c>
      <c r="F362" t="s">
        <v>1353</v>
      </c>
      <c r="G362" t="s">
        <v>1353</v>
      </c>
      <c r="H362" t="s">
        <v>1353</v>
      </c>
    </row>
    <row r="363" spans="1:8" x14ac:dyDescent="0.2">
      <c r="A363">
        <v>91764</v>
      </c>
      <c r="B363">
        <v>4</v>
      </c>
      <c r="C363" t="s">
        <v>914</v>
      </c>
      <c r="D363" t="s">
        <v>1353</v>
      </c>
      <c r="E363" t="s">
        <v>1353</v>
      </c>
      <c r="F363" t="s">
        <v>1353</v>
      </c>
      <c r="G363" t="s">
        <v>1353</v>
      </c>
      <c r="H363" t="s">
        <v>1353</v>
      </c>
    </row>
    <row r="364" spans="1:8" x14ac:dyDescent="0.2">
      <c r="A364">
        <v>91763</v>
      </c>
      <c r="B364">
        <v>4</v>
      </c>
      <c r="C364" t="s">
        <v>914</v>
      </c>
      <c r="D364" t="s">
        <v>1353</v>
      </c>
      <c r="E364" t="s">
        <v>1353</v>
      </c>
      <c r="F364" t="s">
        <v>1353</v>
      </c>
      <c r="G364" t="s">
        <v>1353</v>
      </c>
      <c r="H364" t="s">
        <v>1353</v>
      </c>
    </row>
    <row r="365" spans="1:8" x14ac:dyDescent="0.2">
      <c r="A365">
        <v>91786</v>
      </c>
      <c r="B365">
        <v>4</v>
      </c>
      <c r="C365" t="s">
        <v>914</v>
      </c>
      <c r="D365" t="s">
        <v>202</v>
      </c>
      <c r="E365" t="s">
        <v>202</v>
      </c>
      <c r="F365" t="s">
        <v>1353</v>
      </c>
      <c r="G365" t="s">
        <v>1353</v>
      </c>
      <c r="H365" t="s">
        <v>1353</v>
      </c>
    </row>
    <row r="366" spans="1:8" x14ac:dyDescent="0.2">
      <c r="A366">
        <v>91784</v>
      </c>
      <c r="B366">
        <v>4</v>
      </c>
      <c r="C366" t="s">
        <v>914</v>
      </c>
      <c r="D366" t="s">
        <v>1351</v>
      </c>
      <c r="E366" t="s">
        <v>1353</v>
      </c>
      <c r="F366" t="s">
        <v>1353</v>
      </c>
      <c r="G366" t="s">
        <v>1353</v>
      </c>
      <c r="H366" t="s">
        <v>1351</v>
      </c>
    </row>
    <row r="367" spans="1:8" x14ac:dyDescent="0.2">
      <c r="A367">
        <v>91762</v>
      </c>
      <c r="B367">
        <v>4</v>
      </c>
      <c r="C367" t="s">
        <v>914</v>
      </c>
      <c r="D367" t="s">
        <v>1353</v>
      </c>
      <c r="E367" t="s">
        <v>1353</v>
      </c>
      <c r="F367" t="s">
        <v>1353</v>
      </c>
      <c r="G367" t="s">
        <v>1353</v>
      </c>
      <c r="H367" t="s">
        <v>1353</v>
      </c>
    </row>
    <row r="368" spans="1:8" x14ac:dyDescent="0.2">
      <c r="A368">
        <v>91786</v>
      </c>
      <c r="B368">
        <v>4</v>
      </c>
      <c r="C368" t="s">
        <v>914</v>
      </c>
      <c r="D368" t="s">
        <v>1353</v>
      </c>
      <c r="E368" t="s">
        <v>1353</v>
      </c>
      <c r="F368" t="s">
        <v>1353</v>
      </c>
      <c r="G368" t="s">
        <v>1353</v>
      </c>
      <c r="H368" t="s">
        <v>1353</v>
      </c>
    </row>
    <row r="369" spans="1:8" x14ac:dyDescent="0.2">
      <c r="A369" t="s">
        <v>1430</v>
      </c>
      <c r="B369">
        <v>4</v>
      </c>
      <c r="C369" t="s">
        <v>914</v>
      </c>
      <c r="D369" t="s">
        <v>1371</v>
      </c>
      <c r="E369" t="s">
        <v>1371</v>
      </c>
      <c r="F369" t="s">
        <v>1371</v>
      </c>
      <c r="G369" t="s">
        <v>1371</v>
      </c>
      <c r="H369" t="s">
        <v>1353</v>
      </c>
    </row>
    <row r="370" spans="1:8" x14ac:dyDescent="0.2">
      <c r="A370">
        <v>91730</v>
      </c>
      <c r="B370">
        <v>4</v>
      </c>
      <c r="C370" t="s">
        <v>914</v>
      </c>
      <c r="D370" t="s">
        <v>1352</v>
      </c>
      <c r="E370" t="s">
        <v>1352</v>
      </c>
      <c r="F370" t="s">
        <v>1352</v>
      </c>
      <c r="G370" t="s">
        <v>1352</v>
      </c>
      <c r="H370" t="s">
        <v>1352</v>
      </c>
    </row>
    <row r="371" spans="1:8" x14ac:dyDescent="0.2">
      <c r="A371">
        <v>91763</v>
      </c>
      <c r="B371">
        <v>4</v>
      </c>
      <c r="C371" t="s">
        <v>914</v>
      </c>
      <c r="D371" t="s">
        <v>1353</v>
      </c>
      <c r="E371" t="s">
        <v>1353</v>
      </c>
      <c r="F371" t="s">
        <v>1353</v>
      </c>
      <c r="G371" t="s">
        <v>1353</v>
      </c>
      <c r="H371" t="s">
        <v>1353</v>
      </c>
    </row>
    <row r="372" spans="1:8" x14ac:dyDescent="0.2">
      <c r="A372">
        <v>91750</v>
      </c>
      <c r="B372">
        <v>4</v>
      </c>
      <c r="C372" t="s">
        <v>914</v>
      </c>
      <c r="D372" t="s">
        <v>1353</v>
      </c>
      <c r="E372" t="s">
        <v>1353</v>
      </c>
      <c r="F372" t="s">
        <v>1353</v>
      </c>
      <c r="G372" t="s">
        <v>1353</v>
      </c>
      <c r="H372" t="s">
        <v>1353</v>
      </c>
    </row>
    <row r="373" spans="1:8" x14ac:dyDescent="0.2">
      <c r="A373">
        <v>91786</v>
      </c>
      <c r="B373">
        <v>4</v>
      </c>
      <c r="C373" t="s">
        <v>914</v>
      </c>
      <c r="D373" t="s">
        <v>1352</v>
      </c>
      <c r="E373" t="s">
        <v>1352</v>
      </c>
      <c r="F373" t="s">
        <v>1352</v>
      </c>
      <c r="G373" t="s">
        <v>1352</v>
      </c>
      <c r="H373" t="s">
        <v>1352</v>
      </c>
    </row>
    <row r="374" spans="1:8" x14ac:dyDescent="0.2">
      <c r="A374">
        <v>91786</v>
      </c>
      <c r="B374">
        <v>4</v>
      </c>
      <c r="C374" t="s">
        <v>914</v>
      </c>
      <c r="D374" t="s">
        <v>1353</v>
      </c>
      <c r="E374" t="s">
        <v>1353</v>
      </c>
      <c r="F374" t="s">
        <v>1353</v>
      </c>
      <c r="G374" t="s">
        <v>1353</v>
      </c>
      <c r="H374" t="s">
        <v>1353</v>
      </c>
    </row>
    <row r="375" spans="1:8" x14ac:dyDescent="0.2">
      <c r="A375">
        <v>91786</v>
      </c>
      <c r="B375">
        <v>4</v>
      </c>
      <c r="C375" t="s">
        <v>1390</v>
      </c>
      <c r="D375" t="s">
        <v>202</v>
      </c>
      <c r="E375" t="s">
        <v>202</v>
      </c>
      <c r="F375" t="s">
        <v>202</v>
      </c>
      <c r="G375" t="s">
        <v>202</v>
      </c>
      <c r="H375" t="s">
        <v>1374</v>
      </c>
    </row>
    <row r="376" spans="1:8" x14ac:dyDescent="0.2">
      <c r="A376">
        <v>91764</v>
      </c>
      <c r="B376">
        <v>3.9</v>
      </c>
      <c r="C376" t="s">
        <v>914</v>
      </c>
      <c r="D376" t="s">
        <v>1353</v>
      </c>
      <c r="E376" t="s">
        <v>1353</v>
      </c>
      <c r="F376" t="s">
        <v>1353</v>
      </c>
      <c r="G376" t="s">
        <v>1353</v>
      </c>
      <c r="H376" t="s">
        <v>202</v>
      </c>
    </row>
    <row r="377" spans="1:8" x14ac:dyDescent="0.2">
      <c r="A377">
        <v>91750</v>
      </c>
      <c r="B377">
        <v>3.5</v>
      </c>
      <c r="C377" t="s">
        <v>914</v>
      </c>
      <c r="D377" t="s">
        <v>1388</v>
      </c>
      <c r="E377" t="s">
        <v>1388</v>
      </c>
      <c r="F377" t="s">
        <v>1353</v>
      </c>
      <c r="G377" t="s">
        <v>1353</v>
      </c>
      <c r="H377" t="s">
        <v>1353</v>
      </c>
    </row>
    <row r="378" spans="1:8" x14ac:dyDescent="0.2">
      <c r="A378">
        <v>91750</v>
      </c>
      <c r="B378">
        <v>3.5</v>
      </c>
      <c r="C378" t="s">
        <v>914</v>
      </c>
      <c r="D378" t="s">
        <v>1353</v>
      </c>
      <c r="E378" t="s">
        <v>1371</v>
      </c>
      <c r="F378" t="s">
        <v>1353</v>
      </c>
      <c r="G378" t="s">
        <v>1353</v>
      </c>
      <c r="H378" t="s">
        <v>1353</v>
      </c>
    </row>
    <row r="379" spans="1:8" x14ac:dyDescent="0.2">
      <c r="A379">
        <v>91762</v>
      </c>
      <c r="B379">
        <v>3.5</v>
      </c>
      <c r="C379" t="s">
        <v>914</v>
      </c>
      <c r="D379" t="s">
        <v>1353</v>
      </c>
      <c r="E379" t="s">
        <v>1353</v>
      </c>
      <c r="F379" t="s">
        <v>1353</v>
      </c>
      <c r="G379" t="s">
        <v>1353</v>
      </c>
      <c r="H379" t="s">
        <v>1353</v>
      </c>
    </row>
    <row r="380" spans="1:8" x14ac:dyDescent="0.2">
      <c r="A380">
        <v>91767</v>
      </c>
      <c r="B380">
        <v>3.4</v>
      </c>
      <c r="C380" t="s">
        <v>914</v>
      </c>
      <c r="D380" t="s">
        <v>202</v>
      </c>
      <c r="E380" t="s">
        <v>1353</v>
      </c>
      <c r="F380" t="s">
        <v>1353</v>
      </c>
      <c r="G380" t="s">
        <v>1353</v>
      </c>
      <c r="H380" t="s">
        <v>1353</v>
      </c>
    </row>
    <row r="381" spans="1:8" x14ac:dyDescent="0.2">
      <c r="A381">
        <v>91767</v>
      </c>
      <c r="B381">
        <v>3.1</v>
      </c>
      <c r="C381" t="s">
        <v>914</v>
      </c>
      <c r="D381" t="s">
        <v>1353</v>
      </c>
      <c r="E381" t="s">
        <v>1353</v>
      </c>
      <c r="F381" t="s">
        <v>195</v>
      </c>
      <c r="G381" t="s">
        <v>195</v>
      </c>
      <c r="H381" t="s">
        <v>1353</v>
      </c>
    </row>
    <row r="382" spans="1:8" x14ac:dyDescent="0.2">
      <c r="A382">
        <v>91711</v>
      </c>
      <c r="B382">
        <v>3</v>
      </c>
      <c r="C382" t="s">
        <v>914</v>
      </c>
      <c r="D382" t="s">
        <v>1353</v>
      </c>
      <c r="E382" t="s">
        <v>1353</v>
      </c>
      <c r="F382" t="s">
        <v>1353</v>
      </c>
      <c r="G382" t="s">
        <v>1353</v>
      </c>
      <c r="H382" t="s">
        <v>1353</v>
      </c>
    </row>
    <row r="383" spans="1:8" x14ac:dyDescent="0.2">
      <c r="A383">
        <v>91763</v>
      </c>
      <c r="B383">
        <v>3</v>
      </c>
      <c r="C383" t="s">
        <v>914</v>
      </c>
      <c r="D383" t="s">
        <v>1353</v>
      </c>
      <c r="E383" t="s">
        <v>1353</v>
      </c>
      <c r="F383" t="s">
        <v>1353</v>
      </c>
      <c r="G383" t="s">
        <v>1353</v>
      </c>
      <c r="H383" t="s">
        <v>1353</v>
      </c>
    </row>
    <row r="384" spans="1:8" x14ac:dyDescent="0.2">
      <c r="A384" t="s">
        <v>1424</v>
      </c>
      <c r="B384">
        <v>3</v>
      </c>
      <c r="C384" t="s">
        <v>914</v>
      </c>
      <c r="D384" t="s">
        <v>1353</v>
      </c>
      <c r="E384" t="s">
        <v>1353</v>
      </c>
      <c r="F384" t="s">
        <v>1353</v>
      </c>
      <c r="G384" t="s">
        <v>1353</v>
      </c>
      <c r="H384" t="s">
        <v>1353</v>
      </c>
    </row>
    <row r="385" spans="1:8" x14ac:dyDescent="0.2">
      <c r="A385">
        <v>91763</v>
      </c>
      <c r="B385">
        <v>3</v>
      </c>
      <c r="C385" t="s">
        <v>914</v>
      </c>
      <c r="D385" t="s">
        <v>1353</v>
      </c>
      <c r="E385" t="s">
        <v>1353</v>
      </c>
      <c r="F385" t="s">
        <v>1353</v>
      </c>
      <c r="G385" t="s">
        <v>1353</v>
      </c>
      <c r="H385" t="s">
        <v>1353</v>
      </c>
    </row>
    <row r="386" spans="1:8" x14ac:dyDescent="0.2">
      <c r="A386">
        <v>91763</v>
      </c>
      <c r="B386">
        <v>3</v>
      </c>
      <c r="C386" t="s">
        <v>914</v>
      </c>
      <c r="D386" t="s">
        <v>1353</v>
      </c>
      <c r="E386" t="s">
        <v>1353</v>
      </c>
      <c r="F386" t="s">
        <v>1353</v>
      </c>
      <c r="G386" t="s">
        <v>1353</v>
      </c>
      <c r="H386" t="s">
        <v>1353</v>
      </c>
    </row>
    <row r="387" spans="1:8" x14ac:dyDescent="0.2">
      <c r="A387">
        <v>91763</v>
      </c>
      <c r="B387">
        <v>3</v>
      </c>
      <c r="C387" t="s">
        <v>914</v>
      </c>
      <c r="D387" t="s">
        <v>1353</v>
      </c>
      <c r="E387" t="s">
        <v>1353</v>
      </c>
      <c r="F387" t="s">
        <v>1353</v>
      </c>
      <c r="G387" t="s">
        <v>1353</v>
      </c>
      <c r="H387" t="s">
        <v>1353</v>
      </c>
    </row>
    <row r="388" spans="1:8" x14ac:dyDescent="0.2">
      <c r="A388">
        <v>91711</v>
      </c>
      <c r="B388">
        <v>3</v>
      </c>
      <c r="C388" t="s">
        <v>914</v>
      </c>
      <c r="D388" t="s">
        <v>1353</v>
      </c>
      <c r="E388" t="s">
        <v>1353</v>
      </c>
      <c r="F388" t="s">
        <v>1353</v>
      </c>
      <c r="G388" t="s">
        <v>1353</v>
      </c>
      <c r="H388" t="s">
        <v>1353</v>
      </c>
    </row>
    <row r="389" spans="1:8" x14ac:dyDescent="0.2">
      <c r="A389">
        <v>91711</v>
      </c>
      <c r="B389">
        <v>3</v>
      </c>
      <c r="C389" t="s">
        <v>914</v>
      </c>
      <c r="D389" t="s">
        <v>1353</v>
      </c>
      <c r="E389" t="s">
        <v>1353</v>
      </c>
      <c r="F389" t="s">
        <v>1353</v>
      </c>
      <c r="G389" t="s">
        <v>1353</v>
      </c>
      <c r="H389" t="s">
        <v>1353</v>
      </c>
    </row>
    <row r="390" spans="1:8" x14ac:dyDescent="0.2">
      <c r="A390">
        <v>91711</v>
      </c>
      <c r="B390">
        <v>3</v>
      </c>
      <c r="C390" t="s">
        <v>914</v>
      </c>
      <c r="D390" t="s">
        <v>1353</v>
      </c>
      <c r="E390" t="s">
        <v>1353</v>
      </c>
      <c r="F390" t="s">
        <v>1353</v>
      </c>
      <c r="G390" t="s">
        <v>1353</v>
      </c>
      <c r="H390" t="s">
        <v>1353</v>
      </c>
    </row>
    <row r="391" spans="1:8" x14ac:dyDescent="0.2">
      <c r="A391">
        <v>91763</v>
      </c>
      <c r="B391">
        <v>3</v>
      </c>
      <c r="C391" t="s">
        <v>914</v>
      </c>
      <c r="D391" t="s">
        <v>1358</v>
      </c>
      <c r="E391" t="s">
        <v>1358</v>
      </c>
      <c r="F391" t="s">
        <v>1358</v>
      </c>
      <c r="G391" t="s">
        <v>1358</v>
      </c>
      <c r="H391" t="s">
        <v>1358</v>
      </c>
    </row>
    <row r="392" spans="1:8" x14ac:dyDescent="0.2">
      <c r="A392">
        <v>91711</v>
      </c>
      <c r="B392">
        <v>3</v>
      </c>
      <c r="C392" t="s">
        <v>914</v>
      </c>
      <c r="D392" t="s">
        <v>1358</v>
      </c>
      <c r="E392" t="s">
        <v>1358</v>
      </c>
      <c r="F392" t="s">
        <v>1358</v>
      </c>
      <c r="G392" t="s">
        <v>1358</v>
      </c>
      <c r="H392" t="s">
        <v>1358</v>
      </c>
    </row>
    <row r="393" spans="1:8" x14ac:dyDescent="0.2">
      <c r="A393">
        <v>91711</v>
      </c>
      <c r="B393">
        <v>3</v>
      </c>
      <c r="C393" t="s">
        <v>914</v>
      </c>
      <c r="D393" t="s">
        <v>1353</v>
      </c>
      <c r="E393" t="s">
        <v>1353</v>
      </c>
      <c r="F393" t="s">
        <v>1353</v>
      </c>
      <c r="G393" t="s">
        <v>1353</v>
      </c>
      <c r="H393" t="s">
        <v>1353</v>
      </c>
    </row>
    <row r="394" spans="1:8" x14ac:dyDescent="0.2">
      <c r="A394">
        <v>91711</v>
      </c>
      <c r="B394">
        <v>3</v>
      </c>
      <c r="C394" t="s">
        <v>914</v>
      </c>
      <c r="D394" t="s">
        <v>1353</v>
      </c>
      <c r="E394" t="s">
        <v>1353</v>
      </c>
      <c r="F394" t="s">
        <v>1353</v>
      </c>
      <c r="G394" t="s">
        <v>1353</v>
      </c>
      <c r="H394" t="s">
        <v>1353</v>
      </c>
    </row>
    <row r="395" spans="1:8" x14ac:dyDescent="0.2">
      <c r="A395">
        <v>91768</v>
      </c>
      <c r="B395">
        <v>3</v>
      </c>
      <c r="C395" t="s">
        <v>914</v>
      </c>
      <c r="D395" t="s">
        <v>1353</v>
      </c>
      <c r="E395" t="s">
        <v>1353</v>
      </c>
      <c r="F395" t="s">
        <v>1353</v>
      </c>
      <c r="G395" t="s">
        <v>1353</v>
      </c>
      <c r="H395" t="s">
        <v>1353</v>
      </c>
    </row>
    <row r="396" spans="1:8" x14ac:dyDescent="0.2">
      <c r="A396">
        <v>91711</v>
      </c>
      <c r="B396">
        <v>3</v>
      </c>
      <c r="C396" t="s">
        <v>914</v>
      </c>
      <c r="D396" t="s">
        <v>1353</v>
      </c>
      <c r="E396" t="s">
        <v>1353</v>
      </c>
      <c r="F396" t="s">
        <v>1353</v>
      </c>
      <c r="G396" t="s">
        <v>1353</v>
      </c>
      <c r="H396" t="s">
        <v>1353</v>
      </c>
    </row>
    <row r="397" spans="1:8" x14ac:dyDescent="0.2">
      <c r="A397" t="s">
        <v>1424</v>
      </c>
      <c r="B397">
        <v>3</v>
      </c>
      <c r="C397" t="s">
        <v>1390</v>
      </c>
      <c r="D397" t="s">
        <v>202</v>
      </c>
      <c r="E397" t="s">
        <v>1353</v>
      </c>
      <c r="F397" t="s">
        <v>202</v>
      </c>
      <c r="G397" t="s">
        <v>1353</v>
      </c>
      <c r="H397" t="s">
        <v>202</v>
      </c>
    </row>
    <row r="398" spans="1:8" x14ac:dyDescent="0.2">
      <c r="A398">
        <v>91786</v>
      </c>
      <c r="B398">
        <v>3</v>
      </c>
      <c r="C398" t="s">
        <v>1390</v>
      </c>
      <c r="D398" t="s">
        <v>1353</v>
      </c>
      <c r="E398" t="s">
        <v>1353</v>
      </c>
      <c r="F398" t="s">
        <v>1353</v>
      </c>
      <c r="G398" t="s">
        <v>1353</v>
      </c>
      <c r="H398" t="s">
        <v>1353</v>
      </c>
    </row>
    <row r="399" spans="1:8" x14ac:dyDescent="0.2">
      <c r="A399">
        <v>91711</v>
      </c>
      <c r="B399">
        <v>2.8</v>
      </c>
      <c r="C399" t="s">
        <v>914</v>
      </c>
      <c r="D399" t="s">
        <v>1353</v>
      </c>
      <c r="E399" t="s">
        <v>1352</v>
      </c>
      <c r="F399" t="s">
        <v>1353</v>
      </c>
      <c r="G399" t="s">
        <v>1352</v>
      </c>
      <c r="H399" t="s">
        <v>1353</v>
      </c>
    </row>
    <row r="400" spans="1:8" x14ac:dyDescent="0.2">
      <c r="A400">
        <v>91711</v>
      </c>
      <c r="B400">
        <v>2.7</v>
      </c>
      <c r="C400" t="s">
        <v>914</v>
      </c>
      <c r="D400" t="s">
        <v>1356</v>
      </c>
      <c r="E400" t="s">
        <v>1356</v>
      </c>
      <c r="F400" t="s">
        <v>1356</v>
      </c>
      <c r="G400" t="s">
        <v>1356</v>
      </c>
      <c r="H400" t="s">
        <v>1356</v>
      </c>
    </row>
    <row r="401" spans="1:8" x14ac:dyDescent="0.2">
      <c r="A401">
        <v>91767</v>
      </c>
      <c r="B401">
        <v>2.5</v>
      </c>
      <c r="C401" t="s">
        <v>914</v>
      </c>
      <c r="D401" t="s">
        <v>199</v>
      </c>
      <c r="E401" t="s">
        <v>199</v>
      </c>
      <c r="F401" t="s">
        <v>199</v>
      </c>
      <c r="G401" t="s">
        <v>199</v>
      </c>
      <c r="H401" t="s">
        <v>199</v>
      </c>
    </row>
    <row r="402" spans="1:8" x14ac:dyDescent="0.2">
      <c r="A402" t="s">
        <v>1409</v>
      </c>
      <c r="B402">
        <v>2.5</v>
      </c>
      <c r="C402" t="s">
        <v>914</v>
      </c>
      <c r="D402" t="s">
        <v>1353</v>
      </c>
      <c r="E402" t="s">
        <v>1352</v>
      </c>
      <c r="F402" t="s">
        <v>1352</v>
      </c>
      <c r="G402" t="s">
        <v>202</v>
      </c>
      <c r="H402" t="s">
        <v>202</v>
      </c>
    </row>
    <row r="403" spans="1:8" x14ac:dyDescent="0.2">
      <c r="A403">
        <v>91711</v>
      </c>
      <c r="B403">
        <v>2.5</v>
      </c>
      <c r="C403" t="s">
        <v>914</v>
      </c>
      <c r="D403" t="s">
        <v>1353</v>
      </c>
      <c r="E403" t="s">
        <v>1353</v>
      </c>
      <c r="F403" t="s">
        <v>1353</v>
      </c>
      <c r="G403" t="s">
        <v>1353</v>
      </c>
      <c r="H403" t="s">
        <v>1353</v>
      </c>
    </row>
    <row r="404" spans="1:8" x14ac:dyDescent="0.2">
      <c r="A404">
        <v>91711</v>
      </c>
      <c r="B404">
        <v>2.4</v>
      </c>
      <c r="C404" t="s">
        <v>914</v>
      </c>
      <c r="D404" t="s">
        <v>1353</v>
      </c>
      <c r="E404" t="s">
        <v>1353</v>
      </c>
      <c r="F404" t="s">
        <v>1353</v>
      </c>
      <c r="G404" t="s">
        <v>1353</v>
      </c>
      <c r="H404" t="s">
        <v>1353</v>
      </c>
    </row>
    <row r="405" spans="1:8" x14ac:dyDescent="0.2">
      <c r="A405">
        <v>91711</v>
      </c>
      <c r="B405">
        <v>2.2000000000000002</v>
      </c>
      <c r="C405" t="s">
        <v>914</v>
      </c>
      <c r="D405" t="s">
        <v>1353</v>
      </c>
      <c r="E405" t="s">
        <v>1353</v>
      </c>
      <c r="F405" t="s">
        <v>1353</v>
      </c>
      <c r="G405" t="s">
        <v>1353</v>
      </c>
      <c r="H405" t="s">
        <v>1353</v>
      </c>
    </row>
    <row r="406" spans="1:8" x14ac:dyDescent="0.2">
      <c r="A406">
        <v>91711</v>
      </c>
      <c r="B406">
        <v>2.1</v>
      </c>
      <c r="C406" t="s">
        <v>914</v>
      </c>
      <c r="D406" t="s">
        <v>1353</v>
      </c>
      <c r="E406" t="s">
        <v>1353</v>
      </c>
      <c r="F406" t="s">
        <v>1353</v>
      </c>
      <c r="G406" t="s">
        <v>1353</v>
      </c>
      <c r="H406" t="s">
        <v>1353</v>
      </c>
    </row>
    <row r="407" spans="1:8" x14ac:dyDescent="0.2">
      <c r="A407">
        <v>91711</v>
      </c>
      <c r="B407">
        <v>2</v>
      </c>
      <c r="C407" t="s">
        <v>914</v>
      </c>
      <c r="D407" t="s">
        <v>1353</v>
      </c>
      <c r="E407" t="s">
        <v>202</v>
      </c>
      <c r="F407" t="s">
        <v>1353</v>
      </c>
      <c r="G407" t="s">
        <v>202</v>
      </c>
      <c r="H407" t="s">
        <v>202</v>
      </c>
    </row>
    <row r="408" spans="1:8" x14ac:dyDescent="0.2">
      <c r="A408">
        <v>91711</v>
      </c>
      <c r="B408">
        <v>2</v>
      </c>
      <c r="C408" t="s">
        <v>914</v>
      </c>
      <c r="D408" t="s">
        <v>1353</v>
      </c>
      <c r="E408" t="s">
        <v>1353</v>
      </c>
      <c r="F408" t="s">
        <v>1353</v>
      </c>
      <c r="G408" t="s">
        <v>1353</v>
      </c>
      <c r="H408" t="s">
        <v>1353</v>
      </c>
    </row>
    <row r="409" spans="1:8" x14ac:dyDescent="0.2">
      <c r="A409">
        <v>91711</v>
      </c>
      <c r="B409">
        <v>2</v>
      </c>
      <c r="C409" t="s">
        <v>914</v>
      </c>
      <c r="D409" t="s">
        <v>1353</v>
      </c>
      <c r="E409" t="s">
        <v>1353</v>
      </c>
      <c r="F409" t="s">
        <v>1353</v>
      </c>
      <c r="G409" t="s">
        <v>1353</v>
      </c>
      <c r="H409" t="s">
        <v>1353</v>
      </c>
    </row>
    <row r="410" spans="1:8" x14ac:dyDescent="0.2">
      <c r="A410">
        <v>91786</v>
      </c>
      <c r="B410">
        <v>2</v>
      </c>
      <c r="C410" t="s">
        <v>914</v>
      </c>
      <c r="D410" t="s">
        <v>1353</v>
      </c>
      <c r="E410" t="s">
        <v>1353</v>
      </c>
      <c r="F410" t="s">
        <v>1353</v>
      </c>
      <c r="G410" t="s">
        <v>1353</v>
      </c>
      <c r="H410" t="s">
        <v>1353</v>
      </c>
    </row>
    <row r="411" spans="1:8" x14ac:dyDescent="0.2">
      <c r="A411">
        <v>91767</v>
      </c>
      <c r="B411">
        <v>2</v>
      </c>
      <c r="C411" t="s">
        <v>914</v>
      </c>
      <c r="D411" t="s">
        <v>1353</v>
      </c>
      <c r="E411" t="s">
        <v>1353</v>
      </c>
      <c r="F411" t="s">
        <v>1353</v>
      </c>
      <c r="G411" t="s">
        <v>1353</v>
      </c>
      <c r="H411" t="s">
        <v>1353</v>
      </c>
    </row>
    <row r="412" spans="1:8" x14ac:dyDescent="0.2">
      <c r="A412">
        <v>91786</v>
      </c>
      <c r="B412">
        <v>2</v>
      </c>
      <c r="C412" t="s">
        <v>914</v>
      </c>
      <c r="D412" t="s">
        <v>1353</v>
      </c>
      <c r="E412" t="s">
        <v>1353</v>
      </c>
      <c r="F412" t="s">
        <v>1353</v>
      </c>
      <c r="G412" t="s">
        <v>1353</v>
      </c>
      <c r="H412" t="s">
        <v>1353</v>
      </c>
    </row>
    <row r="413" spans="1:8" x14ac:dyDescent="0.2">
      <c r="A413">
        <v>91711</v>
      </c>
      <c r="B413">
        <v>2</v>
      </c>
      <c r="C413" t="s">
        <v>914</v>
      </c>
      <c r="D413" t="s">
        <v>1353</v>
      </c>
      <c r="E413" t="s">
        <v>1353</v>
      </c>
      <c r="F413" t="s">
        <v>1353</v>
      </c>
      <c r="G413" t="s">
        <v>1353</v>
      </c>
      <c r="H413" t="s">
        <v>1353</v>
      </c>
    </row>
    <row r="414" spans="1:8" x14ac:dyDescent="0.2">
      <c r="A414">
        <v>91711</v>
      </c>
      <c r="B414">
        <v>2</v>
      </c>
      <c r="C414" t="s">
        <v>914</v>
      </c>
      <c r="D414" t="s">
        <v>202</v>
      </c>
      <c r="E414" t="s">
        <v>1353</v>
      </c>
      <c r="F414" t="s">
        <v>1353</v>
      </c>
      <c r="G414" t="s">
        <v>1353</v>
      </c>
      <c r="H414" t="s">
        <v>1353</v>
      </c>
    </row>
    <row r="415" spans="1:8" x14ac:dyDescent="0.2">
      <c r="A415">
        <v>94171</v>
      </c>
      <c r="B415">
        <v>2</v>
      </c>
      <c r="C415" t="s">
        <v>914</v>
      </c>
      <c r="D415" t="s">
        <v>1353</v>
      </c>
      <c r="E415" t="s">
        <v>1353</v>
      </c>
      <c r="F415" t="s">
        <v>1353</v>
      </c>
      <c r="G415" t="s">
        <v>1353</v>
      </c>
      <c r="H415" t="s">
        <v>1353</v>
      </c>
    </row>
    <row r="416" spans="1:8" x14ac:dyDescent="0.2">
      <c r="A416">
        <v>91711</v>
      </c>
      <c r="B416">
        <v>2</v>
      </c>
      <c r="C416" t="s">
        <v>914</v>
      </c>
      <c r="D416" t="s">
        <v>1353</v>
      </c>
      <c r="E416" t="s">
        <v>1353</v>
      </c>
      <c r="F416" t="s">
        <v>1353</v>
      </c>
      <c r="G416" t="s">
        <v>1353</v>
      </c>
      <c r="H416" t="s">
        <v>1353</v>
      </c>
    </row>
    <row r="417" spans="1:8" x14ac:dyDescent="0.2">
      <c r="A417">
        <v>91786</v>
      </c>
      <c r="B417">
        <v>2</v>
      </c>
      <c r="C417" t="s">
        <v>914</v>
      </c>
      <c r="D417" t="s">
        <v>1353</v>
      </c>
      <c r="E417" t="s">
        <v>1353</v>
      </c>
      <c r="F417" t="s">
        <v>1353</v>
      </c>
      <c r="G417" t="s">
        <v>1353</v>
      </c>
      <c r="H417" t="s">
        <v>1353</v>
      </c>
    </row>
    <row r="418" spans="1:8" x14ac:dyDescent="0.2">
      <c r="A418" t="s">
        <v>1431</v>
      </c>
      <c r="B418">
        <v>2</v>
      </c>
      <c r="C418" t="s">
        <v>914</v>
      </c>
      <c r="D418" t="s">
        <v>1353</v>
      </c>
      <c r="E418" t="s">
        <v>1353</v>
      </c>
      <c r="F418" t="s">
        <v>1353</v>
      </c>
      <c r="G418" t="s">
        <v>1353</v>
      </c>
      <c r="H418" t="s">
        <v>191</v>
      </c>
    </row>
    <row r="419" spans="1:8" x14ac:dyDescent="0.2">
      <c r="A419">
        <v>91711</v>
      </c>
      <c r="B419">
        <v>2</v>
      </c>
      <c r="C419" t="s">
        <v>914</v>
      </c>
      <c r="D419" t="s">
        <v>1353</v>
      </c>
      <c r="E419" t="s">
        <v>1353</v>
      </c>
      <c r="F419" t="s">
        <v>1353</v>
      </c>
      <c r="G419" t="s">
        <v>1353</v>
      </c>
      <c r="H419" t="s">
        <v>1353</v>
      </c>
    </row>
    <row r="420" spans="1:8" x14ac:dyDescent="0.2">
      <c r="A420">
        <v>91711</v>
      </c>
      <c r="B420">
        <v>2</v>
      </c>
      <c r="C420" t="s">
        <v>914</v>
      </c>
      <c r="D420" t="s">
        <v>1353</v>
      </c>
      <c r="E420" t="s">
        <v>1353</v>
      </c>
      <c r="F420" t="s">
        <v>1353</v>
      </c>
      <c r="G420" t="s">
        <v>1353</v>
      </c>
      <c r="H420" t="s">
        <v>1353</v>
      </c>
    </row>
    <row r="421" spans="1:8" x14ac:dyDescent="0.2">
      <c r="A421">
        <v>91767</v>
      </c>
      <c r="B421">
        <v>2</v>
      </c>
      <c r="C421" t="s">
        <v>914</v>
      </c>
      <c r="D421" t="s">
        <v>1353</v>
      </c>
      <c r="E421" t="s">
        <v>1353</v>
      </c>
      <c r="F421" t="s">
        <v>1353</v>
      </c>
      <c r="G421" t="s">
        <v>1353</v>
      </c>
      <c r="H421" t="s">
        <v>1353</v>
      </c>
    </row>
    <row r="422" spans="1:8" x14ac:dyDescent="0.2">
      <c r="A422">
        <v>91711</v>
      </c>
      <c r="B422">
        <v>2</v>
      </c>
      <c r="C422" t="s">
        <v>914</v>
      </c>
      <c r="D422" t="s">
        <v>1353</v>
      </c>
      <c r="E422" t="s">
        <v>1353</v>
      </c>
      <c r="F422" t="s">
        <v>1353</v>
      </c>
      <c r="G422" t="s">
        <v>1353</v>
      </c>
      <c r="H422" t="s">
        <v>1353</v>
      </c>
    </row>
    <row r="423" spans="1:8" x14ac:dyDescent="0.2">
      <c r="A423">
        <v>91711</v>
      </c>
      <c r="B423">
        <v>2</v>
      </c>
      <c r="C423" t="s">
        <v>914</v>
      </c>
      <c r="D423" t="s">
        <v>1353</v>
      </c>
      <c r="E423" t="s">
        <v>1353</v>
      </c>
      <c r="F423" t="s">
        <v>1353</v>
      </c>
      <c r="G423" t="s">
        <v>1353</v>
      </c>
      <c r="H423" t="s">
        <v>1353</v>
      </c>
    </row>
    <row r="424" spans="1:8" x14ac:dyDescent="0.2">
      <c r="A424">
        <v>91763</v>
      </c>
      <c r="B424">
        <v>2</v>
      </c>
      <c r="C424" t="s">
        <v>914</v>
      </c>
      <c r="D424" t="s">
        <v>1352</v>
      </c>
      <c r="E424" t="s">
        <v>1352</v>
      </c>
      <c r="F424" t="s">
        <v>1352</v>
      </c>
      <c r="G424" t="s">
        <v>1352</v>
      </c>
      <c r="H424" t="s">
        <v>191</v>
      </c>
    </row>
    <row r="425" spans="1:8" x14ac:dyDescent="0.2">
      <c r="A425">
        <v>91711</v>
      </c>
      <c r="B425">
        <v>2</v>
      </c>
      <c r="C425" t="s">
        <v>914</v>
      </c>
      <c r="D425" t="s">
        <v>202</v>
      </c>
      <c r="E425" t="s">
        <v>1353</v>
      </c>
      <c r="F425" t="s">
        <v>1353</v>
      </c>
      <c r="G425" t="s">
        <v>1353</v>
      </c>
      <c r="H425" t="s">
        <v>1353</v>
      </c>
    </row>
    <row r="426" spans="1:8" x14ac:dyDescent="0.2">
      <c r="A426">
        <v>91767</v>
      </c>
      <c r="B426">
        <v>2</v>
      </c>
      <c r="C426" t="s">
        <v>914</v>
      </c>
      <c r="D426" t="s">
        <v>1353</v>
      </c>
      <c r="E426" t="s">
        <v>1353</v>
      </c>
      <c r="F426" t="s">
        <v>1353</v>
      </c>
      <c r="G426" t="s">
        <v>1353</v>
      </c>
      <c r="H426" t="s">
        <v>1353</v>
      </c>
    </row>
    <row r="427" spans="1:8" x14ac:dyDescent="0.2">
      <c r="A427">
        <v>91763</v>
      </c>
      <c r="B427">
        <v>2</v>
      </c>
      <c r="C427" t="s">
        <v>914</v>
      </c>
      <c r="D427" t="s">
        <v>1353</v>
      </c>
      <c r="E427" t="s">
        <v>1353</v>
      </c>
      <c r="F427" t="s">
        <v>1353</v>
      </c>
      <c r="G427" t="s">
        <v>1353</v>
      </c>
      <c r="H427" t="s">
        <v>1353</v>
      </c>
    </row>
    <row r="428" spans="1:8" x14ac:dyDescent="0.2">
      <c r="A428" t="s">
        <v>1424</v>
      </c>
      <c r="B428">
        <v>2</v>
      </c>
      <c r="C428" t="s">
        <v>914</v>
      </c>
      <c r="D428" t="s">
        <v>1357</v>
      </c>
      <c r="E428" t="s">
        <v>1372</v>
      </c>
      <c r="F428" t="s">
        <v>1373</v>
      </c>
      <c r="G428" t="s">
        <v>1357</v>
      </c>
      <c r="H428" t="s">
        <v>1373</v>
      </c>
    </row>
    <row r="429" spans="1:8" x14ac:dyDescent="0.2">
      <c r="A429">
        <v>91711</v>
      </c>
      <c r="B429">
        <v>2</v>
      </c>
      <c r="C429" t="s">
        <v>914</v>
      </c>
      <c r="D429" t="s">
        <v>1358</v>
      </c>
      <c r="E429" t="s">
        <v>1358</v>
      </c>
      <c r="F429" t="s">
        <v>1358</v>
      </c>
      <c r="G429" t="s">
        <v>1358</v>
      </c>
      <c r="H429" t="s">
        <v>1358</v>
      </c>
    </row>
    <row r="430" spans="1:8" x14ac:dyDescent="0.2">
      <c r="A430">
        <v>91711</v>
      </c>
      <c r="B430">
        <v>2</v>
      </c>
      <c r="C430" t="s">
        <v>914</v>
      </c>
      <c r="D430" t="s">
        <v>1353</v>
      </c>
      <c r="E430" t="s">
        <v>1353</v>
      </c>
      <c r="F430" t="s">
        <v>1353</v>
      </c>
      <c r="G430" t="s">
        <v>1353</v>
      </c>
      <c r="H430" t="s">
        <v>1353</v>
      </c>
    </row>
    <row r="431" spans="1:8" x14ac:dyDescent="0.2">
      <c r="A431">
        <v>91711</v>
      </c>
      <c r="B431">
        <v>2</v>
      </c>
      <c r="C431" t="s">
        <v>914</v>
      </c>
      <c r="D431" t="s">
        <v>1353</v>
      </c>
      <c r="E431" t="s">
        <v>1353</v>
      </c>
      <c r="F431" t="s">
        <v>1353</v>
      </c>
      <c r="G431" t="s">
        <v>1353</v>
      </c>
      <c r="H431" t="s">
        <v>1353</v>
      </c>
    </row>
    <row r="432" spans="1:8" x14ac:dyDescent="0.2">
      <c r="A432">
        <v>91711</v>
      </c>
      <c r="B432">
        <v>2</v>
      </c>
      <c r="C432" t="s">
        <v>914</v>
      </c>
      <c r="D432" t="s">
        <v>1353</v>
      </c>
      <c r="E432" t="s">
        <v>1353</v>
      </c>
      <c r="F432" t="s">
        <v>1353</v>
      </c>
      <c r="G432" t="s">
        <v>1353</v>
      </c>
      <c r="H432" t="s">
        <v>1353</v>
      </c>
    </row>
    <row r="433" spans="1:8" x14ac:dyDescent="0.2">
      <c r="A433">
        <v>91767</v>
      </c>
      <c r="B433">
        <v>2</v>
      </c>
      <c r="C433" t="s">
        <v>914</v>
      </c>
      <c r="D433" t="s">
        <v>1353</v>
      </c>
      <c r="E433" t="s">
        <v>1353</v>
      </c>
      <c r="F433" t="s">
        <v>1353</v>
      </c>
      <c r="G433" t="s">
        <v>1353</v>
      </c>
      <c r="H433" t="s">
        <v>1353</v>
      </c>
    </row>
    <row r="434" spans="1:8" x14ac:dyDescent="0.2">
      <c r="A434">
        <v>91711</v>
      </c>
      <c r="B434">
        <v>1.6</v>
      </c>
      <c r="C434" t="s">
        <v>914</v>
      </c>
      <c r="D434" t="s">
        <v>1353</v>
      </c>
      <c r="E434" t="s">
        <v>1353</v>
      </c>
      <c r="F434" t="s">
        <v>1353</v>
      </c>
      <c r="G434" t="s">
        <v>1353</v>
      </c>
      <c r="H434" t="s">
        <v>1353</v>
      </c>
    </row>
    <row r="435" spans="1:8" x14ac:dyDescent="0.2">
      <c r="A435" t="s">
        <v>1432</v>
      </c>
      <c r="B435">
        <v>1.5</v>
      </c>
      <c r="C435" t="s">
        <v>914</v>
      </c>
      <c r="D435" t="s">
        <v>1371</v>
      </c>
      <c r="E435" t="s">
        <v>195</v>
      </c>
      <c r="F435" t="s">
        <v>1371</v>
      </c>
      <c r="G435" t="s">
        <v>1371</v>
      </c>
      <c r="H435" t="s">
        <v>191</v>
      </c>
    </row>
    <row r="436" spans="1:8" x14ac:dyDescent="0.2">
      <c r="A436">
        <v>91786</v>
      </c>
      <c r="B436">
        <v>1.5</v>
      </c>
      <c r="C436" t="s">
        <v>914</v>
      </c>
      <c r="D436" t="s">
        <v>1353</v>
      </c>
      <c r="E436" t="s">
        <v>1353</v>
      </c>
      <c r="F436" t="s">
        <v>1353</v>
      </c>
      <c r="G436" t="s">
        <v>199</v>
      </c>
      <c r="H436" t="s">
        <v>199</v>
      </c>
    </row>
    <row r="437" spans="1:8" x14ac:dyDescent="0.2">
      <c r="A437">
        <v>91711</v>
      </c>
      <c r="B437">
        <v>1.5</v>
      </c>
      <c r="C437" t="s">
        <v>914</v>
      </c>
      <c r="D437" t="s">
        <v>1373</v>
      </c>
      <c r="E437" t="s">
        <v>1373</v>
      </c>
      <c r="F437" t="s">
        <v>1373</v>
      </c>
      <c r="G437" t="s">
        <v>1373</v>
      </c>
      <c r="H437" t="s">
        <v>1373</v>
      </c>
    </row>
    <row r="438" spans="1:8" x14ac:dyDescent="0.2">
      <c r="A438" t="s">
        <v>1424</v>
      </c>
      <c r="B438">
        <v>1.5</v>
      </c>
      <c r="C438" t="s">
        <v>914</v>
      </c>
      <c r="D438" t="s">
        <v>1373</v>
      </c>
      <c r="E438" t="s">
        <v>1373</v>
      </c>
      <c r="F438" t="s">
        <v>1373</v>
      </c>
      <c r="G438" t="s">
        <v>1373</v>
      </c>
      <c r="H438" t="s">
        <v>1373</v>
      </c>
    </row>
    <row r="439" spans="1:8" x14ac:dyDescent="0.2">
      <c r="A439">
        <v>91711</v>
      </c>
      <c r="B439">
        <v>1.5</v>
      </c>
      <c r="C439" t="s">
        <v>914</v>
      </c>
      <c r="D439" t="s">
        <v>1353</v>
      </c>
      <c r="E439" t="s">
        <v>1353</v>
      </c>
      <c r="F439" t="s">
        <v>1353</v>
      </c>
      <c r="G439" t="s">
        <v>1353</v>
      </c>
      <c r="H439" t="s">
        <v>1353</v>
      </c>
    </row>
    <row r="440" spans="1:8" x14ac:dyDescent="0.2">
      <c r="A440">
        <v>91711</v>
      </c>
      <c r="B440">
        <v>1.5</v>
      </c>
      <c r="C440" t="s">
        <v>914</v>
      </c>
      <c r="D440" t="s">
        <v>1372</v>
      </c>
      <c r="E440" t="s">
        <v>1372</v>
      </c>
      <c r="F440" t="s">
        <v>1372</v>
      </c>
      <c r="G440" t="s">
        <v>1372</v>
      </c>
      <c r="H440" t="s">
        <v>1372</v>
      </c>
    </row>
    <row r="441" spans="1:8" x14ac:dyDescent="0.2">
      <c r="A441" t="s">
        <v>1424</v>
      </c>
      <c r="B441">
        <v>1.5</v>
      </c>
      <c r="C441" t="s">
        <v>914</v>
      </c>
      <c r="D441" t="s">
        <v>1373</v>
      </c>
      <c r="E441" t="s">
        <v>1352</v>
      </c>
      <c r="F441" t="s">
        <v>1373</v>
      </c>
      <c r="G441" t="s">
        <v>1373</v>
      </c>
      <c r="H441" t="s">
        <v>1373</v>
      </c>
    </row>
    <row r="442" spans="1:8" x14ac:dyDescent="0.2">
      <c r="A442">
        <v>91711</v>
      </c>
      <c r="B442">
        <v>1.5</v>
      </c>
      <c r="C442" t="s">
        <v>914</v>
      </c>
      <c r="D442" t="s">
        <v>1372</v>
      </c>
      <c r="E442" t="s">
        <v>1372</v>
      </c>
      <c r="F442" t="s">
        <v>1372</v>
      </c>
      <c r="G442" t="s">
        <v>1372</v>
      </c>
      <c r="H442" t="s">
        <v>1372</v>
      </c>
    </row>
    <row r="443" spans="1:8" x14ac:dyDescent="0.2">
      <c r="A443">
        <v>91711</v>
      </c>
      <c r="B443">
        <v>1.4</v>
      </c>
      <c r="C443" t="s">
        <v>914</v>
      </c>
      <c r="D443" t="s">
        <v>1353</v>
      </c>
      <c r="E443" t="s">
        <v>1353</v>
      </c>
      <c r="F443" t="s">
        <v>1353</v>
      </c>
      <c r="G443" t="s">
        <v>1353</v>
      </c>
      <c r="H443" t="s">
        <v>1353</v>
      </c>
    </row>
    <row r="444" spans="1:8" x14ac:dyDescent="0.2">
      <c r="A444">
        <v>91763</v>
      </c>
      <c r="B444">
        <v>1.3</v>
      </c>
      <c r="C444" t="s">
        <v>1390</v>
      </c>
      <c r="D444" t="s">
        <v>202</v>
      </c>
      <c r="E444" t="s">
        <v>1353</v>
      </c>
      <c r="F444" t="s">
        <v>1353</v>
      </c>
      <c r="G444" t="s">
        <v>1353</v>
      </c>
      <c r="H444" t="s">
        <v>202</v>
      </c>
    </row>
    <row r="445" spans="1:8" x14ac:dyDescent="0.2">
      <c r="A445">
        <v>91711</v>
      </c>
      <c r="B445">
        <v>1.2</v>
      </c>
      <c r="C445" t="s">
        <v>914</v>
      </c>
      <c r="D445" t="s">
        <v>1353</v>
      </c>
      <c r="E445" t="s">
        <v>1353</v>
      </c>
      <c r="F445" t="s">
        <v>1353</v>
      </c>
      <c r="G445" t="s">
        <v>1353</v>
      </c>
      <c r="H445" t="s">
        <v>1353</v>
      </c>
    </row>
    <row r="446" spans="1:8" x14ac:dyDescent="0.2">
      <c r="A446">
        <v>91711</v>
      </c>
      <c r="B446">
        <v>1.2</v>
      </c>
      <c r="C446" t="s">
        <v>914</v>
      </c>
      <c r="D446" t="s">
        <v>1353</v>
      </c>
      <c r="E446" t="s">
        <v>1353</v>
      </c>
      <c r="F446" t="s">
        <v>1353</v>
      </c>
      <c r="G446" t="s">
        <v>1353</v>
      </c>
      <c r="H446" t="s">
        <v>1353</v>
      </c>
    </row>
    <row r="447" spans="1:8" x14ac:dyDescent="0.2">
      <c r="A447">
        <v>91711</v>
      </c>
      <c r="B447">
        <v>1.2</v>
      </c>
      <c r="C447" t="s">
        <v>1390</v>
      </c>
      <c r="D447" t="s">
        <v>1373</v>
      </c>
      <c r="E447" t="s">
        <v>1373</v>
      </c>
      <c r="F447" t="s">
        <v>1373</v>
      </c>
      <c r="G447" t="s">
        <v>1373</v>
      </c>
      <c r="H447" t="s">
        <v>1373</v>
      </c>
    </row>
    <row r="448" spans="1:8" x14ac:dyDescent="0.2">
      <c r="A448">
        <v>91711</v>
      </c>
      <c r="B448">
        <v>1.1000000000000001</v>
      </c>
      <c r="C448" t="s">
        <v>914</v>
      </c>
      <c r="D448" t="s">
        <v>1353</v>
      </c>
      <c r="E448" t="s">
        <v>1353</v>
      </c>
      <c r="F448" t="s">
        <v>1353</v>
      </c>
      <c r="G448" t="s">
        <v>1353</v>
      </c>
      <c r="H448" t="s">
        <v>1353</v>
      </c>
    </row>
    <row r="449" spans="1:8" x14ac:dyDescent="0.2">
      <c r="A449" t="s">
        <v>1433</v>
      </c>
      <c r="B449">
        <v>1</v>
      </c>
      <c r="C449" t="s">
        <v>914</v>
      </c>
      <c r="D449" t="s">
        <v>202</v>
      </c>
      <c r="E449" t="s">
        <v>1353</v>
      </c>
      <c r="F449" t="s">
        <v>1353</v>
      </c>
      <c r="G449" t="s">
        <v>1353</v>
      </c>
      <c r="H449" t="s">
        <v>1353</v>
      </c>
    </row>
    <row r="450" spans="1:8" x14ac:dyDescent="0.2">
      <c r="A450">
        <v>2138</v>
      </c>
      <c r="B450">
        <v>1</v>
      </c>
      <c r="C450" t="s">
        <v>914</v>
      </c>
      <c r="D450" t="s">
        <v>191</v>
      </c>
      <c r="E450" t="s">
        <v>191</v>
      </c>
      <c r="F450" t="s">
        <v>1372</v>
      </c>
      <c r="G450" t="s">
        <v>1372</v>
      </c>
      <c r="H450" t="s">
        <v>1372</v>
      </c>
    </row>
    <row r="451" spans="1:8" x14ac:dyDescent="0.2">
      <c r="A451">
        <v>91711</v>
      </c>
      <c r="B451">
        <v>1</v>
      </c>
      <c r="C451" t="s">
        <v>914</v>
      </c>
      <c r="D451" t="s">
        <v>1353</v>
      </c>
      <c r="E451" t="s">
        <v>1353</v>
      </c>
      <c r="F451" t="s">
        <v>1353</v>
      </c>
      <c r="G451" t="s">
        <v>1353</v>
      </c>
      <c r="H451" t="s">
        <v>1353</v>
      </c>
    </row>
    <row r="452" spans="1:8" x14ac:dyDescent="0.2">
      <c r="A452">
        <v>91763</v>
      </c>
      <c r="B452">
        <v>1</v>
      </c>
      <c r="C452" t="s">
        <v>914</v>
      </c>
      <c r="D452" t="s">
        <v>1353</v>
      </c>
      <c r="E452" t="s">
        <v>1353</v>
      </c>
      <c r="F452" t="s">
        <v>1353</v>
      </c>
      <c r="G452" t="s">
        <v>1353</v>
      </c>
      <c r="H452" t="s">
        <v>1353</v>
      </c>
    </row>
    <row r="453" spans="1:8" x14ac:dyDescent="0.2">
      <c r="A453">
        <v>91763</v>
      </c>
      <c r="B453">
        <v>1</v>
      </c>
      <c r="C453" t="s">
        <v>914</v>
      </c>
      <c r="D453" t="s">
        <v>1353</v>
      </c>
      <c r="E453" t="s">
        <v>1353</v>
      </c>
      <c r="F453" t="s">
        <v>1353</v>
      </c>
      <c r="G453" t="s">
        <v>1353</v>
      </c>
      <c r="H453" t="s">
        <v>1353</v>
      </c>
    </row>
    <row r="454" spans="1:8" x14ac:dyDescent="0.2">
      <c r="A454">
        <v>91763</v>
      </c>
      <c r="B454">
        <v>1</v>
      </c>
      <c r="C454" t="s">
        <v>914</v>
      </c>
      <c r="D454" t="s">
        <v>1353</v>
      </c>
      <c r="E454" t="s">
        <v>1353</v>
      </c>
      <c r="F454" t="s">
        <v>1353</v>
      </c>
      <c r="G454" t="s">
        <v>1353</v>
      </c>
      <c r="H454" t="s">
        <v>1353</v>
      </c>
    </row>
    <row r="455" spans="1:8" x14ac:dyDescent="0.2">
      <c r="A455">
        <v>91711</v>
      </c>
      <c r="B455">
        <v>1</v>
      </c>
      <c r="C455" t="s">
        <v>914</v>
      </c>
      <c r="D455" t="s">
        <v>1367</v>
      </c>
      <c r="E455" t="s">
        <v>1367</v>
      </c>
      <c r="F455" t="s">
        <v>1367</v>
      </c>
      <c r="G455" t="s">
        <v>1367</v>
      </c>
      <c r="H455" t="s">
        <v>199</v>
      </c>
    </row>
    <row r="456" spans="1:8" x14ac:dyDescent="0.2">
      <c r="A456">
        <v>91763</v>
      </c>
      <c r="B456">
        <v>1</v>
      </c>
      <c r="C456" t="s">
        <v>914</v>
      </c>
      <c r="D456" t="s">
        <v>1353</v>
      </c>
      <c r="E456" t="s">
        <v>1353</v>
      </c>
      <c r="F456" t="s">
        <v>1353</v>
      </c>
      <c r="G456" t="s">
        <v>1353</v>
      </c>
      <c r="H456" t="s">
        <v>1353</v>
      </c>
    </row>
    <row r="457" spans="1:8" x14ac:dyDescent="0.2">
      <c r="A457">
        <v>91711</v>
      </c>
      <c r="B457">
        <v>1</v>
      </c>
      <c r="C457" t="s">
        <v>914</v>
      </c>
      <c r="D457" t="s">
        <v>1353</v>
      </c>
      <c r="E457" t="s">
        <v>1353</v>
      </c>
      <c r="F457" t="s">
        <v>1353</v>
      </c>
      <c r="G457" t="s">
        <v>1353</v>
      </c>
      <c r="H457" t="s">
        <v>1353</v>
      </c>
    </row>
    <row r="458" spans="1:8" x14ac:dyDescent="0.2">
      <c r="A458">
        <v>91763</v>
      </c>
      <c r="B458">
        <v>1</v>
      </c>
      <c r="C458" t="s">
        <v>914</v>
      </c>
      <c r="D458" t="s">
        <v>1353</v>
      </c>
      <c r="E458" t="s">
        <v>1353</v>
      </c>
      <c r="F458" t="s">
        <v>1353</v>
      </c>
      <c r="G458" t="s">
        <v>1353</v>
      </c>
      <c r="H458" t="s">
        <v>1353</v>
      </c>
    </row>
    <row r="459" spans="1:8" x14ac:dyDescent="0.2">
      <c r="A459">
        <v>91711</v>
      </c>
      <c r="B459">
        <v>1</v>
      </c>
      <c r="C459" t="s">
        <v>914</v>
      </c>
      <c r="D459" t="s">
        <v>202</v>
      </c>
      <c r="E459" t="s">
        <v>1352</v>
      </c>
      <c r="F459" t="s">
        <v>1352</v>
      </c>
      <c r="G459" t="s">
        <v>1352</v>
      </c>
      <c r="H459" t="s">
        <v>1352</v>
      </c>
    </row>
    <row r="460" spans="1:8" x14ac:dyDescent="0.2">
      <c r="A460">
        <v>91711</v>
      </c>
      <c r="B460">
        <v>1</v>
      </c>
      <c r="C460" t="s">
        <v>914</v>
      </c>
      <c r="D460" t="s">
        <v>1372</v>
      </c>
      <c r="E460" t="s">
        <v>1372</v>
      </c>
      <c r="F460" t="s">
        <v>1372</v>
      </c>
      <c r="G460" t="s">
        <v>1372</v>
      </c>
      <c r="H460" t="s">
        <v>1372</v>
      </c>
    </row>
    <row r="461" spans="1:8" x14ac:dyDescent="0.2">
      <c r="A461">
        <v>91786</v>
      </c>
      <c r="B461">
        <v>1</v>
      </c>
      <c r="C461" t="s">
        <v>914</v>
      </c>
      <c r="D461" t="s">
        <v>1372</v>
      </c>
      <c r="E461" t="s">
        <v>1372</v>
      </c>
      <c r="F461" t="s">
        <v>1372</v>
      </c>
      <c r="G461" t="s">
        <v>1372</v>
      </c>
      <c r="H461" t="s">
        <v>1372</v>
      </c>
    </row>
    <row r="462" spans="1:8" x14ac:dyDescent="0.2">
      <c r="A462">
        <v>91767</v>
      </c>
      <c r="B462">
        <v>1</v>
      </c>
      <c r="C462" t="s">
        <v>914</v>
      </c>
      <c r="D462" t="s">
        <v>1353</v>
      </c>
      <c r="E462" t="s">
        <v>1353</v>
      </c>
      <c r="F462" t="s">
        <v>199</v>
      </c>
      <c r="G462" t="s">
        <v>199</v>
      </c>
      <c r="H462" t="s">
        <v>1353</v>
      </c>
    </row>
    <row r="463" spans="1:8" x14ac:dyDescent="0.2">
      <c r="A463">
        <v>91711</v>
      </c>
      <c r="B463">
        <v>1</v>
      </c>
      <c r="C463" t="s">
        <v>914</v>
      </c>
      <c r="D463" t="s">
        <v>1353</v>
      </c>
      <c r="E463" t="s">
        <v>1353</v>
      </c>
      <c r="F463" t="s">
        <v>1353</v>
      </c>
      <c r="G463" t="s">
        <v>1353</v>
      </c>
      <c r="H463" t="s">
        <v>202</v>
      </c>
    </row>
    <row r="464" spans="1:8" x14ac:dyDescent="0.2">
      <c r="A464">
        <v>91711</v>
      </c>
      <c r="B464">
        <v>1</v>
      </c>
      <c r="C464" t="s">
        <v>914</v>
      </c>
      <c r="D464" t="s">
        <v>191</v>
      </c>
      <c r="E464" t="s">
        <v>1353</v>
      </c>
      <c r="F464" t="s">
        <v>1353</v>
      </c>
      <c r="G464" t="s">
        <v>1372</v>
      </c>
      <c r="H464" t="s">
        <v>1372</v>
      </c>
    </row>
    <row r="465" spans="1:8" x14ac:dyDescent="0.2">
      <c r="A465">
        <v>91711</v>
      </c>
      <c r="B465">
        <v>1</v>
      </c>
      <c r="C465" t="s">
        <v>914</v>
      </c>
      <c r="D465" t="s">
        <v>191</v>
      </c>
      <c r="E465" t="s">
        <v>1358</v>
      </c>
      <c r="F465" t="s">
        <v>1358</v>
      </c>
      <c r="G465" t="s">
        <v>1358</v>
      </c>
      <c r="H465" t="s">
        <v>1358</v>
      </c>
    </row>
    <row r="466" spans="1:8" x14ac:dyDescent="0.2">
      <c r="A466">
        <v>91711</v>
      </c>
      <c r="B466">
        <v>1</v>
      </c>
      <c r="C466" t="s">
        <v>914</v>
      </c>
      <c r="D466" t="s">
        <v>1372</v>
      </c>
      <c r="E466" t="s">
        <v>1372</v>
      </c>
      <c r="F466" t="s">
        <v>1372</v>
      </c>
      <c r="G466" t="s">
        <v>1372</v>
      </c>
      <c r="H466" t="s">
        <v>1372</v>
      </c>
    </row>
    <row r="467" spans="1:8" x14ac:dyDescent="0.2">
      <c r="A467">
        <v>91786</v>
      </c>
      <c r="B467">
        <v>1</v>
      </c>
      <c r="C467" t="s">
        <v>914</v>
      </c>
      <c r="D467" t="s">
        <v>1353</v>
      </c>
      <c r="E467" t="s">
        <v>1353</v>
      </c>
      <c r="F467" t="s">
        <v>1353</v>
      </c>
      <c r="G467" t="s">
        <v>1353</v>
      </c>
      <c r="H467" t="s">
        <v>1353</v>
      </c>
    </row>
    <row r="468" spans="1:8" x14ac:dyDescent="0.2">
      <c r="A468">
        <v>91711</v>
      </c>
      <c r="B468">
        <v>1</v>
      </c>
      <c r="C468" t="s">
        <v>914</v>
      </c>
      <c r="D468" t="s">
        <v>1373</v>
      </c>
      <c r="E468" t="s">
        <v>1373</v>
      </c>
      <c r="F468" t="s">
        <v>1373</v>
      </c>
      <c r="G468" t="s">
        <v>1373</v>
      </c>
      <c r="H468" t="s">
        <v>1373</v>
      </c>
    </row>
    <row r="469" spans="1:8" x14ac:dyDescent="0.2">
      <c r="A469">
        <v>91711</v>
      </c>
      <c r="B469">
        <v>1</v>
      </c>
      <c r="C469" t="s">
        <v>914</v>
      </c>
      <c r="D469" t="s">
        <v>1353</v>
      </c>
      <c r="E469" t="s">
        <v>1353</v>
      </c>
      <c r="F469" t="s">
        <v>1353</v>
      </c>
      <c r="G469" t="s">
        <v>1353</v>
      </c>
      <c r="H469" t="s">
        <v>1353</v>
      </c>
    </row>
    <row r="470" spans="1:8" x14ac:dyDescent="0.2">
      <c r="A470">
        <v>91711</v>
      </c>
      <c r="B470">
        <v>1</v>
      </c>
      <c r="C470" t="s">
        <v>914</v>
      </c>
      <c r="D470" t="s">
        <v>1353</v>
      </c>
      <c r="E470" t="s">
        <v>1353</v>
      </c>
      <c r="F470" t="s">
        <v>1373</v>
      </c>
      <c r="G470" t="s">
        <v>1373</v>
      </c>
      <c r="H470" t="s">
        <v>1373</v>
      </c>
    </row>
    <row r="471" spans="1:8" x14ac:dyDescent="0.2">
      <c r="A471">
        <v>91711</v>
      </c>
      <c r="B471">
        <v>1</v>
      </c>
      <c r="C471" t="s">
        <v>914</v>
      </c>
      <c r="D471" t="s">
        <v>1372</v>
      </c>
      <c r="E471" t="s">
        <v>1372</v>
      </c>
      <c r="F471" t="s">
        <v>1372</v>
      </c>
      <c r="G471" t="s">
        <v>1353</v>
      </c>
      <c r="H471" t="s">
        <v>195</v>
      </c>
    </row>
    <row r="472" spans="1:8" x14ac:dyDescent="0.2">
      <c r="A472">
        <v>91711</v>
      </c>
      <c r="B472">
        <v>1</v>
      </c>
      <c r="C472" t="s">
        <v>914</v>
      </c>
      <c r="D472" t="s">
        <v>1353</v>
      </c>
      <c r="E472" t="s">
        <v>1353</v>
      </c>
      <c r="F472" t="s">
        <v>1353</v>
      </c>
      <c r="G472" t="s">
        <v>1353</v>
      </c>
      <c r="H472" t="s">
        <v>1353</v>
      </c>
    </row>
    <row r="473" spans="1:8" x14ac:dyDescent="0.2">
      <c r="A473">
        <v>56501</v>
      </c>
      <c r="B473">
        <v>1</v>
      </c>
      <c r="C473" t="s">
        <v>914</v>
      </c>
      <c r="D473" t="s">
        <v>1372</v>
      </c>
      <c r="E473" t="s">
        <v>1372</v>
      </c>
      <c r="F473" t="s">
        <v>1372</v>
      </c>
      <c r="G473" t="s">
        <v>1372</v>
      </c>
      <c r="H473" t="s">
        <v>1372</v>
      </c>
    </row>
    <row r="474" spans="1:8" x14ac:dyDescent="0.2">
      <c r="A474">
        <v>91711</v>
      </c>
      <c r="B474">
        <v>1</v>
      </c>
      <c r="C474" t="s">
        <v>914</v>
      </c>
      <c r="D474" t="s">
        <v>1372</v>
      </c>
      <c r="E474" t="s">
        <v>1372</v>
      </c>
      <c r="F474" t="s">
        <v>202</v>
      </c>
      <c r="G474" t="s">
        <v>1372</v>
      </c>
      <c r="H474" t="s">
        <v>1353</v>
      </c>
    </row>
    <row r="475" spans="1:8" x14ac:dyDescent="0.2">
      <c r="A475">
        <v>91711</v>
      </c>
      <c r="B475">
        <v>1</v>
      </c>
      <c r="C475" t="s">
        <v>914</v>
      </c>
      <c r="D475" t="s">
        <v>1353</v>
      </c>
      <c r="E475" t="s">
        <v>1353</v>
      </c>
      <c r="F475" t="s">
        <v>1353</v>
      </c>
      <c r="G475" t="s">
        <v>1353</v>
      </c>
      <c r="H475" t="s">
        <v>1353</v>
      </c>
    </row>
    <row r="476" spans="1:8" x14ac:dyDescent="0.2">
      <c r="A476">
        <v>91711</v>
      </c>
      <c r="B476">
        <v>1</v>
      </c>
      <c r="C476" t="s">
        <v>914</v>
      </c>
      <c r="D476" t="s">
        <v>1372</v>
      </c>
      <c r="E476" t="s">
        <v>1372</v>
      </c>
      <c r="F476" t="s">
        <v>191</v>
      </c>
      <c r="G476" t="s">
        <v>1372</v>
      </c>
      <c r="H476" t="s">
        <v>1372</v>
      </c>
    </row>
    <row r="477" spans="1:8" x14ac:dyDescent="0.2">
      <c r="A477">
        <v>91763</v>
      </c>
      <c r="B477">
        <v>1</v>
      </c>
      <c r="C477" t="s">
        <v>914</v>
      </c>
      <c r="D477" t="s">
        <v>1353</v>
      </c>
      <c r="E477" t="s">
        <v>1353</v>
      </c>
      <c r="F477" t="s">
        <v>1353</v>
      </c>
      <c r="G477" t="s">
        <v>1353</v>
      </c>
      <c r="H477" t="s">
        <v>1353</v>
      </c>
    </row>
    <row r="478" spans="1:8" x14ac:dyDescent="0.2">
      <c r="A478">
        <v>91711</v>
      </c>
      <c r="B478">
        <v>1</v>
      </c>
      <c r="C478" t="s">
        <v>914</v>
      </c>
      <c r="D478" t="s">
        <v>1353</v>
      </c>
      <c r="E478" t="s">
        <v>1353</v>
      </c>
      <c r="F478" t="s">
        <v>1353</v>
      </c>
      <c r="G478" t="s">
        <v>1352</v>
      </c>
      <c r="H478" t="s">
        <v>1353</v>
      </c>
    </row>
    <row r="479" spans="1:8" x14ac:dyDescent="0.2">
      <c r="A479">
        <v>91711</v>
      </c>
      <c r="B479">
        <v>1</v>
      </c>
      <c r="C479" t="s">
        <v>914</v>
      </c>
      <c r="D479" t="s">
        <v>1372</v>
      </c>
      <c r="E479" t="s">
        <v>1372</v>
      </c>
      <c r="F479" t="s">
        <v>1372</v>
      </c>
      <c r="G479" t="s">
        <v>1372</v>
      </c>
      <c r="H479" t="s">
        <v>1372</v>
      </c>
    </row>
    <row r="480" spans="1:8" x14ac:dyDescent="0.2">
      <c r="A480">
        <v>91711</v>
      </c>
      <c r="B480">
        <v>1</v>
      </c>
      <c r="C480" t="s">
        <v>914</v>
      </c>
      <c r="D480" t="s">
        <v>1353</v>
      </c>
      <c r="E480" t="s">
        <v>1353</v>
      </c>
      <c r="F480" t="s">
        <v>1353</v>
      </c>
      <c r="G480" t="s">
        <v>1353</v>
      </c>
      <c r="H480" t="s">
        <v>1353</v>
      </c>
    </row>
    <row r="481" spans="1:8" x14ac:dyDescent="0.2">
      <c r="A481">
        <v>91711</v>
      </c>
      <c r="B481">
        <v>1</v>
      </c>
      <c r="C481" t="s">
        <v>914</v>
      </c>
      <c r="D481" t="s">
        <v>1352</v>
      </c>
      <c r="E481" t="s">
        <v>1352</v>
      </c>
      <c r="F481" t="s">
        <v>1352</v>
      </c>
      <c r="G481" t="s">
        <v>1352</v>
      </c>
      <c r="H481" t="s">
        <v>1352</v>
      </c>
    </row>
    <row r="482" spans="1:8" x14ac:dyDescent="0.2">
      <c r="A482">
        <v>91711</v>
      </c>
      <c r="B482">
        <v>1</v>
      </c>
      <c r="C482" t="s">
        <v>914</v>
      </c>
      <c r="D482" t="s">
        <v>1353</v>
      </c>
      <c r="E482" t="s">
        <v>1353</v>
      </c>
      <c r="F482" t="s">
        <v>1353</v>
      </c>
      <c r="G482" t="s">
        <v>1353</v>
      </c>
      <c r="H482" t="s">
        <v>1353</v>
      </c>
    </row>
    <row r="483" spans="1:8" x14ac:dyDescent="0.2">
      <c r="A483">
        <v>91711</v>
      </c>
      <c r="B483">
        <v>1</v>
      </c>
      <c r="C483" t="s">
        <v>1390</v>
      </c>
      <c r="D483" t="s">
        <v>202</v>
      </c>
      <c r="E483" t="s">
        <v>1356</v>
      </c>
      <c r="F483" t="s">
        <v>202</v>
      </c>
      <c r="G483" t="s">
        <v>1356</v>
      </c>
      <c r="H483" t="s">
        <v>202</v>
      </c>
    </row>
    <row r="484" spans="1:8" x14ac:dyDescent="0.2">
      <c r="A484" t="s">
        <v>1424</v>
      </c>
      <c r="B484">
        <v>1</v>
      </c>
      <c r="C484" t="s">
        <v>1390</v>
      </c>
      <c r="D484" t="s">
        <v>1353</v>
      </c>
      <c r="E484" t="s">
        <v>1353</v>
      </c>
      <c r="F484" t="s">
        <v>1353</v>
      </c>
      <c r="G484" t="s">
        <v>1353</v>
      </c>
      <c r="H484" t="s">
        <v>1353</v>
      </c>
    </row>
    <row r="485" spans="1:8" x14ac:dyDescent="0.2">
      <c r="A485">
        <v>91711</v>
      </c>
      <c r="B485">
        <v>1</v>
      </c>
      <c r="C485" t="s">
        <v>1390</v>
      </c>
      <c r="D485" t="s">
        <v>1372</v>
      </c>
      <c r="E485" t="s">
        <v>1372</v>
      </c>
      <c r="F485" t="s">
        <v>202</v>
      </c>
      <c r="G485" t="s">
        <v>1372</v>
      </c>
      <c r="H485" t="s">
        <v>202</v>
      </c>
    </row>
    <row r="486" spans="1:8" x14ac:dyDescent="0.2">
      <c r="A486">
        <v>91767</v>
      </c>
      <c r="B486">
        <v>1</v>
      </c>
      <c r="C486" t="s">
        <v>1390</v>
      </c>
      <c r="D486" t="s">
        <v>1353</v>
      </c>
      <c r="E486" t="s">
        <v>202</v>
      </c>
      <c r="F486" t="s">
        <v>1353</v>
      </c>
      <c r="G486" t="s">
        <v>202</v>
      </c>
      <c r="H486" t="s">
        <v>202</v>
      </c>
    </row>
    <row r="487" spans="1:8" x14ac:dyDescent="0.2">
      <c r="A487">
        <v>91711</v>
      </c>
      <c r="B487">
        <v>1</v>
      </c>
      <c r="C487" t="s">
        <v>1390</v>
      </c>
      <c r="D487" t="s">
        <v>202</v>
      </c>
      <c r="E487" t="s">
        <v>202</v>
      </c>
      <c r="F487" t="s">
        <v>202</v>
      </c>
      <c r="G487" t="s">
        <v>202</v>
      </c>
      <c r="H487" t="s">
        <v>202</v>
      </c>
    </row>
    <row r="488" spans="1:8" x14ac:dyDescent="0.2">
      <c r="A488">
        <v>91711</v>
      </c>
      <c r="B488">
        <v>1</v>
      </c>
      <c r="C488" t="s">
        <v>1390</v>
      </c>
      <c r="D488" t="s">
        <v>1353</v>
      </c>
      <c r="E488" t="s">
        <v>202</v>
      </c>
      <c r="F488" t="s">
        <v>1353</v>
      </c>
      <c r="G488" t="s">
        <v>202</v>
      </c>
      <c r="H488" t="s">
        <v>1352</v>
      </c>
    </row>
    <row r="489" spans="1:8" x14ac:dyDescent="0.2">
      <c r="A489">
        <v>91711</v>
      </c>
      <c r="B489">
        <v>1</v>
      </c>
      <c r="C489" t="s">
        <v>1390</v>
      </c>
      <c r="D489" t="s">
        <v>202</v>
      </c>
      <c r="E489" t="s">
        <v>202</v>
      </c>
      <c r="F489" t="s">
        <v>202</v>
      </c>
      <c r="G489" t="s">
        <v>202</v>
      </c>
      <c r="H489" t="s">
        <v>202</v>
      </c>
    </row>
    <row r="490" spans="1:8" x14ac:dyDescent="0.2">
      <c r="A490">
        <v>91767</v>
      </c>
      <c r="B490">
        <v>1</v>
      </c>
      <c r="C490" t="s">
        <v>1390</v>
      </c>
      <c r="D490" t="s">
        <v>1353</v>
      </c>
      <c r="E490" t="s">
        <v>1353</v>
      </c>
      <c r="F490" t="s">
        <v>1353</v>
      </c>
      <c r="G490" t="s">
        <v>1353</v>
      </c>
      <c r="H490" t="s">
        <v>1353</v>
      </c>
    </row>
    <row r="491" spans="1:8" x14ac:dyDescent="0.2">
      <c r="A491">
        <v>91711</v>
      </c>
      <c r="B491">
        <v>0.8</v>
      </c>
      <c r="C491" t="s">
        <v>914</v>
      </c>
      <c r="D491" t="s">
        <v>1353</v>
      </c>
      <c r="E491" t="s">
        <v>1353</v>
      </c>
      <c r="F491" t="s">
        <v>1372</v>
      </c>
      <c r="G491" t="s">
        <v>1353</v>
      </c>
      <c r="H491" t="s">
        <v>1353</v>
      </c>
    </row>
    <row r="492" spans="1:8" x14ac:dyDescent="0.2">
      <c r="A492">
        <v>91711</v>
      </c>
      <c r="B492">
        <v>0.75</v>
      </c>
      <c r="C492" t="s">
        <v>914</v>
      </c>
      <c r="D492" t="s">
        <v>1372</v>
      </c>
      <c r="E492" t="s">
        <v>1372</v>
      </c>
      <c r="F492" t="s">
        <v>1372</v>
      </c>
      <c r="G492" t="s">
        <v>1372</v>
      </c>
      <c r="H492" t="s">
        <v>1372</v>
      </c>
    </row>
    <row r="493" spans="1:8" x14ac:dyDescent="0.2">
      <c r="A493">
        <v>91711</v>
      </c>
      <c r="B493">
        <v>0.67</v>
      </c>
      <c r="C493" t="s">
        <v>914</v>
      </c>
      <c r="D493" t="s">
        <v>1372</v>
      </c>
      <c r="E493" t="s">
        <v>1372</v>
      </c>
      <c r="F493" t="s">
        <v>1372</v>
      </c>
      <c r="G493" t="s">
        <v>1372</v>
      </c>
      <c r="H493" t="s">
        <v>1353</v>
      </c>
    </row>
    <row r="494" spans="1:8" x14ac:dyDescent="0.2">
      <c r="A494">
        <v>91711</v>
      </c>
      <c r="B494">
        <v>0.5</v>
      </c>
      <c r="C494" t="s">
        <v>914</v>
      </c>
      <c r="D494" t="s">
        <v>1353</v>
      </c>
      <c r="E494" t="s">
        <v>1353</v>
      </c>
      <c r="F494" t="s">
        <v>1353</v>
      </c>
      <c r="G494" t="s">
        <v>1353</v>
      </c>
      <c r="H494" t="s">
        <v>1353</v>
      </c>
    </row>
    <row r="495" spans="1:8" x14ac:dyDescent="0.2">
      <c r="A495">
        <v>91763</v>
      </c>
      <c r="B495">
        <v>0.5</v>
      </c>
      <c r="C495" t="s">
        <v>914</v>
      </c>
      <c r="D495" t="s">
        <v>1353</v>
      </c>
      <c r="E495" t="s">
        <v>1353</v>
      </c>
      <c r="F495" t="s">
        <v>1353</v>
      </c>
      <c r="G495" t="s">
        <v>1353</v>
      </c>
      <c r="H495" t="s">
        <v>202</v>
      </c>
    </row>
    <row r="496" spans="1:8" x14ac:dyDescent="0.2">
      <c r="A496">
        <v>91711</v>
      </c>
      <c r="B496">
        <v>0.5</v>
      </c>
      <c r="C496" t="s">
        <v>914</v>
      </c>
      <c r="D496" t="s">
        <v>1372</v>
      </c>
      <c r="E496" t="s">
        <v>1372</v>
      </c>
      <c r="F496" t="s">
        <v>1372</v>
      </c>
      <c r="G496" t="s">
        <v>1372</v>
      </c>
      <c r="H496" t="s">
        <v>1372</v>
      </c>
    </row>
    <row r="497" spans="1:8" x14ac:dyDescent="0.2">
      <c r="A497">
        <v>91711</v>
      </c>
      <c r="B497">
        <v>0.5</v>
      </c>
      <c r="C497" t="s">
        <v>914</v>
      </c>
      <c r="D497" t="s">
        <v>1353</v>
      </c>
      <c r="E497" t="s">
        <v>1372</v>
      </c>
      <c r="F497" t="s">
        <v>1372</v>
      </c>
      <c r="G497" t="s">
        <v>1372</v>
      </c>
      <c r="H497" t="s">
        <v>1372</v>
      </c>
    </row>
    <row r="498" spans="1:8" x14ac:dyDescent="0.2">
      <c r="A498">
        <v>91711</v>
      </c>
      <c r="B498">
        <v>0.5</v>
      </c>
      <c r="C498" t="s">
        <v>914</v>
      </c>
      <c r="D498" t="s">
        <v>1372</v>
      </c>
      <c r="E498" t="s">
        <v>1372</v>
      </c>
      <c r="F498" t="s">
        <v>1372</v>
      </c>
      <c r="G498" t="s">
        <v>1372</v>
      </c>
      <c r="H498" t="s">
        <v>1372</v>
      </c>
    </row>
    <row r="499" spans="1:8" x14ac:dyDescent="0.2">
      <c r="A499">
        <v>91711</v>
      </c>
      <c r="B499">
        <v>0.5</v>
      </c>
      <c r="C499" t="s">
        <v>914</v>
      </c>
      <c r="D499" t="s">
        <v>1372</v>
      </c>
      <c r="E499" t="s">
        <v>1372</v>
      </c>
      <c r="F499" t="s">
        <v>1372</v>
      </c>
      <c r="G499" t="s">
        <v>1372</v>
      </c>
      <c r="H499" t="s">
        <v>1372</v>
      </c>
    </row>
    <row r="500" spans="1:8" x14ac:dyDescent="0.2">
      <c r="A500">
        <v>91711</v>
      </c>
      <c r="B500">
        <v>0.5</v>
      </c>
      <c r="C500" t="s">
        <v>914</v>
      </c>
      <c r="D500" t="s">
        <v>1353</v>
      </c>
      <c r="E500" t="s">
        <v>1353</v>
      </c>
      <c r="F500" t="s">
        <v>1353</v>
      </c>
      <c r="G500" t="s">
        <v>1353</v>
      </c>
      <c r="H500" t="s">
        <v>1353</v>
      </c>
    </row>
    <row r="501" spans="1:8" x14ac:dyDescent="0.2">
      <c r="A501">
        <v>91711</v>
      </c>
      <c r="B501">
        <v>0.5</v>
      </c>
      <c r="C501" t="s">
        <v>914</v>
      </c>
      <c r="D501" t="s">
        <v>1372</v>
      </c>
      <c r="E501" t="s">
        <v>1372</v>
      </c>
      <c r="F501" t="s">
        <v>195</v>
      </c>
      <c r="G501" t="s">
        <v>1372</v>
      </c>
      <c r="H501" t="s">
        <v>1372</v>
      </c>
    </row>
    <row r="502" spans="1:8" x14ac:dyDescent="0.2">
      <c r="A502">
        <v>91711</v>
      </c>
      <c r="B502">
        <v>0.5</v>
      </c>
      <c r="C502" t="s">
        <v>914</v>
      </c>
      <c r="D502" t="s">
        <v>1372</v>
      </c>
      <c r="E502" t="s">
        <v>1372</v>
      </c>
      <c r="F502" t="s">
        <v>1372</v>
      </c>
      <c r="G502" t="s">
        <v>1372</v>
      </c>
      <c r="H502" t="s">
        <v>1353</v>
      </c>
    </row>
    <row r="503" spans="1:8" x14ac:dyDescent="0.2">
      <c r="A503">
        <v>91711</v>
      </c>
      <c r="B503">
        <v>0.5</v>
      </c>
      <c r="C503" t="s">
        <v>914</v>
      </c>
      <c r="D503" t="s">
        <v>1373</v>
      </c>
      <c r="E503" t="s">
        <v>1373</v>
      </c>
      <c r="F503" t="s">
        <v>1373</v>
      </c>
      <c r="G503" t="s">
        <v>1373</v>
      </c>
      <c r="H503" t="s">
        <v>1373</v>
      </c>
    </row>
    <row r="504" spans="1:8" x14ac:dyDescent="0.2">
      <c r="A504">
        <v>91711</v>
      </c>
      <c r="B504">
        <v>0.5</v>
      </c>
      <c r="C504" t="s">
        <v>914</v>
      </c>
      <c r="D504" t="s">
        <v>1352</v>
      </c>
      <c r="E504" t="s">
        <v>1352</v>
      </c>
      <c r="F504" t="s">
        <v>1352</v>
      </c>
      <c r="G504" t="s">
        <v>1352</v>
      </c>
      <c r="H504" t="s">
        <v>1352</v>
      </c>
    </row>
    <row r="505" spans="1:8" x14ac:dyDescent="0.2">
      <c r="A505">
        <v>91711</v>
      </c>
      <c r="B505">
        <v>0.5</v>
      </c>
      <c r="C505" t="s">
        <v>914</v>
      </c>
      <c r="D505" t="s">
        <v>1372</v>
      </c>
      <c r="E505" t="s">
        <v>1372</v>
      </c>
      <c r="F505" t="s">
        <v>1372</v>
      </c>
      <c r="G505" t="s">
        <v>1372</v>
      </c>
      <c r="H505" t="s">
        <v>1372</v>
      </c>
    </row>
    <row r="506" spans="1:8" x14ac:dyDescent="0.2">
      <c r="A506">
        <v>91711</v>
      </c>
      <c r="B506">
        <v>0.25</v>
      </c>
      <c r="C506" t="s">
        <v>914</v>
      </c>
      <c r="D506" t="s">
        <v>1372</v>
      </c>
      <c r="E506" t="s">
        <v>1372</v>
      </c>
      <c r="F506" t="s">
        <v>1353</v>
      </c>
      <c r="G506" t="s">
        <v>1372</v>
      </c>
      <c r="H506" t="s">
        <v>1353</v>
      </c>
    </row>
    <row r="507" spans="1:8" x14ac:dyDescent="0.2">
      <c r="A507" t="s">
        <v>1424</v>
      </c>
      <c r="B507">
        <v>0.2</v>
      </c>
      <c r="C507" t="s">
        <v>1390</v>
      </c>
      <c r="D507" t="s">
        <v>1373</v>
      </c>
      <c r="E507" t="s">
        <v>1373</v>
      </c>
      <c r="F507" t="s">
        <v>1373</v>
      </c>
      <c r="G507" t="s">
        <v>1373</v>
      </c>
      <c r="H507" t="s">
        <v>1373</v>
      </c>
    </row>
    <row r="508" spans="1:8" x14ac:dyDescent="0.2">
      <c r="A508">
        <v>91711</v>
      </c>
      <c r="B508">
        <v>0.1</v>
      </c>
      <c r="C508" t="s">
        <v>914</v>
      </c>
      <c r="D508" t="s">
        <v>1372</v>
      </c>
      <c r="E508" t="s">
        <v>1372</v>
      </c>
      <c r="F508" t="s">
        <v>1372</v>
      </c>
      <c r="G508" t="s">
        <v>1372</v>
      </c>
      <c r="H508" t="s">
        <v>1372</v>
      </c>
    </row>
    <row r="509" spans="1:8" x14ac:dyDescent="0.2">
      <c r="A509">
        <v>91711</v>
      </c>
      <c r="B509">
        <v>0.1</v>
      </c>
      <c r="C509" t="s">
        <v>914</v>
      </c>
      <c r="D509" t="s">
        <v>1372</v>
      </c>
      <c r="E509" t="s">
        <v>1372</v>
      </c>
      <c r="F509" t="s">
        <v>1353</v>
      </c>
      <c r="G509" t="s">
        <v>1372</v>
      </c>
      <c r="H509" t="s">
        <v>1372</v>
      </c>
    </row>
    <row r="510" spans="1:8" x14ac:dyDescent="0.2">
      <c r="A510" t="s">
        <v>1434</v>
      </c>
      <c r="B510">
        <v>0.1</v>
      </c>
      <c r="C510" t="s">
        <v>914</v>
      </c>
      <c r="D510" t="s">
        <v>1372</v>
      </c>
      <c r="E510" t="s">
        <v>1372</v>
      </c>
      <c r="F510" t="s">
        <v>1372</v>
      </c>
      <c r="G510" t="s">
        <v>1372</v>
      </c>
      <c r="H510" t="s">
        <v>1372</v>
      </c>
    </row>
    <row r="511" spans="1:8" x14ac:dyDescent="0.2">
      <c r="A511">
        <v>91711</v>
      </c>
      <c r="B511">
        <v>0.05</v>
      </c>
      <c r="C511" t="s">
        <v>914</v>
      </c>
      <c r="D511" t="s">
        <v>1373</v>
      </c>
      <c r="E511" t="s">
        <v>1373</v>
      </c>
      <c r="F511" t="s">
        <v>1373</v>
      </c>
      <c r="G511" t="s">
        <v>1373</v>
      </c>
      <c r="H511" t="s">
        <v>1373</v>
      </c>
    </row>
    <row r="512" spans="1:8" x14ac:dyDescent="0.2">
      <c r="A512">
        <v>91711</v>
      </c>
      <c r="B512">
        <v>0</v>
      </c>
      <c r="C512" t="s">
        <v>914</v>
      </c>
      <c r="D512" t="s">
        <v>202</v>
      </c>
      <c r="E512" t="s">
        <v>1372</v>
      </c>
      <c r="F512" t="s">
        <v>202</v>
      </c>
      <c r="G512" t="s">
        <v>1372</v>
      </c>
      <c r="H512" t="s">
        <v>202</v>
      </c>
    </row>
    <row r="513" spans="1:8" x14ac:dyDescent="0.2">
      <c r="A513">
        <v>91711</v>
      </c>
      <c r="B513">
        <v>0</v>
      </c>
      <c r="C513" t="s">
        <v>1390</v>
      </c>
      <c r="D513" t="s">
        <v>1372</v>
      </c>
      <c r="E513" t="s">
        <v>1372</v>
      </c>
      <c r="F513" t="s">
        <v>1372</v>
      </c>
      <c r="G513" t="s">
        <v>1372</v>
      </c>
      <c r="H513" t="s">
        <v>1372</v>
      </c>
    </row>
    <row r="514" spans="1:8" x14ac:dyDescent="0.2">
      <c r="A514">
        <v>91711</v>
      </c>
      <c r="B514">
        <v>0</v>
      </c>
      <c r="C514" t="s">
        <v>1390</v>
      </c>
      <c r="D514" t="s">
        <v>1372</v>
      </c>
      <c r="E514" t="s">
        <v>1372</v>
      </c>
      <c r="F514" t="s">
        <v>1372</v>
      </c>
      <c r="G514" t="s">
        <v>1372</v>
      </c>
      <c r="H514" t="s">
        <v>1372</v>
      </c>
    </row>
  </sheetData>
  <mergeCells count="12">
    <mergeCell ref="J1:T1"/>
    <mergeCell ref="J8:U8"/>
    <mergeCell ref="L12:N12"/>
    <mergeCell ref="L13:M13"/>
    <mergeCell ref="L14:M14"/>
    <mergeCell ref="L20:M20"/>
    <mergeCell ref="L21:M21"/>
    <mergeCell ref="L15:M15"/>
    <mergeCell ref="L16:M16"/>
    <mergeCell ref="L17:M17"/>
    <mergeCell ref="L18:M18"/>
    <mergeCell ref="L19:M19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F8EB-340F-4558-82CE-7C3D362E99BC}">
  <dimension ref="A1:U488"/>
  <sheetViews>
    <sheetView workbookViewId="0">
      <selection activeCell="K2" sqref="K2:S3"/>
    </sheetView>
  </sheetViews>
  <sheetFormatPr baseColWidth="10" defaultColWidth="8.83203125" defaultRowHeight="15" x14ac:dyDescent="0.2"/>
  <cols>
    <col min="1" max="1" width="26.1640625" bestFit="1" customWidth="1"/>
    <col min="2" max="2" width="22.5" customWidth="1"/>
    <col min="3" max="3" width="29" customWidth="1"/>
    <col min="4" max="8" width="37.5" bestFit="1" customWidth="1"/>
    <col min="10" max="10" width="39.33203125" customWidth="1"/>
    <col min="11" max="11" width="14.6640625" customWidth="1"/>
    <col min="12" max="12" width="9.1640625" bestFit="1" customWidth="1"/>
    <col min="13" max="13" width="12.6640625" customWidth="1"/>
    <col min="14" max="14" width="16.33203125" customWidth="1"/>
    <col min="15" max="15" width="17.33203125" customWidth="1"/>
    <col min="16" max="16" width="13.6640625" customWidth="1"/>
    <col min="17" max="17" width="13.83203125" customWidth="1"/>
    <col min="18" max="18" width="18.5" customWidth="1"/>
    <col min="19" max="19" width="15" customWidth="1"/>
    <col min="20" max="20" width="9.1640625" bestFit="1" customWidth="1"/>
    <col min="21" max="21" width="17.1640625" customWidth="1"/>
  </cols>
  <sheetData>
    <row r="1" spans="1:21" x14ac:dyDescent="0.2">
      <c r="A1" s="8" t="s">
        <v>2</v>
      </c>
      <c r="B1" s="8" t="s">
        <v>3</v>
      </c>
      <c r="C1" s="45" t="s">
        <v>1414</v>
      </c>
      <c r="D1" s="8" t="s">
        <v>6</v>
      </c>
      <c r="E1" s="8" t="s">
        <v>7</v>
      </c>
      <c r="F1" s="8" t="s">
        <v>8</v>
      </c>
      <c r="G1" s="8" t="s">
        <v>9</v>
      </c>
      <c r="H1" s="44" t="s">
        <v>10</v>
      </c>
      <c r="J1" s="79" t="s">
        <v>11</v>
      </c>
      <c r="K1" s="80"/>
      <c r="L1" s="80"/>
      <c r="M1" s="80"/>
      <c r="N1" s="80"/>
      <c r="O1" s="80"/>
      <c r="P1" s="80"/>
      <c r="Q1" s="80"/>
      <c r="R1" s="80"/>
      <c r="S1" s="80"/>
      <c r="T1" s="81"/>
    </row>
    <row r="2" spans="1:21" x14ac:dyDescent="0.2">
      <c r="A2" s="58">
        <v>92301</v>
      </c>
      <c r="B2" s="58">
        <v>60</v>
      </c>
      <c r="C2" s="58" t="s">
        <v>914</v>
      </c>
      <c r="D2" s="58" t="s">
        <v>1352</v>
      </c>
      <c r="E2" s="58" t="s">
        <v>1352</v>
      </c>
      <c r="F2" s="58" t="s">
        <v>1352</v>
      </c>
      <c r="G2" s="58" t="s">
        <v>1352</v>
      </c>
      <c r="H2" s="58" t="s">
        <v>1352</v>
      </c>
      <c r="J2" s="18"/>
      <c r="K2" s="18" t="s">
        <v>17</v>
      </c>
      <c r="L2" s="18" t="s">
        <v>18</v>
      </c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19" t="s">
        <v>25</v>
      </c>
      <c r="T2" s="20" t="s">
        <v>26</v>
      </c>
    </row>
    <row r="3" spans="1:21" x14ac:dyDescent="0.2">
      <c r="A3" s="58">
        <v>92562</v>
      </c>
      <c r="B3" s="58">
        <v>60</v>
      </c>
      <c r="C3" s="58" t="s">
        <v>914</v>
      </c>
      <c r="D3" s="58" t="s">
        <v>1353</v>
      </c>
      <c r="E3" s="58" t="s">
        <v>1353</v>
      </c>
      <c r="F3" s="58" t="s">
        <v>1374</v>
      </c>
      <c r="G3" s="58" t="s">
        <v>1353</v>
      </c>
      <c r="H3" s="58" t="s">
        <v>1353</v>
      </c>
      <c r="J3" s="10" t="s">
        <v>32</v>
      </c>
      <c r="K3" s="24" cm="1">
        <f t="array" ref="K3">SUM(COUNTIF(D:H,{"A.*","B.*"}))/T10</f>
        <v>0.73977011494252876</v>
      </c>
      <c r="L3" s="21">
        <f>COUNTIF(D:H,"T.*")/T10</f>
        <v>2.9425287356321838E-2</v>
      </c>
      <c r="M3" s="21" cm="1">
        <f t="array" ref="M3">SUM(COUNTIF(D:H,{"C.*","D.*","E.*","F.*","G.*","H.*","I.*","J.*","K.*","L.*","M.*","N.*","O.*","P.*"})/T10)</f>
        <v>0.12229885057471264</v>
      </c>
      <c r="N3" s="21">
        <f>COUNTIF(D:H,"R.*")/T10</f>
        <v>2.528735632183908E-2</v>
      </c>
      <c r="O3" s="21">
        <f>COUNTIF(D:H,"U.*")/T10</f>
        <v>1.0574712643678161E-2</v>
      </c>
      <c r="P3" s="21">
        <v>0</v>
      </c>
      <c r="Q3" s="21">
        <f>COUNTIF(D:H,"Q.*")/T10</f>
        <v>4.5977011494252873E-3</v>
      </c>
      <c r="R3" s="21">
        <f>COUNTIF(D:H,"V.*")/T10</f>
        <v>2.2988505747126436E-3</v>
      </c>
      <c r="S3" s="21">
        <f>COUNTIF(D:H,"S.*")/T10</f>
        <v>6.5747126436781614E-2</v>
      </c>
      <c r="T3" s="21">
        <f>SUM(K3:S3)</f>
        <v>1.0000000000000002</v>
      </c>
    </row>
    <row r="4" spans="1:21" ht="16" x14ac:dyDescent="0.2">
      <c r="A4" s="58">
        <v>92399</v>
      </c>
      <c r="B4" s="58">
        <v>51</v>
      </c>
      <c r="C4" s="58" t="s">
        <v>914</v>
      </c>
      <c r="D4" s="58" t="s">
        <v>1353</v>
      </c>
      <c r="E4" s="58" t="s">
        <v>1353</v>
      </c>
      <c r="F4" s="58" t="s">
        <v>1353</v>
      </c>
      <c r="G4" s="58" t="s">
        <v>1353</v>
      </c>
      <c r="H4" s="58" t="s">
        <v>1353</v>
      </c>
      <c r="J4" s="29" t="s">
        <v>38</v>
      </c>
      <c r="K4" s="30" cm="1">
        <f t="array" ref="K4">SUM(_xlfn.BYCOL(D:H,_xlfn.LAMBDA(_xlpm.col,SUMIF(_xlpm.col,"A.*",B:B)+SUMIF(_xlpm.col,"B.*",B:B))))/K10</f>
        <v>13.072094468614045</v>
      </c>
      <c r="L4" s="31" cm="1">
        <f t="array" ref="L4">SUM(_xlfn.BYCOL(D:H,_xlfn.LAMBDA(_xlpm.col,SUMIF(_xlpm.col,"T.*",B:B))))/L10</f>
        <v>3.0851562499999998</v>
      </c>
      <c r="M4" s="32" cm="1">
        <f t="array" ref="M4">SUM(_xlfn.BYCOL($D:$H,_xlfn.LAMBDA(_xlpm.col,SUMIF(_xlpm.col,"C.*",B:B)+SUMIF(_xlpm.col,"D.*",B:B)+SUMIF(_xlpm.col,"E.*",B:B)+SUMIF(_xlpm.col,"F.*",B:B)+SUMIF(_xlpm.col,"G.*",B:B)+SUMIF(_xlpm.col,"H.*",B:B)+SUMIF(_xlpm.col,"I.*",B:B)+SUMIF(_xlpm.col,"J.*",B:B)+SUMIF(_xlpm.col,"K.*",B:B)+SUMIF(_xlpm.col,"L.*",B:B)+SUMIF(_xlpm.col,"M.*",B:B)+SUMIF(_xlpm.col,"N.*",B:B)+SUMIF(_xlpm.col,"O.*",B:B)+SUMIF(_xlpm.col,"P.*",B:B))))/M10</f>
        <v>13.89248120300752</v>
      </c>
      <c r="N4" s="32" cm="1">
        <f t="array" ref="N4">SUM(_xlfn.BYCOL(D:H,_xlfn.LAMBDA(_xlpm.col,SUMIF(_xlpm.col,"R.*",B:B))))/N10</f>
        <v>22.963636363636365</v>
      </c>
      <c r="O4" s="32" cm="1">
        <f t="array" ref="O4">SUM(_xlfn.BYCOL(D:H,_xlfn.LAMBDA(_xlpm.col,SUMIF(_xlpm.col,"U.*",B:B))))/O10</f>
        <v>6.6739130434782608</v>
      </c>
      <c r="P4" s="32"/>
      <c r="Q4" s="32" cm="1">
        <f t="array" ref="Q4">SUM(_xlfn.BYCOL(D:H,_xlfn.LAMBDA(_xlpm.col,SUMIF(_xlpm.col,"Q.*",B:B))))/Q10</f>
        <v>5</v>
      </c>
      <c r="R4" s="32"/>
      <c r="S4" s="32" cm="1">
        <f t="array" ref="S4">SUM(_xlfn.BYCOL(D:H,_xlfn.LAMBDA(_xlpm.col,SUMIF(_xlpm.col,"S.*",B:B))))/T10</f>
        <v>5.8735632183908051E-2</v>
      </c>
      <c r="T4" s="30">
        <f>AVERAGE(K4:S4)</f>
        <v>9.2494309944171569</v>
      </c>
    </row>
    <row r="5" spans="1:21" x14ac:dyDescent="0.2">
      <c r="A5" s="58">
        <v>92344</v>
      </c>
      <c r="B5" s="58">
        <v>50</v>
      </c>
      <c r="C5" s="58" t="s">
        <v>914</v>
      </c>
      <c r="D5" s="58" t="s">
        <v>1353</v>
      </c>
      <c r="E5" s="58" t="s">
        <v>1353</v>
      </c>
      <c r="F5" s="58" t="s">
        <v>1353</v>
      </c>
      <c r="G5" s="58" t="s">
        <v>1353</v>
      </c>
      <c r="H5" s="58" t="s">
        <v>1353</v>
      </c>
      <c r="J5" s="33" t="s">
        <v>44</v>
      </c>
      <c r="K5" s="33"/>
      <c r="L5" s="33"/>
      <c r="M5" s="39" cm="1">
        <f t="array" ref="M5">SUM(_xlfn.BYCOL(D:H,_xlfn.LAMBDA(_xlpm.col,SUMIF(_xlpm.col,"C.*",B:B)*2+SUMIF(_xlpm.col,"D.*",B:B)*3+SUMIF(_xlpm.col,"E.*",B:B)*4+SUMIF(_xlpm.col,"F.*",B:B)*5+SUMIF(_xlpm.col,"G.*",B:B)*6+SUMIF(_xlpm.col,"H.*",B:B)*7+SUMIF(_xlpm.col,"I.*",B:B)*8+SUMIF(_xlpm.col,"J.*",B:B)*9+SUMIF(_xlpm.col,"K.*",B:B)*10+SUMIF(_xlpm.col,"L.*",B:B)*11+SUMIF(_xlpm.col,"M.*",B:B)*12+SUMIF(_xlpm.col,"N.*",B:B)*13+SUMIF(_xlpm.col,"O.*",B:B)*14+SUMIF(_xlpm.col,"P.*",B:B)*15)))/M10</f>
        <v>30.344360902255641</v>
      </c>
      <c r="N5" s="33"/>
      <c r="O5" s="33"/>
      <c r="P5" s="33"/>
      <c r="Q5" s="33"/>
      <c r="R5" s="33"/>
      <c r="S5" s="33"/>
      <c r="T5" s="33"/>
    </row>
    <row r="6" spans="1:21" x14ac:dyDescent="0.2">
      <c r="A6" s="58">
        <v>92223</v>
      </c>
      <c r="B6" s="58">
        <v>50</v>
      </c>
      <c r="C6" s="58" t="s">
        <v>914</v>
      </c>
      <c r="D6" s="58" t="s">
        <v>1353</v>
      </c>
      <c r="E6" s="58" t="s">
        <v>1353</v>
      </c>
      <c r="F6" s="58" t="s">
        <v>1353</v>
      </c>
      <c r="G6" s="58" t="s">
        <v>1353</v>
      </c>
      <c r="H6" s="58" t="s">
        <v>1353</v>
      </c>
      <c r="J6" s="40" t="s">
        <v>47</v>
      </c>
      <c r="K6" s="40"/>
      <c r="L6" s="40"/>
      <c r="M6" s="41">
        <f>M5/M4</f>
        <v>2.1842290415110677</v>
      </c>
      <c r="N6" s="40"/>
      <c r="O6" s="40"/>
      <c r="P6" s="40"/>
      <c r="Q6" s="40"/>
      <c r="R6" s="40"/>
      <c r="S6" s="40"/>
      <c r="T6" s="40"/>
    </row>
    <row r="7" spans="1:21" x14ac:dyDescent="0.2">
      <c r="A7" s="58">
        <v>92345</v>
      </c>
      <c r="B7" s="58">
        <v>50</v>
      </c>
      <c r="C7" s="58" t="s">
        <v>914</v>
      </c>
      <c r="D7" s="58" t="s">
        <v>1353</v>
      </c>
      <c r="E7" s="58" t="s">
        <v>1353</v>
      </c>
      <c r="F7" s="58" t="s">
        <v>1353</v>
      </c>
      <c r="G7" s="58" t="s">
        <v>1353</v>
      </c>
      <c r="H7" s="58" t="s">
        <v>1353</v>
      </c>
      <c r="M7" s="35"/>
    </row>
    <row r="8" spans="1:21" x14ac:dyDescent="0.2">
      <c r="A8" s="58">
        <v>92371</v>
      </c>
      <c r="B8" s="58">
        <v>50</v>
      </c>
      <c r="C8" s="58" t="s">
        <v>914</v>
      </c>
      <c r="D8" s="58" t="s">
        <v>1353</v>
      </c>
      <c r="E8" s="58" t="s">
        <v>1353</v>
      </c>
      <c r="F8" s="58" t="s">
        <v>1353</v>
      </c>
      <c r="G8" s="58" t="s">
        <v>1353</v>
      </c>
      <c r="H8" s="58" t="s">
        <v>1353</v>
      </c>
      <c r="J8" s="69" t="s">
        <v>54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0"/>
    </row>
    <row r="9" spans="1:21" x14ac:dyDescent="0.2">
      <c r="A9" s="58">
        <v>92629</v>
      </c>
      <c r="B9" s="58">
        <v>47</v>
      </c>
      <c r="C9" s="58" t="s">
        <v>914</v>
      </c>
      <c r="D9" s="58" t="s">
        <v>1353</v>
      </c>
      <c r="E9" s="58" t="s">
        <v>1353</v>
      </c>
      <c r="F9" s="58" t="s">
        <v>1353</v>
      </c>
      <c r="G9" s="58" t="s">
        <v>1353</v>
      </c>
      <c r="H9" s="58" t="s">
        <v>1353</v>
      </c>
      <c r="J9" s="36"/>
      <c r="K9" s="36" t="s">
        <v>17</v>
      </c>
      <c r="L9" s="36" t="s">
        <v>18</v>
      </c>
      <c r="M9" s="36" t="s">
        <v>19</v>
      </c>
      <c r="N9" s="36" t="s">
        <v>20</v>
      </c>
      <c r="O9" s="36" t="s">
        <v>21</v>
      </c>
      <c r="P9" s="36" t="s">
        <v>22</v>
      </c>
      <c r="Q9" s="36" t="s">
        <v>23</v>
      </c>
      <c r="R9" s="36" t="s">
        <v>24</v>
      </c>
      <c r="S9" s="36" t="s">
        <v>25</v>
      </c>
      <c r="T9" s="37" t="s">
        <v>26</v>
      </c>
      <c r="U9" s="36" t="s">
        <v>59</v>
      </c>
    </row>
    <row r="10" spans="1:21" x14ac:dyDescent="0.2">
      <c r="A10" s="58" t="s">
        <v>1435</v>
      </c>
      <c r="B10" s="58">
        <v>45</v>
      </c>
      <c r="C10" s="58" t="s">
        <v>914</v>
      </c>
      <c r="D10" s="58" t="s">
        <v>202</v>
      </c>
      <c r="E10" s="58" t="s">
        <v>1353</v>
      </c>
      <c r="F10" s="58" t="s">
        <v>1374</v>
      </c>
      <c r="G10" s="58" t="s">
        <v>1353</v>
      </c>
      <c r="H10" s="58" t="s">
        <v>202</v>
      </c>
      <c r="J10" s="4" t="s">
        <v>63</v>
      </c>
      <c r="K10" s="4" cm="1">
        <f t="array" ref="K10">SUM(COUNTIF(D:H,{"A.*","B.*"}))</f>
        <v>1609</v>
      </c>
      <c r="L10" s="4">
        <f>COUNTIF(D:H,"T.*")</f>
        <v>64</v>
      </c>
      <c r="M10" s="4" cm="1">
        <f t="array" ref="M10">SUM(COUNTIF(D:H,{"C.*","D.*","E.*","F.*","G.*","H.*","I.*","J.*","K.*","L.*","M.*","N.*","O.*","P.*"}))</f>
        <v>266</v>
      </c>
      <c r="N10" s="23">
        <f>COUNTIF(D:H,"R.*")</f>
        <v>55</v>
      </c>
      <c r="O10" s="4">
        <f>COUNTIF(D:H,"U.*")</f>
        <v>23</v>
      </c>
      <c r="P10" s="4">
        <v>0</v>
      </c>
      <c r="Q10" s="4">
        <f>COUNTIF(D:H,"Q.*")</f>
        <v>10</v>
      </c>
      <c r="R10" s="4">
        <f>COUNTIF(D:H,"V.*")</f>
        <v>5</v>
      </c>
      <c r="S10" s="4">
        <f>COUNTIF(D:H,"S.*")</f>
        <v>143</v>
      </c>
      <c r="T10" s="14">
        <f>SUM(K10:S10)</f>
        <v>2175</v>
      </c>
      <c r="U10" s="4">
        <f>COUNTIFS(D2:H1000,"&lt;&gt;",D2:H1000,"&lt;&gt;OFF.*",D2:H1000,"&lt;&gt;AA.*",D2:H1000,"&lt;&gt;BB.*",D2:H1000,"&lt;&gt;W.*",D2:H1000,"&lt;&gt;X.*",D2:H1000,"&lt;&gt;CC.*")</f>
        <v>2175</v>
      </c>
    </row>
    <row r="11" spans="1:21" x14ac:dyDescent="0.2">
      <c r="A11" s="58">
        <v>92405</v>
      </c>
      <c r="B11" s="58">
        <v>45</v>
      </c>
      <c r="C11" s="58" t="s">
        <v>914</v>
      </c>
      <c r="D11" s="58" t="s">
        <v>1367</v>
      </c>
      <c r="E11" s="58" t="s">
        <v>1367</v>
      </c>
      <c r="F11" s="58" t="s">
        <v>1367</v>
      </c>
      <c r="G11" s="58" t="s">
        <v>1367</v>
      </c>
      <c r="H11" s="58" t="s">
        <v>1367</v>
      </c>
    </row>
    <row r="12" spans="1:21" ht="16" x14ac:dyDescent="0.2">
      <c r="A12" s="58">
        <v>92555</v>
      </c>
      <c r="B12" s="58">
        <v>45</v>
      </c>
      <c r="C12" s="58" t="s">
        <v>914</v>
      </c>
      <c r="D12" s="58" t="s">
        <v>1352</v>
      </c>
      <c r="E12" s="58" t="s">
        <v>1352</v>
      </c>
      <c r="F12" s="58" t="s">
        <v>1352</v>
      </c>
      <c r="G12" s="58" t="s">
        <v>1352</v>
      </c>
      <c r="H12" s="58" t="s">
        <v>1352</v>
      </c>
      <c r="J12" s="38" t="s">
        <v>1386</v>
      </c>
      <c r="L12" s="69" t="s">
        <v>69</v>
      </c>
      <c r="M12" s="73"/>
      <c r="N12" s="70"/>
    </row>
    <row r="13" spans="1:21" ht="16" x14ac:dyDescent="0.2">
      <c r="A13" s="58">
        <v>91607</v>
      </c>
      <c r="B13" s="58">
        <v>45</v>
      </c>
      <c r="C13" s="58" t="s">
        <v>914</v>
      </c>
      <c r="D13" s="58" t="s">
        <v>1352</v>
      </c>
      <c r="E13" s="58" t="s">
        <v>1352</v>
      </c>
      <c r="F13" s="58" t="s">
        <v>1352</v>
      </c>
      <c r="G13" s="58" t="s">
        <v>1352</v>
      </c>
      <c r="H13" s="58" t="s">
        <v>1353</v>
      </c>
      <c r="J13" s="5" t="s">
        <v>1353</v>
      </c>
      <c r="L13" s="74" t="s">
        <v>75</v>
      </c>
      <c r="M13" s="74"/>
      <c r="N13" s="36">
        <f>2*T10/COUNTIF(A2:A1000,"&lt;&gt;")</f>
        <v>8.9322381930184811</v>
      </c>
    </row>
    <row r="14" spans="1:21" ht="16" x14ac:dyDescent="0.2">
      <c r="A14" s="58">
        <v>92345</v>
      </c>
      <c r="B14" s="58">
        <v>43</v>
      </c>
      <c r="C14" s="58" t="s">
        <v>914</v>
      </c>
      <c r="D14" s="58" t="s">
        <v>1353</v>
      </c>
      <c r="E14" s="58" t="s">
        <v>1353</v>
      </c>
      <c r="F14" s="58" t="s">
        <v>1353</v>
      </c>
      <c r="G14" s="58" t="s">
        <v>1353</v>
      </c>
      <c r="H14" s="58" t="s">
        <v>1353</v>
      </c>
      <c r="J14" s="5" t="s">
        <v>1355</v>
      </c>
      <c r="L14" s="72" t="s">
        <v>82</v>
      </c>
      <c r="M14" s="72"/>
      <c r="N14" s="4">
        <v>759</v>
      </c>
    </row>
    <row r="15" spans="1:21" ht="16" x14ac:dyDescent="0.2">
      <c r="A15" s="58" t="s">
        <v>1391</v>
      </c>
      <c r="B15" s="58">
        <v>43</v>
      </c>
      <c r="C15" s="58" t="s">
        <v>914</v>
      </c>
      <c r="D15" s="58" t="s">
        <v>1353</v>
      </c>
      <c r="E15" s="58" t="s">
        <v>1353</v>
      </c>
      <c r="F15" s="58" t="s">
        <v>1353</v>
      </c>
      <c r="G15" s="58" t="s">
        <v>1353</v>
      </c>
      <c r="H15" s="58" t="s">
        <v>1353</v>
      </c>
      <c r="J15" s="5" t="s">
        <v>1352</v>
      </c>
      <c r="L15" s="75" t="s">
        <v>86</v>
      </c>
      <c r="M15" s="75"/>
      <c r="N15" s="59">
        <f>COUNTIF(A2:A1000,"&lt;&gt;")</f>
        <v>487</v>
      </c>
    </row>
    <row r="16" spans="1:21" ht="16" x14ac:dyDescent="0.2">
      <c r="A16" s="58">
        <v>92325</v>
      </c>
      <c r="B16" s="58">
        <v>42</v>
      </c>
      <c r="C16" s="58" t="s">
        <v>914</v>
      </c>
      <c r="D16" s="58" t="s">
        <v>1353</v>
      </c>
      <c r="E16" s="58" t="s">
        <v>1353</v>
      </c>
      <c r="F16" s="58" t="s">
        <v>1353</v>
      </c>
      <c r="G16" s="58" t="s">
        <v>1353</v>
      </c>
      <c r="H16" s="58" t="s">
        <v>1353</v>
      </c>
      <c r="J16" s="5" t="s">
        <v>1356</v>
      </c>
      <c r="L16" s="72" t="s">
        <v>93</v>
      </c>
      <c r="M16" s="69"/>
      <c r="N16" s="61">
        <f>N15/N14</f>
        <v>0.64163372859025036</v>
      </c>
    </row>
    <row r="17" spans="1:14" ht="16" x14ac:dyDescent="0.2">
      <c r="A17" s="58">
        <v>92397</v>
      </c>
      <c r="B17" s="58">
        <v>41</v>
      </c>
      <c r="C17" s="58" t="s">
        <v>1390</v>
      </c>
      <c r="D17" s="58" t="s">
        <v>1353</v>
      </c>
      <c r="E17" s="58" t="s">
        <v>1353</v>
      </c>
      <c r="F17" s="58" t="s">
        <v>1353</v>
      </c>
      <c r="G17" s="58" t="s">
        <v>1353</v>
      </c>
      <c r="H17" s="58" t="s">
        <v>1353</v>
      </c>
      <c r="J17" s="5" t="s">
        <v>1357</v>
      </c>
      <c r="L17" s="77" t="s">
        <v>99</v>
      </c>
      <c r="M17" s="78"/>
      <c r="N17" s="60">
        <v>49</v>
      </c>
    </row>
    <row r="18" spans="1:14" ht="16" x14ac:dyDescent="0.2">
      <c r="A18" s="58">
        <v>91752</v>
      </c>
      <c r="B18" s="58">
        <v>40</v>
      </c>
      <c r="C18" s="58" t="s">
        <v>1390</v>
      </c>
      <c r="D18" s="58" t="s">
        <v>202</v>
      </c>
      <c r="E18" s="58" t="s">
        <v>202</v>
      </c>
      <c r="F18" s="58" t="s">
        <v>202</v>
      </c>
      <c r="G18" s="58" t="s">
        <v>202</v>
      </c>
      <c r="H18" s="58" t="s">
        <v>202</v>
      </c>
      <c r="J18" s="5" t="s">
        <v>1359</v>
      </c>
      <c r="L18" s="69" t="s">
        <v>104</v>
      </c>
      <c r="M18" s="70"/>
      <c r="N18" s="4">
        <f>AVERAGE(B2:B1000)</f>
        <v>12.256180698151953</v>
      </c>
    </row>
    <row r="19" spans="1:14" ht="16" x14ac:dyDescent="0.2">
      <c r="A19" s="58">
        <v>90048</v>
      </c>
      <c r="B19" s="58">
        <v>40</v>
      </c>
      <c r="C19" s="58" t="s">
        <v>914</v>
      </c>
      <c r="D19" s="58" t="s">
        <v>1352</v>
      </c>
      <c r="E19" s="58" t="s">
        <v>1352</v>
      </c>
      <c r="F19" s="58" t="s">
        <v>1356</v>
      </c>
      <c r="G19" s="58" t="s">
        <v>1352</v>
      </c>
      <c r="H19" s="58" t="s">
        <v>1359</v>
      </c>
      <c r="J19" s="5" t="s">
        <v>1360</v>
      </c>
      <c r="L19" s="69" t="s">
        <v>109</v>
      </c>
      <c r="M19" s="70"/>
      <c r="N19" s="4">
        <f>MEDIAN(B2:B1000)</f>
        <v>8</v>
      </c>
    </row>
    <row r="20" spans="1:14" ht="16" x14ac:dyDescent="0.2">
      <c r="A20" s="58">
        <v>92372</v>
      </c>
      <c r="B20" s="58">
        <v>40</v>
      </c>
      <c r="C20" s="58" t="s">
        <v>914</v>
      </c>
      <c r="D20" s="58" t="s">
        <v>1353</v>
      </c>
      <c r="E20" s="58" t="s">
        <v>1353</v>
      </c>
      <c r="F20" s="58" t="s">
        <v>1353</v>
      </c>
      <c r="G20" s="58" t="s">
        <v>1353</v>
      </c>
      <c r="H20" s="58" t="s">
        <v>1353</v>
      </c>
      <c r="J20" s="5" t="s">
        <v>1361</v>
      </c>
      <c r="L20" s="69" t="s">
        <v>114</v>
      </c>
      <c r="M20" s="70"/>
      <c r="N20" s="4">
        <f>SUM(B2:B1000)</f>
        <v>5968.7600000000011</v>
      </c>
    </row>
    <row r="21" spans="1:14" ht="16" x14ac:dyDescent="0.2">
      <c r="A21" s="58" t="s">
        <v>1436</v>
      </c>
      <c r="B21" s="58">
        <v>40</v>
      </c>
      <c r="C21" s="58" t="s">
        <v>914</v>
      </c>
      <c r="D21" s="58" t="s">
        <v>1352</v>
      </c>
      <c r="E21" s="58" t="s">
        <v>1352</v>
      </c>
      <c r="F21" s="58" t="s">
        <v>1352</v>
      </c>
      <c r="G21" s="58" t="s">
        <v>1352</v>
      </c>
      <c r="H21" s="58" t="s">
        <v>1353</v>
      </c>
      <c r="J21" s="5" t="s">
        <v>1362</v>
      </c>
      <c r="L21" s="69" t="s">
        <v>119</v>
      </c>
      <c r="M21" s="70"/>
      <c r="N21" s="61">
        <f>COUNTIF(B:B,"&lt;=5")/N15</f>
        <v>0.40862422997946612</v>
      </c>
    </row>
    <row r="22" spans="1:14" ht="16" x14ac:dyDescent="0.2">
      <c r="A22" s="58">
        <v>91505</v>
      </c>
      <c r="B22" s="58">
        <v>40</v>
      </c>
      <c r="C22" s="58" t="s">
        <v>914</v>
      </c>
      <c r="D22" s="58" t="s">
        <v>1353</v>
      </c>
      <c r="E22" s="58" t="s">
        <v>1353</v>
      </c>
      <c r="F22" s="58" t="s">
        <v>1353</v>
      </c>
      <c r="G22" s="58" t="s">
        <v>1353</v>
      </c>
      <c r="H22" s="58" t="s">
        <v>1353</v>
      </c>
      <c r="J22" s="5" t="s">
        <v>1363</v>
      </c>
    </row>
    <row r="23" spans="1:14" ht="16" x14ac:dyDescent="0.2">
      <c r="A23" s="58">
        <v>92660</v>
      </c>
      <c r="B23" s="58">
        <v>39</v>
      </c>
      <c r="C23" s="58" t="s">
        <v>914</v>
      </c>
      <c r="D23" s="58" t="s">
        <v>1353</v>
      </c>
      <c r="E23" s="58" t="s">
        <v>1353</v>
      </c>
      <c r="F23" s="58" t="s">
        <v>1353</v>
      </c>
      <c r="G23" s="58" t="s">
        <v>191</v>
      </c>
      <c r="H23" s="58" t="s">
        <v>191</v>
      </c>
      <c r="J23" s="5" t="s">
        <v>1364</v>
      </c>
    </row>
    <row r="24" spans="1:14" ht="16" x14ac:dyDescent="0.2">
      <c r="A24" s="58">
        <v>92704</v>
      </c>
      <c r="B24" s="58">
        <v>38</v>
      </c>
      <c r="C24" s="58" t="s">
        <v>914</v>
      </c>
      <c r="D24" s="58" t="s">
        <v>1353</v>
      </c>
      <c r="E24" s="58" t="s">
        <v>1353</v>
      </c>
      <c r="F24" s="58" t="s">
        <v>1353</v>
      </c>
      <c r="G24" s="58" t="s">
        <v>1353</v>
      </c>
      <c r="H24" s="58" t="s">
        <v>1353</v>
      </c>
      <c r="J24" s="5" t="s">
        <v>1365</v>
      </c>
    </row>
    <row r="25" spans="1:14" ht="16" x14ac:dyDescent="0.2">
      <c r="A25" s="58">
        <v>90040</v>
      </c>
      <c r="B25" s="58">
        <v>37</v>
      </c>
      <c r="C25" s="58" t="s">
        <v>914</v>
      </c>
      <c r="D25" s="58" t="s">
        <v>1353</v>
      </c>
      <c r="E25" s="58" t="s">
        <v>1353</v>
      </c>
      <c r="F25" s="58" t="s">
        <v>1353</v>
      </c>
      <c r="G25" s="58" t="s">
        <v>1353</v>
      </c>
      <c r="H25" s="58" t="s">
        <v>1353</v>
      </c>
      <c r="J25" s="5" t="s">
        <v>1366</v>
      </c>
    </row>
    <row r="26" spans="1:14" ht="16" x14ac:dyDescent="0.2">
      <c r="A26" s="58">
        <v>92374</v>
      </c>
      <c r="B26" s="58">
        <v>37</v>
      </c>
      <c r="C26" s="58" t="s">
        <v>914</v>
      </c>
      <c r="D26" s="58" t="s">
        <v>1352</v>
      </c>
      <c r="E26" s="58" t="s">
        <v>1352</v>
      </c>
      <c r="F26" s="58" t="s">
        <v>1352</v>
      </c>
      <c r="G26" s="58" t="s">
        <v>1352</v>
      </c>
      <c r="H26" s="58" t="s">
        <v>1352</v>
      </c>
      <c r="J26" s="5" t="s">
        <v>1368</v>
      </c>
    </row>
    <row r="27" spans="1:14" ht="16" x14ac:dyDescent="0.2">
      <c r="A27" s="58">
        <v>90026</v>
      </c>
      <c r="B27" s="58">
        <v>36</v>
      </c>
      <c r="C27" s="58" t="s">
        <v>914</v>
      </c>
      <c r="D27" s="58" t="s">
        <v>1353</v>
      </c>
      <c r="E27" s="58" t="s">
        <v>1353</v>
      </c>
      <c r="F27" s="58" t="s">
        <v>1353</v>
      </c>
      <c r="G27" s="58" t="s">
        <v>1353</v>
      </c>
      <c r="H27" s="58" t="s">
        <v>1353</v>
      </c>
      <c r="J27" s="5" t="s">
        <v>1369</v>
      </c>
    </row>
    <row r="28" spans="1:14" ht="16" x14ac:dyDescent="0.2">
      <c r="A28" s="58">
        <v>91011</v>
      </c>
      <c r="B28" s="58">
        <v>36</v>
      </c>
      <c r="C28" s="58" t="s">
        <v>914</v>
      </c>
      <c r="D28" s="58" t="s">
        <v>1353</v>
      </c>
      <c r="E28" s="58" t="s">
        <v>1353</v>
      </c>
      <c r="F28" s="58" t="s">
        <v>1353</v>
      </c>
      <c r="G28" s="58" t="s">
        <v>1353</v>
      </c>
      <c r="H28" s="58" t="s">
        <v>199</v>
      </c>
      <c r="J28" s="5" t="s">
        <v>1370</v>
      </c>
    </row>
    <row r="29" spans="1:14" ht="16" x14ac:dyDescent="0.2">
      <c r="A29" s="58">
        <v>92404</v>
      </c>
      <c r="B29" s="58">
        <v>36</v>
      </c>
      <c r="C29" s="58" t="s">
        <v>914</v>
      </c>
      <c r="D29" s="58" t="s">
        <v>1353</v>
      </c>
      <c r="E29" s="58" t="s">
        <v>1353</v>
      </c>
      <c r="F29" s="58" t="s">
        <v>1353</v>
      </c>
      <c r="G29" s="58" t="s">
        <v>202</v>
      </c>
      <c r="H29" s="58" t="s">
        <v>202</v>
      </c>
      <c r="J29" s="5" t="s">
        <v>1371</v>
      </c>
    </row>
    <row r="30" spans="1:14" ht="16" x14ac:dyDescent="0.2">
      <c r="A30" s="58">
        <v>91711</v>
      </c>
      <c r="B30" s="58">
        <v>35</v>
      </c>
      <c r="C30" s="58" t="s">
        <v>914</v>
      </c>
      <c r="D30" s="58" t="s">
        <v>1353</v>
      </c>
      <c r="E30" s="58" t="s">
        <v>1353</v>
      </c>
      <c r="F30" s="58" t="s">
        <v>1353</v>
      </c>
      <c r="G30" s="58" t="s">
        <v>1353</v>
      </c>
      <c r="H30" s="58" t="s">
        <v>1353</v>
      </c>
      <c r="J30" s="5" t="s">
        <v>1367</v>
      </c>
    </row>
    <row r="31" spans="1:14" ht="16" x14ac:dyDescent="0.2">
      <c r="A31" s="58">
        <v>92880</v>
      </c>
      <c r="B31" s="58">
        <v>35</v>
      </c>
      <c r="C31" s="58" t="s">
        <v>914</v>
      </c>
      <c r="D31" s="58" t="s">
        <v>1353</v>
      </c>
      <c r="E31" s="58" t="s">
        <v>1353</v>
      </c>
      <c r="F31" s="58" t="s">
        <v>1353</v>
      </c>
      <c r="G31" s="58" t="s">
        <v>202</v>
      </c>
      <c r="H31" s="58" t="s">
        <v>202</v>
      </c>
      <c r="J31" s="5" t="s">
        <v>1372</v>
      </c>
    </row>
    <row r="32" spans="1:14" ht="16" x14ac:dyDescent="0.2">
      <c r="A32" s="58">
        <v>92557</v>
      </c>
      <c r="B32" s="58">
        <v>35</v>
      </c>
      <c r="C32" s="58" t="s">
        <v>914</v>
      </c>
      <c r="D32" s="58" t="s">
        <v>1367</v>
      </c>
      <c r="E32" s="58" t="s">
        <v>1367</v>
      </c>
      <c r="F32" s="58" t="s">
        <v>1367</v>
      </c>
      <c r="G32" s="58" t="s">
        <v>1367</v>
      </c>
      <c r="H32" s="58" t="s">
        <v>1367</v>
      </c>
      <c r="J32" s="5" t="s">
        <v>1373</v>
      </c>
    </row>
    <row r="33" spans="1:10" ht="16" x14ac:dyDescent="0.2">
      <c r="A33" s="58" t="s">
        <v>1393</v>
      </c>
      <c r="B33" s="58">
        <v>35</v>
      </c>
      <c r="C33" s="58" t="s">
        <v>914</v>
      </c>
      <c r="D33" s="58" t="s">
        <v>1353</v>
      </c>
      <c r="E33" s="58" t="s">
        <v>1353</v>
      </c>
      <c r="F33" s="58" t="s">
        <v>1353</v>
      </c>
      <c r="G33" s="58" t="s">
        <v>1353</v>
      </c>
      <c r="H33" s="58" t="s">
        <v>1353</v>
      </c>
      <c r="J33" s="5" t="s">
        <v>1358</v>
      </c>
    </row>
    <row r="34" spans="1:10" ht="16" x14ac:dyDescent="0.2">
      <c r="A34" s="58">
        <v>92706</v>
      </c>
      <c r="B34" s="58">
        <v>35</v>
      </c>
      <c r="C34" s="58" t="s">
        <v>914</v>
      </c>
      <c r="D34" s="58" t="s">
        <v>1353</v>
      </c>
      <c r="E34" s="58" t="s">
        <v>1353</v>
      </c>
      <c r="F34" s="58" t="s">
        <v>1353</v>
      </c>
      <c r="G34" s="58" t="s">
        <v>1353</v>
      </c>
      <c r="H34" s="58" t="s">
        <v>1353</v>
      </c>
      <c r="J34" s="5" t="s">
        <v>1351</v>
      </c>
    </row>
    <row r="35" spans="1:10" ht="16" x14ac:dyDescent="0.2">
      <c r="A35" s="58">
        <v>90031</v>
      </c>
      <c r="B35" s="58">
        <v>35</v>
      </c>
      <c r="C35" s="58" t="s">
        <v>914</v>
      </c>
      <c r="D35" s="58" t="s">
        <v>1367</v>
      </c>
      <c r="E35" s="58" t="s">
        <v>1367</v>
      </c>
      <c r="F35" s="58" t="s">
        <v>1367</v>
      </c>
      <c r="G35" s="58" t="s">
        <v>1353</v>
      </c>
      <c r="H35" s="58" t="s">
        <v>191</v>
      </c>
      <c r="J35" s="5" t="s">
        <v>1374</v>
      </c>
    </row>
    <row r="36" spans="1:10" ht="16" x14ac:dyDescent="0.2">
      <c r="A36" s="58">
        <v>92557</v>
      </c>
      <c r="B36" s="58">
        <v>35</v>
      </c>
      <c r="C36" s="58" t="s">
        <v>914</v>
      </c>
      <c r="D36" s="58" t="s">
        <v>1353</v>
      </c>
      <c r="E36" s="58" t="s">
        <v>1353</v>
      </c>
      <c r="F36" s="58" t="s">
        <v>1353</v>
      </c>
      <c r="G36" s="58" t="s">
        <v>1353</v>
      </c>
      <c r="H36" s="58" t="s">
        <v>1353</v>
      </c>
      <c r="J36" s="5" t="s">
        <v>191</v>
      </c>
    </row>
    <row r="37" spans="1:10" ht="16" x14ac:dyDescent="0.2">
      <c r="A37" s="58">
        <v>90042</v>
      </c>
      <c r="B37" s="58">
        <v>34</v>
      </c>
      <c r="C37" s="58" t="s">
        <v>1390</v>
      </c>
      <c r="D37" s="58" t="s">
        <v>1353</v>
      </c>
      <c r="E37" s="58" t="s">
        <v>1353</v>
      </c>
      <c r="F37" s="58" t="s">
        <v>1353</v>
      </c>
      <c r="G37" s="58" t="s">
        <v>1353</v>
      </c>
      <c r="H37" s="58" t="s">
        <v>1353</v>
      </c>
      <c r="J37" s="5" t="s">
        <v>195</v>
      </c>
    </row>
    <row r="38" spans="1:10" ht="16" x14ac:dyDescent="0.2">
      <c r="A38" s="58">
        <v>90041</v>
      </c>
      <c r="B38" s="58">
        <v>34</v>
      </c>
      <c r="C38" s="58" t="s">
        <v>1390</v>
      </c>
      <c r="D38" s="58" t="s">
        <v>202</v>
      </c>
      <c r="E38" s="58" t="s">
        <v>1353</v>
      </c>
      <c r="F38" s="58" t="s">
        <v>202</v>
      </c>
      <c r="G38" s="58" t="s">
        <v>202</v>
      </c>
      <c r="H38" s="58" t="s">
        <v>202</v>
      </c>
      <c r="J38" s="5" t="s">
        <v>199</v>
      </c>
    </row>
    <row r="39" spans="1:10" ht="16" x14ac:dyDescent="0.2">
      <c r="A39" s="58" t="s">
        <v>1394</v>
      </c>
      <c r="B39" s="58">
        <v>34</v>
      </c>
      <c r="C39" s="58" t="s">
        <v>914</v>
      </c>
      <c r="D39" s="58" t="s">
        <v>1353</v>
      </c>
      <c r="E39" s="58" t="s">
        <v>1353</v>
      </c>
      <c r="F39" s="58" t="s">
        <v>1353</v>
      </c>
      <c r="G39" s="58" t="s">
        <v>1353</v>
      </c>
      <c r="H39" s="58" t="s">
        <v>1353</v>
      </c>
      <c r="J39" s="6" t="s">
        <v>202</v>
      </c>
    </row>
    <row r="40" spans="1:10" x14ac:dyDescent="0.2">
      <c r="A40" s="58">
        <v>90601</v>
      </c>
      <c r="B40" s="58">
        <v>33</v>
      </c>
      <c r="C40" s="58" t="s">
        <v>1390</v>
      </c>
      <c r="D40" s="58" t="s">
        <v>202</v>
      </c>
      <c r="E40" s="58" t="s">
        <v>1353</v>
      </c>
      <c r="F40" s="58" t="s">
        <v>202</v>
      </c>
      <c r="G40" s="58" t="s">
        <v>1353</v>
      </c>
      <c r="H40" s="58" t="s">
        <v>202</v>
      </c>
    </row>
    <row r="41" spans="1:10" x14ac:dyDescent="0.2">
      <c r="A41" s="58">
        <v>92655</v>
      </c>
      <c r="B41" s="58">
        <v>33</v>
      </c>
      <c r="C41" s="58" t="s">
        <v>914</v>
      </c>
      <c r="D41" s="58" t="s">
        <v>1353</v>
      </c>
      <c r="E41" s="58" t="s">
        <v>1353</v>
      </c>
      <c r="F41" s="58" t="s">
        <v>1353</v>
      </c>
      <c r="G41" s="58" t="s">
        <v>1353</v>
      </c>
      <c r="H41" s="58" t="s">
        <v>1353</v>
      </c>
    </row>
    <row r="42" spans="1:10" x14ac:dyDescent="0.2">
      <c r="A42" s="58" t="s">
        <v>1437</v>
      </c>
      <c r="B42" s="58">
        <v>33</v>
      </c>
      <c r="C42" s="58" t="s">
        <v>914</v>
      </c>
      <c r="D42" s="58" t="s">
        <v>1353</v>
      </c>
      <c r="E42" s="58" t="s">
        <v>1353</v>
      </c>
      <c r="F42" s="58" t="s">
        <v>1353</v>
      </c>
      <c r="G42" s="58" t="s">
        <v>1353</v>
      </c>
      <c r="H42" s="58" t="s">
        <v>1353</v>
      </c>
    </row>
    <row r="43" spans="1:10" x14ac:dyDescent="0.2">
      <c r="A43" s="58">
        <v>92555</v>
      </c>
      <c r="B43" s="58">
        <v>33</v>
      </c>
      <c r="C43" s="58" t="s">
        <v>914</v>
      </c>
      <c r="D43" s="58" t="s">
        <v>1353</v>
      </c>
      <c r="E43" s="58" t="s">
        <v>1353</v>
      </c>
      <c r="F43" s="58" t="s">
        <v>1353</v>
      </c>
      <c r="G43" s="58" t="s">
        <v>1353</v>
      </c>
      <c r="H43" s="58" t="s">
        <v>1353</v>
      </c>
    </row>
    <row r="44" spans="1:10" x14ac:dyDescent="0.2">
      <c r="A44" s="58">
        <v>92506</v>
      </c>
      <c r="B44" s="58">
        <v>33</v>
      </c>
      <c r="C44" s="58" t="s">
        <v>914</v>
      </c>
      <c r="D44" s="58" t="s">
        <v>1353</v>
      </c>
      <c r="E44" s="58" t="s">
        <v>1353</v>
      </c>
      <c r="F44" s="58" t="s">
        <v>1353</v>
      </c>
      <c r="G44" s="58" t="s">
        <v>1353</v>
      </c>
      <c r="H44" s="58" t="s">
        <v>1353</v>
      </c>
    </row>
    <row r="45" spans="1:10" x14ac:dyDescent="0.2">
      <c r="A45" s="58">
        <v>92346</v>
      </c>
      <c r="B45" s="58">
        <v>31</v>
      </c>
      <c r="C45" s="58" t="s">
        <v>914</v>
      </c>
      <c r="D45" s="58" t="s">
        <v>1353</v>
      </c>
      <c r="E45" s="58" t="s">
        <v>1353</v>
      </c>
      <c r="F45" s="58" t="s">
        <v>202</v>
      </c>
      <c r="G45" s="58" t="s">
        <v>202</v>
      </c>
      <c r="H45" s="58" t="s">
        <v>1353</v>
      </c>
    </row>
    <row r="46" spans="1:10" x14ac:dyDescent="0.2">
      <c r="A46" s="58" t="s">
        <v>1438</v>
      </c>
      <c r="B46" s="58">
        <v>30.8</v>
      </c>
      <c r="C46" s="58" t="s">
        <v>1390</v>
      </c>
      <c r="D46" s="58" t="s">
        <v>1353</v>
      </c>
      <c r="E46" s="58" t="s">
        <v>1353</v>
      </c>
      <c r="F46" s="58" t="s">
        <v>1353</v>
      </c>
      <c r="G46" s="58" t="s">
        <v>1353</v>
      </c>
      <c r="H46" s="58" t="s">
        <v>1353</v>
      </c>
    </row>
    <row r="47" spans="1:10" x14ac:dyDescent="0.2">
      <c r="A47" s="58">
        <v>92802</v>
      </c>
      <c r="B47" s="58">
        <v>30</v>
      </c>
      <c r="C47" s="58" t="s">
        <v>1390</v>
      </c>
      <c r="D47" s="58" t="s">
        <v>1353</v>
      </c>
      <c r="E47" s="58" t="s">
        <v>1353</v>
      </c>
      <c r="F47" s="58" t="s">
        <v>202</v>
      </c>
      <c r="G47" s="58" t="s">
        <v>1353</v>
      </c>
      <c r="H47" s="58" t="s">
        <v>202</v>
      </c>
    </row>
    <row r="48" spans="1:10" x14ac:dyDescent="0.2">
      <c r="A48" s="58">
        <v>92503</v>
      </c>
      <c r="B48" s="58">
        <v>30</v>
      </c>
      <c r="C48" s="58" t="s">
        <v>914</v>
      </c>
      <c r="D48" s="58" t="s">
        <v>1353</v>
      </c>
      <c r="E48" s="58" t="s">
        <v>1353</v>
      </c>
      <c r="F48" s="58" t="s">
        <v>1353</v>
      </c>
      <c r="G48" s="58" t="s">
        <v>1353</v>
      </c>
      <c r="H48" s="58" t="s">
        <v>191</v>
      </c>
    </row>
    <row r="49" spans="1:8" x14ac:dyDescent="0.2">
      <c r="A49" s="58">
        <v>91001</v>
      </c>
      <c r="B49" s="58">
        <v>30</v>
      </c>
      <c r="C49" s="58" t="s">
        <v>914</v>
      </c>
      <c r="D49" s="58" t="s">
        <v>191</v>
      </c>
      <c r="E49" s="58" t="s">
        <v>191</v>
      </c>
      <c r="F49" s="58" t="s">
        <v>191</v>
      </c>
      <c r="G49" s="58" t="s">
        <v>191</v>
      </c>
      <c r="H49" s="58" t="s">
        <v>191</v>
      </c>
    </row>
    <row r="50" spans="1:8" x14ac:dyDescent="0.2">
      <c r="A50" s="58">
        <v>92408</v>
      </c>
      <c r="B50" s="58">
        <v>30</v>
      </c>
      <c r="C50" s="58" t="s">
        <v>914</v>
      </c>
      <c r="D50" s="58" t="s">
        <v>1352</v>
      </c>
      <c r="E50" s="58" t="s">
        <v>1352</v>
      </c>
      <c r="F50" s="58" t="s">
        <v>1352</v>
      </c>
      <c r="G50" s="58" t="s">
        <v>1352</v>
      </c>
      <c r="H50" s="58" t="s">
        <v>1352</v>
      </c>
    </row>
    <row r="51" spans="1:8" x14ac:dyDescent="0.2">
      <c r="A51" s="58">
        <v>92408</v>
      </c>
      <c r="B51" s="58">
        <v>30</v>
      </c>
      <c r="C51" s="58" t="s">
        <v>914</v>
      </c>
      <c r="D51" s="58" t="s">
        <v>1352</v>
      </c>
      <c r="E51" s="58" t="s">
        <v>1352</v>
      </c>
      <c r="F51" s="58" t="s">
        <v>1352</v>
      </c>
      <c r="G51" s="58" t="s">
        <v>1352</v>
      </c>
      <c r="H51" s="58" t="s">
        <v>1352</v>
      </c>
    </row>
    <row r="52" spans="1:8" x14ac:dyDescent="0.2">
      <c r="A52" s="58">
        <v>92404</v>
      </c>
      <c r="B52" s="58">
        <v>30</v>
      </c>
      <c r="C52" s="58" t="s">
        <v>914</v>
      </c>
      <c r="D52" s="58" t="s">
        <v>1353</v>
      </c>
      <c r="E52" s="58" t="s">
        <v>202</v>
      </c>
      <c r="F52" s="58" t="s">
        <v>202</v>
      </c>
      <c r="G52" s="58" t="s">
        <v>1353</v>
      </c>
      <c r="H52" s="58" t="s">
        <v>1353</v>
      </c>
    </row>
    <row r="53" spans="1:8" x14ac:dyDescent="0.2">
      <c r="A53" s="58">
        <v>92404</v>
      </c>
      <c r="B53" s="58">
        <v>30</v>
      </c>
      <c r="C53" s="58" t="s">
        <v>914</v>
      </c>
      <c r="D53" s="58" t="s">
        <v>1353</v>
      </c>
      <c r="E53" s="58" t="s">
        <v>1353</v>
      </c>
      <c r="F53" s="58" t="s">
        <v>1353</v>
      </c>
      <c r="G53" s="58" t="s">
        <v>1353</v>
      </c>
      <c r="H53" s="58" t="s">
        <v>1353</v>
      </c>
    </row>
    <row r="54" spans="1:8" x14ac:dyDescent="0.2">
      <c r="A54" s="58">
        <v>90606</v>
      </c>
      <c r="B54" s="58">
        <v>30</v>
      </c>
      <c r="C54" s="58" t="s">
        <v>914</v>
      </c>
      <c r="D54" s="58" t="s">
        <v>1353</v>
      </c>
      <c r="E54" s="58" t="s">
        <v>1353</v>
      </c>
      <c r="F54" s="58" t="s">
        <v>1353</v>
      </c>
      <c r="G54" s="58" t="s">
        <v>1353</v>
      </c>
      <c r="H54" s="58" t="s">
        <v>1353</v>
      </c>
    </row>
    <row r="55" spans="1:8" x14ac:dyDescent="0.2">
      <c r="A55" s="58">
        <v>91754</v>
      </c>
      <c r="B55" s="58">
        <v>30</v>
      </c>
      <c r="C55" s="58" t="s">
        <v>914</v>
      </c>
      <c r="D55" s="58" t="s">
        <v>1353</v>
      </c>
      <c r="E55" s="58" t="s">
        <v>1353</v>
      </c>
      <c r="F55" s="58" t="s">
        <v>1353</v>
      </c>
      <c r="G55" s="58" t="s">
        <v>1353</v>
      </c>
      <c r="H55" s="58" t="s">
        <v>1353</v>
      </c>
    </row>
    <row r="56" spans="1:8" x14ac:dyDescent="0.2">
      <c r="A56" s="58">
        <v>91105</v>
      </c>
      <c r="B56" s="58">
        <v>30</v>
      </c>
      <c r="C56" s="58" t="s">
        <v>914</v>
      </c>
      <c r="D56" s="58" t="s">
        <v>1353</v>
      </c>
      <c r="E56" s="58" t="s">
        <v>1353</v>
      </c>
      <c r="F56" s="58" t="s">
        <v>1353</v>
      </c>
      <c r="G56" s="58" t="s">
        <v>1353</v>
      </c>
      <c r="H56" s="58" t="s">
        <v>1353</v>
      </c>
    </row>
    <row r="57" spans="1:8" x14ac:dyDescent="0.2">
      <c r="A57" s="58">
        <v>92867</v>
      </c>
      <c r="B57" s="58">
        <v>29</v>
      </c>
      <c r="C57" s="58" t="s">
        <v>914</v>
      </c>
      <c r="D57" s="58" t="s">
        <v>1353</v>
      </c>
      <c r="E57" s="58" t="s">
        <v>1353</v>
      </c>
      <c r="F57" s="58" t="s">
        <v>1353</v>
      </c>
      <c r="G57" s="58" t="s">
        <v>1353</v>
      </c>
      <c r="H57" s="58" t="s">
        <v>1353</v>
      </c>
    </row>
    <row r="58" spans="1:8" x14ac:dyDescent="0.2">
      <c r="A58" s="58">
        <v>91001</v>
      </c>
      <c r="B58" s="58">
        <v>29</v>
      </c>
      <c r="C58" s="58" t="s">
        <v>914</v>
      </c>
      <c r="D58" s="58" t="s">
        <v>1353</v>
      </c>
      <c r="E58" s="58" t="s">
        <v>1353</v>
      </c>
      <c r="F58" s="58" t="s">
        <v>1353</v>
      </c>
      <c r="G58" s="58" t="s">
        <v>1353</v>
      </c>
      <c r="H58" s="58" t="s">
        <v>1353</v>
      </c>
    </row>
    <row r="59" spans="1:8" x14ac:dyDescent="0.2">
      <c r="A59" s="58">
        <v>92316</v>
      </c>
      <c r="B59" s="58">
        <v>28</v>
      </c>
      <c r="C59" s="58" t="s">
        <v>914</v>
      </c>
      <c r="D59" s="58" t="s">
        <v>195</v>
      </c>
      <c r="E59" s="58" t="s">
        <v>1353</v>
      </c>
      <c r="F59" s="58" t="s">
        <v>1353</v>
      </c>
      <c r="G59" s="58" t="s">
        <v>1353</v>
      </c>
      <c r="H59" s="58" t="s">
        <v>1353</v>
      </c>
    </row>
    <row r="60" spans="1:8" x14ac:dyDescent="0.2">
      <c r="A60" s="58">
        <v>92408</v>
      </c>
      <c r="B60" s="58">
        <v>28</v>
      </c>
      <c r="C60" s="58" t="s">
        <v>914</v>
      </c>
      <c r="D60" s="58" t="s">
        <v>1353</v>
      </c>
      <c r="E60" s="58" t="s">
        <v>1353</v>
      </c>
      <c r="F60" s="58" t="s">
        <v>1353</v>
      </c>
      <c r="G60" s="58" t="s">
        <v>1353</v>
      </c>
      <c r="H60" s="58" t="s">
        <v>1353</v>
      </c>
    </row>
    <row r="61" spans="1:8" x14ac:dyDescent="0.2">
      <c r="A61" s="58">
        <v>92505</v>
      </c>
      <c r="B61" s="58">
        <v>28</v>
      </c>
      <c r="C61" s="58" t="s">
        <v>914</v>
      </c>
      <c r="D61" s="58" t="s">
        <v>1353</v>
      </c>
      <c r="E61" s="58" t="s">
        <v>1353</v>
      </c>
      <c r="F61" s="58" t="s">
        <v>1353</v>
      </c>
      <c r="G61" s="58" t="s">
        <v>1353</v>
      </c>
      <c r="H61" s="58" t="s">
        <v>1353</v>
      </c>
    </row>
    <row r="62" spans="1:8" x14ac:dyDescent="0.2">
      <c r="A62" s="58">
        <v>91016</v>
      </c>
      <c r="B62" s="58">
        <v>28</v>
      </c>
      <c r="C62" s="58" t="s">
        <v>914</v>
      </c>
      <c r="D62" s="58" t="s">
        <v>1353</v>
      </c>
      <c r="E62" s="58" t="s">
        <v>1353</v>
      </c>
      <c r="F62" s="58" t="s">
        <v>1353</v>
      </c>
      <c r="G62" s="58" t="s">
        <v>1353</v>
      </c>
      <c r="H62" s="58" t="s">
        <v>1351</v>
      </c>
    </row>
    <row r="63" spans="1:8" x14ac:dyDescent="0.2">
      <c r="A63" s="58">
        <v>91104</v>
      </c>
      <c r="B63" s="58">
        <v>28</v>
      </c>
      <c r="C63" s="58" t="s">
        <v>914</v>
      </c>
      <c r="D63" s="58" t="s">
        <v>1353</v>
      </c>
      <c r="E63" s="58" t="s">
        <v>1353</v>
      </c>
      <c r="F63" s="58" t="s">
        <v>1353</v>
      </c>
      <c r="G63" s="58" t="s">
        <v>1353</v>
      </c>
      <c r="H63" s="58" t="s">
        <v>1353</v>
      </c>
    </row>
    <row r="64" spans="1:8" x14ac:dyDescent="0.2">
      <c r="A64" s="58">
        <v>90601</v>
      </c>
      <c r="B64" s="58">
        <v>27.3</v>
      </c>
      <c r="C64" s="58" t="s">
        <v>914</v>
      </c>
      <c r="D64" s="58" t="s">
        <v>1353</v>
      </c>
      <c r="E64" s="58" t="s">
        <v>1353</v>
      </c>
      <c r="F64" s="58" t="s">
        <v>1353</v>
      </c>
      <c r="G64" s="58" t="s">
        <v>191</v>
      </c>
      <c r="H64" s="58" t="s">
        <v>191</v>
      </c>
    </row>
    <row r="65" spans="1:8" x14ac:dyDescent="0.2">
      <c r="A65" s="58">
        <v>91711</v>
      </c>
      <c r="B65" s="58">
        <v>27</v>
      </c>
      <c r="C65" s="58" t="s">
        <v>914</v>
      </c>
      <c r="D65" s="58" t="s">
        <v>1353</v>
      </c>
      <c r="E65" s="58" t="s">
        <v>1353</v>
      </c>
      <c r="F65" s="58" t="s">
        <v>1353</v>
      </c>
      <c r="G65" s="58" t="s">
        <v>1353</v>
      </c>
      <c r="H65" s="58" t="s">
        <v>1353</v>
      </c>
    </row>
    <row r="66" spans="1:8" x14ac:dyDescent="0.2">
      <c r="A66" s="58">
        <v>91001</v>
      </c>
      <c r="B66" s="58">
        <v>27</v>
      </c>
      <c r="C66" s="58" t="s">
        <v>914</v>
      </c>
      <c r="D66" s="58" t="s">
        <v>1353</v>
      </c>
      <c r="E66" s="58" t="s">
        <v>1353</v>
      </c>
      <c r="F66" s="58" t="s">
        <v>1353</v>
      </c>
      <c r="G66" s="58" t="s">
        <v>1353</v>
      </c>
      <c r="H66" s="58" t="s">
        <v>1353</v>
      </c>
    </row>
    <row r="67" spans="1:8" x14ac:dyDescent="0.2">
      <c r="A67" s="58">
        <v>91104</v>
      </c>
      <c r="B67" s="58">
        <v>26</v>
      </c>
      <c r="C67" s="58" t="s">
        <v>1390</v>
      </c>
      <c r="D67" s="58" t="s">
        <v>1353</v>
      </c>
      <c r="E67" s="58" t="s">
        <v>1353</v>
      </c>
      <c r="F67" s="58" t="s">
        <v>1353</v>
      </c>
      <c r="G67" s="58" t="s">
        <v>1353</v>
      </c>
      <c r="H67" s="58" t="s">
        <v>1351</v>
      </c>
    </row>
    <row r="68" spans="1:8" x14ac:dyDescent="0.2">
      <c r="A68" s="58" t="s">
        <v>1398</v>
      </c>
      <c r="B68" s="58">
        <v>26</v>
      </c>
      <c r="C68" s="58" t="s">
        <v>914</v>
      </c>
      <c r="D68" s="58" t="s">
        <v>202</v>
      </c>
      <c r="E68" s="58" t="s">
        <v>1353</v>
      </c>
      <c r="F68" s="58" t="s">
        <v>1353</v>
      </c>
      <c r="G68" s="58" t="s">
        <v>1353</v>
      </c>
      <c r="H68" s="58" t="s">
        <v>1353</v>
      </c>
    </row>
    <row r="69" spans="1:8" x14ac:dyDescent="0.2">
      <c r="A69" s="58">
        <v>92886</v>
      </c>
      <c r="B69" s="58">
        <v>26</v>
      </c>
      <c r="C69" s="58" t="s">
        <v>914</v>
      </c>
      <c r="D69" s="58" t="s">
        <v>1353</v>
      </c>
      <c r="E69" s="58" t="s">
        <v>1353</v>
      </c>
      <c r="F69" s="58" t="s">
        <v>1353</v>
      </c>
      <c r="G69" s="58" t="s">
        <v>1353</v>
      </c>
      <c r="H69" s="58" t="s">
        <v>1353</v>
      </c>
    </row>
    <row r="70" spans="1:8" x14ac:dyDescent="0.2">
      <c r="A70" s="58">
        <v>91101</v>
      </c>
      <c r="B70" s="58">
        <v>26</v>
      </c>
      <c r="C70" s="58" t="s">
        <v>914</v>
      </c>
      <c r="D70" s="58" t="s">
        <v>1353</v>
      </c>
      <c r="E70" s="58" t="s">
        <v>1353</v>
      </c>
      <c r="F70" s="58" t="s">
        <v>1353</v>
      </c>
      <c r="G70" s="58" t="s">
        <v>1353</v>
      </c>
      <c r="H70" s="58" t="s">
        <v>1353</v>
      </c>
    </row>
    <row r="71" spans="1:8" x14ac:dyDescent="0.2">
      <c r="A71" s="58">
        <v>91001</v>
      </c>
      <c r="B71" s="58">
        <v>26</v>
      </c>
      <c r="C71" s="58" t="s">
        <v>914</v>
      </c>
      <c r="D71" s="58" t="s">
        <v>1367</v>
      </c>
      <c r="E71" s="58" t="s">
        <v>1367</v>
      </c>
      <c r="F71" s="58" t="s">
        <v>1367</v>
      </c>
      <c r="G71" s="58" t="s">
        <v>1367</v>
      </c>
      <c r="H71" s="58" t="s">
        <v>1356</v>
      </c>
    </row>
    <row r="72" spans="1:8" x14ac:dyDescent="0.2">
      <c r="A72" s="58">
        <v>91104</v>
      </c>
      <c r="B72" s="58">
        <v>26</v>
      </c>
      <c r="C72" s="58" t="s">
        <v>914</v>
      </c>
      <c r="D72" s="58" t="s">
        <v>1352</v>
      </c>
      <c r="E72" s="58" t="s">
        <v>1353</v>
      </c>
      <c r="F72" s="58" t="s">
        <v>1353</v>
      </c>
      <c r="G72" s="58" t="s">
        <v>1353</v>
      </c>
      <c r="H72" s="58" t="s">
        <v>1352</v>
      </c>
    </row>
    <row r="73" spans="1:8" x14ac:dyDescent="0.2">
      <c r="A73" s="58" t="s">
        <v>1397</v>
      </c>
      <c r="B73" s="58">
        <v>26</v>
      </c>
      <c r="C73" s="58" t="s">
        <v>914</v>
      </c>
      <c r="D73" s="58" t="s">
        <v>1353</v>
      </c>
      <c r="E73" s="58" t="s">
        <v>1353</v>
      </c>
      <c r="F73" s="58" t="s">
        <v>1353</v>
      </c>
      <c r="G73" s="58" t="s">
        <v>1353</v>
      </c>
      <c r="H73" s="58" t="s">
        <v>1353</v>
      </c>
    </row>
    <row r="74" spans="1:8" x14ac:dyDescent="0.2">
      <c r="A74" s="58">
        <v>91107</v>
      </c>
      <c r="B74" s="58">
        <v>25</v>
      </c>
      <c r="C74" s="58" t="s">
        <v>1390</v>
      </c>
      <c r="D74" s="58" t="s">
        <v>1353</v>
      </c>
      <c r="E74" s="58" t="s">
        <v>202</v>
      </c>
      <c r="F74" s="58" t="s">
        <v>202</v>
      </c>
      <c r="G74" s="58" t="s">
        <v>202</v>
      </c>
      <c r="H74" s="58" t="s">
        <v>202</v>
      </c>
    </row>
    <row r="75" spans="1:8" x14ac:dyDescent="0.2">
      <c r="A75" s="58">
        <v>92337</v>
      </c>
      <c r="B75" s="58">
        <v>25</v>
      </c>
      <c r="C75" s="58" t="s">
        <v>1390</v>
      </c>
      <c r="D75" s="58" t="s">
        <v>1353</v>
      </c>
      <c r="E75" s="58" t="s">
        <v>1353</v>
      </c>
      <c r="F75" s="58" t="s">
        <v>1353</v>
      </c>
      <c r="G75" s="58" t="s">
        <v>1353</v>
      </c>
      <c r="H75" s="58" t="s">
        <v>1353</v>
      </c>
    </row>
    <row r="76" spans="1:8" x14ac:dyDescent="0.2">
      <c r="A76" s="58">
        <v>91106</v>
      </c>
      <c r="B76" s="58">
        <v>25</v>
      </c>
      <c r="C76" s="58" t="s">
        <v>1390</v>
      </c>
      <c r="D76" s="58" t="s">
        <v>1353</v>
      </c>
      <c r="E76" s="58" t="s">
        <v>202</v>
      </c>
      <c r="F76" s="58" t="s">
        <v>1353</v>
      </c>
      <c r="G76" s="58" t="s">
        <v>1353</v>
      </c>
      <c r="H76" s="58" t="s">
        <v>1353</v>
      </c>
    </row>
    <row r="77" spans="1:8" x14ac:dyDescent="0.2">
      <c r="A77" s="58" t="s">
        <v>1399</v>
      </c>
      <c r="B77" s="58">
        <v>25</v>
      </c>
      <c r="C77" s="58" t="s">
        <v>914</v>
      </c>
      <c r="D77" s="58" t="s">
        <v>1353</v>
      </c>
      <c r="E77" s="58" t="s">
        <v>1353</v>
      </c>
      <c r="F77" s="58" t="s">
        <v>1353</v>
      </c>
      <c r="G77" s="58" t="s">
        <v>1353</v>
      </c>
      <c r="H77" s="58" t="s">
        <v>1353</v>
      </c>
    </row>
    <row r="78" spans="1:8" x14ac:dyDescent="0.2">
      <c r="A78" s="58">
        <v>92886</v>
      </c>
      <c r="B78" s="58">
        <v>25</v>
      </c>
      <c r="C78" s="58" t="s">
        <v>914</v>
      </c>
      <c r="D78" s="58" t="s">
        <v>1353</v>
      </c>
      <c r="E78" s="58" t="s">
        <v>1353</v>
      </c>
      <c r="F78" s="58" t="s">
        <v>1353</v>
      </c>
      <c r="G78" s="58" t="s">
        <v>1353</v>
      </c>
      <c r="H78" s="58" t="s">
        <v>1353</v>
      </c>
    </row>
    <row r="79" spans="1:8" x14ac:dyDescent="0.2">
      <c r="A79" s="58">
        <v>92376</v>
      </c>
      <c r="B79" s="58">
        <v>25</v>
      </c>
      <c r="C79" s="58" t="s">
        <v>914</v>
      </c>
      <c r="D79" s="58" t="s">
        <v>1367</v>
      </c>
      <c r="E79" s="58" t="s">
        <v>1367</v>
      </c>
      <c r="F79" s="58" t="s">
        <v>1367</v>
      </c>
      <c r="G79" s="58" t="s">
        <v>1367</v>
      </c>
      <c r="H79" s="58" t="s">
        <v>1367</v>
      </c>
    </row>
    <row r="80" spans="1:8" x14ac:dyDescent="0.2">
      <c r="A80" s="58">
        <v>91101</v>
      </c>
      <c r="B80" s="58">
        <v>25</v>
      </c>
      <c r="C80" s="58" t="s">
        <v>914</v>
      </c>
      <c r="D80" s="58" t="s">
        <v>1353</v>
      </c>
      <c r="E80" s="58" t="s">
        <v>1353</v>
      </c>
      <c r="F80" s="58" t="s">
        <v>199</v>
      </c>
      <c r="G80" s="58" t="s">
        <v>199</v>
      </c>
      <c r="H80" s="58" t="s">
        <v>1353</v>
      </c>
    </row>
    <row r="81" spans="1:8" x14ac:dyDescent="0.2">
      <c r="A81" s="58" t="s">
        <v>1421</v>
      </c>
      <c r="B81" s="58">
        <v>25</v>
      </c>
      <c r="C81" s="58" t="s">
        <v>914</v>
      </c>
      <c r="D81" s="58" t="s">
        <v>1353</v>
      </c>
      <c r="E81" s="58" t="s">
        <v>1353</v>
      </c>
      <c r="F81" s="58" t="s">
        <v>1353</v>
      </c>
      <c r="G81" s="58" t="s">
        <v>1353</v>
      </c>
      <c r="H81" s="58" t="s">
        <v>1353</v>
      </c>
    </row>
    <row r="82" spans="1:8" x14ac:dyDescent="0.2">
      <c r="A82" s="58">
        <v>92404</v>
      </c>
      <c r="B82" s="58">
        <v>25</v>
      </c>
      <c r="C82" s="58" t="s">
        <v>914</v>
      </c>
      <c r="D82" s="58" t="s">
        <v>1353</v>
      </c>
      <c r="E82" s="58" t="s">
        <v>1353</v>
      </c>
      <c r="F82" s="58" t="s">
        <v>1353</v>
      </c>
      <c r="G82" s="58" t="s">
        <v>1353</v>
      </c>
      <c r="H82" s="58" t="s">
        <v>1353</v>
      </c>
    </row>
    <row r="83" spans="1:8" x14ac:dyDescent="0.2">
      <c r="A83" s="58">
        <v>92324</v>
      </c>
      <c r="B83" s="58">
        <v>25</v>
      </c>
      <c r="C83" s="58" t="s">
        <v>914</v>
      </c>
      <c r="D83" s="58" t="s">
        <v>1353</v>
      </c>
      <c r="E83" s="58" t="s">
        <v>1353</v>
      </c>
      <c r="F83" s="58" t="s">
        <v>202</v>
      </c>
      <c r="G83" s="58" t="s">
        <v>202</v>
      </c>
      <c r="H83" s="58" t="s">
        <v>1353</v>
      </c>
    </row>
    <row r="84" spans="1:8" x14ac:dyDescent="0.2">
      <c r="A84" s="58">
        <v>91761</v>
      </c>
      <c r="B84" s="58">
        <v>25</v>
      </c>
      <c r="C84" s="58" t="s">
        <v>914</v>
      </c>
      <c r="D84" s="58" t="s">
        <v>1353</v>
      </c>
      <c r="E84" s="58" t="s">
        <v>1353</v>
      </c>
      <c r="F84" s="58" t="s">
        <v>1353</v>
      </c>
      <c r="G84" s="58" t="s">
        <v>1353</v>
      </c>
      <c r="H84" s="58" t="s">
        <v>1353</v>
      </c>
    </row>
    <row r="85" spans="1:8" x14ac:dyDescent="0.2">
      <c r="A85" s="58">
        <v>92509</v>
      </c>
      <c r="B85" s="58">
        <v>25</v>
      </c>
      <c r="C85" s="58" t="s">
        <v>914</v>
      </c>
      <c r="D85" s="58" t="s">
        <v>1352</v>
      </c>
      <c r="E85" s="58" t="s">
        <v>1352</v>
      </c>
      <c r="F85" s="58" t="s">
        <v>1352</v>
      </c>
      <c r="G85" s="58" t="s">
        <v>1352</v>
      </c>
      <c r="H85" s="58" t="s">
        <v>1352</v>
      </c>
    </row>
    <row r="86" spans="1:8" x14ac:dyDescent="0.2">
      <c r="A86" s="58">
        <v>91101</v>
      </c>
      <c r="B86" s="58">
        <v>25</v>
      </c>
      <c r="C86" s="58" t="s">
        <v>914</v>
      </c>
      <c r="D86" s="58" t="s">
        <v>1353</v>
      </c>
      <c r="E86" s="58" t="s">
        <v>1353</v>
      </c>
      <c r="F86" s="58" t="s">
        <v>1353</v>
      </c>
      <c r="G86" s="58" t="s">
        <v>1353</v>
      </c>
      <c r="H86" s="58" t="s">
        <v>1353</v>
      </c>
    </row>
    <row r="87" spans="1:8" x14ac:dyDescent="0.2">
      <c r="A87" s="58">
        <v>92324</v>
      </c>
      <c r="B87" s="58">
        <v>24</v>
      </c>
      <c r="C87" s="58" t="s">
        <v>914</v>
      </c>
      <c r="D87" s="58" t="s">
        <v>1353</v>
      </c>
      <c r="E87" s="58" t="s">
        <v>1353</v>
      </c>
      <c r="F87" s="58" t="s">
        <v>1353</v>
      </c>
      <c r="G87" s="58" t="s">
        <v>1353</v>
      </c>
      <c r="H87" s="58" t="s">
        <v>1353</v>
      </c>
    </row>
    <row r="88" spans="1:8" x14ac:dyDescent="0.2">
      <c r="A88" s="58">
        <v>92376</v>
      </c>
      <c r="B88" s="58">
        <v>24</v>
      </c>
      <c r="C88" s="58" t="s">
        <v>914</v>
      </c>
      <c r="D88" s="58" t="s">
        <v>1353</v>
      </c>
      <c r="E88" s="58" t="s">
        <v>1353</v>
      </c>
      <c r="F88" s="58" t="s">
        <v>1353</v>
      </c>
      <c r="G88" s="58" t="s">
        <v>1353</v>
      </c>
      <c r="H88" s="58" t="s">
        <v>1353</v>
      </c>
    </row>
    <row r="89" spans="1:8" x14ac:dyDescent="0.2">
      <c r="A89" s="58">
        <v>91024</v>
      </c>
      <c r="B89" s="58">
        <v>23.6</v>
      </c>
      <c r="C89" s="58" t="s">
        <v>914</v>
      </c>
      <c r="D89" s="58" t="s">
        <v>1352</v>
      </c>
      <c r="E89" s="58" t="s">
        <v>1352</v>
      </c>
      <c r="F89" s="58" t="s">
        <v>1352</v>
      </c>
      <c r="G89" s="58" t="s">
        <v>1352</v>
      </c>
      <c r="H89" s="58" t="s">
        <v>1352</v>
      </c>
    </row>
    <row r="90" spans="1:8" x14ac:dyDescent="0.2">
      <c r="A90" s="58">
        <v>91104</v>
      </c>
      <c r="B90" s="58">
        <v>23</v>
      </c>
      <c r="C90" s="58" t="s">
        <v>914</v>
      </c>
      <c r="D90" s="58" t="s">
        <v>202</v>
      </c>
      <c r="E90" s="58" t="s">
        <v>1353</v>
      </c>
      <c r="F90" s="58" t="s">
        <v>1353</v>
      </c>
      <c r="G90" s="58" t="s">
        <v>202</v>
      </c>
      <c r="H90" s="58" t="s">
        <v>1353</v>
      </c>
    </row>
    <row r="91" spans="1:8" x14ac:dyDescent="0.2">
      <c r="A91" s="58">
        <v>92377</v>
      </c>
      <c r="B91" s="58">
        <v>23</v>
      </c>
      <c r="C91" s="58" t="s">
        <v>914</v>
      </c>
      <c r="D91" s="58" t="s">
        <v>1355</v>
      </c>
      <c r="E91" s="58" t="s">
        <v>1355</v>
      </c>
      <c r="F91" s="58" t="s">
        <v>1355</v>
      </c>
      <c r="G91" s="58" t="s">
        <v>1355</v>
      </c>
      <c r="H91" s="58" t="s">
        <v>1355</v>
      </c>
    </row>
    <row r="92" spans="1:8" x14ac:dyDescent="0.2">
      <c r="A92" s="58">
        <v>92509</v>
      </c>
      <c r="B92" s="58">
        <v>23</v>
      </c>
      <c r="C92" s="58" t="s">
        <v>914</v>
      </c>
      <c r="D92" s="58" t="s">
        <v>1353</v>
      </c>
      <c r="E92" s="58" t="s">
        <v>1353</v>
      </c>
      <c r="F92" s="58" t="s">
        <v>1353</v>
      </c>
      <c r="G92" s="58" t="s">
        <v>202</v>
      </c>
      <c r="H92" s="58" t="s">
        <v>202</v>
      </c>
    </row>
    <row r="93" spans="1:8" x14ac:dyDescent="0.2">
      <c r="A93" s="58">
        <v>92376</v>
      </c>
      <c r="B93" s="58">
        <v>23</v>
      </c>
      <c r="C93" s="58" t="s">
        <v>914</v>
      </c>
      <c r="D93" s="58" t="s">
        <v>1367</v>
      </c>
      <c r="E93" s="58" t="s">
        <v>1367</v>
      </c>
      <c r="F93" s="58" t="s">
        <v>1367</v>
      </c>
      <c r="G93" s="58" t="s">
        <v>1367</v>
      </c>
      <c r="H93" s="58" t="s">
        <v>1367</v>
      </c>
    </row>
    <row r="94" spans="1:8" x14ac:dyDescent="0.2">
      <c r="A94" s="58">
        <v>92501</v>
      </c>
      <c r="B94" s="58">
        <v>23</v>
      </c>
      <c r="C94" s="58" t="s">
        <v>914</v>
      </c>
      <c r="D94" s="58" t="s">
        <v>1353</v>
      </c>
      <c r="E94" s="58" t="s">
        <v>1353</v>
      </c>
      <c r="F94" s="58" t="s">
        <v>1353</v>
      </c>
      <c r="G94" s="58" t="s">
        <v>1353</v>
      </c>
      <c r="H94" s="58" t="s">
        <v>202</v>
      </c>
    </row>
    <row r="95" spans="1:8" x14ac:dyDescent="0.2">
      <c r="A95" s="58">
        <v>92870</v>
      </c>
      <c r="B95" s="58">
        <v>23</v>
      </c>
      <c r="C95" s="58" t="s">
        <v>914</v>
      </c>
      <c r="D95" s="58" t="s">
        <v>1353</v>
      </c>
      <c r="E95" s="58" t="s">
        <v>1353</v>
      </c>
      <c r="F95" s="58" t="s">
        <v>1353</v>
      </c>
      <c r="G95" s="58" t="s">
        <v>1353</v>
      </c>
      <c r="H95" s="58" t="s">
        <v>1353</v>
      </c>
    </row>
    <row r="96" spans="1:8" x14ac:dyDescent="0.2">
      <c r="A96" s="58">
        <v>91007</v>
      </c>
      <c r="B96" s="58">
        <v>22</v>
      </c>
      <c r="C96" s="58" t="s">
        <v>914</v>
      </c>
      <c r="D96" s="58" t="s">
        <v>1353</v>
      </c>
      <c r="E96" s="58" t="s">
        <v>202</v>
      </c>
      <c r="F96" s="58" t="s">
        <v>202</v>
      </c>
      <c r="G96" s="58" t="s">
        <v>1353</v>
      </c>
      <c r="H96" s="58" t="s">
        <v>1353</v>
      </c>
    </row>
    <row r="97" spans="1:8" x14ac:dyDescent="0.2">
      <c r="A97" s="58">
        <v>92335</v>
      </c>
      <c r="B97" s="58">
        <v>22</v>
      </c>
      <c r="C97" s="58" t="s">
        <v>914</v>
      </c>
      <c r="D97" s="58" t="s">
        <v>1353</v>
      </c>
      <c r="E97" s="58" t="s">
        <v>1353</v>
      </c>
      <c r="F97" s="58" t="s">
        <v>1353</v>
      </c>
      <c r="G97" s="58" t="s">
        <v>1353</v>
      </c>
      <c r="H97" s="58" t="s">
        <v>1353</v>
      </c>
    </row>
    <row r="98" spans="1:8" x14ac:dyDescent="0.2">
      <c r="A98" s="58">
        <v>92407</v>
      </c>
      <c r="B98" s="58">
        <v>22</v>
      </c>
      <c r="C98" s="58" t="s">
        <v>914</v>
      </c>
      <c r="D98" s="58" t="s">
        <v>1352</v>
      </c>
      <c r="E98" s="58" t="s">
        <v>1353</v>
      </c>
      <c r="F98" s="58" t="s">
        <v>1352</v>
      </c>
      <c r="G98" s="58" t="s">
        <v>1352</v>
      </c>
      <c r="H98" s="58" t="s">
        <v>1353</v>
      </c>
    </row>
    <row r="99" spans="1:8" x14ac:dyDescent="0.2">
      <c r="A99" s="58">
        <v>92377</v>
      </c>
      <c r="B99" s="58">
        <v>22</v>
      </c>
      <c r="C99" s="58" t="s">
        <v>914</v>
      </c>
      <c r="D99" s="58" t="s">
        <v>1367</v>
      </c>
      <c r="E99" s="58" t="s">
        <v>1367</v>
      </c>
      <c r="F99" s="58" t="s">
        <v>1367</v>
      </c>
      <c r="G99" s="58" t="s">
        <v>1367</v>
      </c>
      <c r="H99" s="58" t="s">
        <v>1367</v>
      </c>
    </row>
    <row r="100" spans="1:8" x14ac:dyDescent="0.2">
      <c r="A100" s="58">
        <v>92831</v>
      </c>
      <c r="B100" s="58">
        <v>22</v>
      </c>
      <c r="C100" s="58" t="s">
        <v>914</v>
      </c>
      <c r="D100" s="58" t="s">
        <v>1353</v>
      </c>
      <c r="E100" s="58" t="s">
        <v>1353</v>
      </c>
      <c r="F100" s="58" t="s">
        <v>1353</v>
      </c>
      <c r="G100" s="58" t="s">
        <v>1353</v>
      </c>
      <c r="H100" s="58" t="s">
        <v>1353</v>
      </c>
    </row>
    <row r="101" spans="1:8" x14ac:dyDescent="0.2">
      <c r="A101" s="58" t="s">
        <v>1439</v>
      </c>
      <c r="B101" s="58">
        <v>22</v>
      </c>
      <c r="C101" s="58" t="s">
        <v>914</v>
      </c>
      <c r="D101" s="58" t="s">
        <v>1353</v>
      </c>
      <c r="E101" s="58" t="s">
        <v>199</v>
      </c>
      <c r="F101" s="58" t="s">
        <v>199</v>
      </c>
      <c r="G101" s="58" t="s">
        <v>1353</v>
      </c>
      <c r="H101" s="58" t="s">
        <v>1353</v>
      </c>
    </row>
    <row r="102" spans="1:8" x14ac:dyDescent="0.2">
      <c r="A102" s="58">
        <v>92880</v>
      </c>
      <c r="B102" s="58">
        <v>21</v>
      </c>
      <c r="C102" s="58" t="s">
        <v>914</v>
      </c>
      <c r="D102" s="58" t="s">
        <v>1353</v>
      </c>
      <c r="E102" s="58" t="s">
        <v>1353</v>
      </c>
      <c r="F102" s="58" t="s">
        <v>1353</v>
      </c>
      <c r="G102" s="58" t="s">
        <v>1353</v>
      </c>
      <c r="H102" s="58" t="s">
        <v>1353</v>
      </c>
    </row>
    <row r="103" spans="1:8" x14ac:dyDescent="0.2">
      <c r="A103" s="58">
        <v>92835</v>
      </c>
      <c r="B103" s="58">
        <v>21</v>
      </c>
      <c r="C103" s="58" t="s">
        <v>914</v>
      </c>
      <c r="D103" s="58" t="s">
        <v>191</v>
      </c>
      <c r="E103" s="58" t="s">
        <v>191</v>
      </c>
      <c r="F103" s="58" t="s">
        <v>191</v>
      </c>
      <c r="G103" s="58" t="s">
        <v>191</v>
      </c>
      <c r="H103" s="58" t="s">
        <v>191</v>
      </c>
    </row>
    <row r="104" spans="1:8" x14ac:dyDescent="0.2">
      <c r="A104" s="58">
        <v>92407</v>
      </c>
      <c r="B104" s="58">
        <v>20</v>
      </c>
      <c r="C104" s="58" t="s">
        <v>1390</v>
      </c>
      <c r="D104" s="58" t="s">
        <v>202</v>
      </c>
      <c r="E104" s="58" t="s">
        <v>202</v>
      </c>
      <c r="F104" s="58" t="s">
        <v>202</v>
      </c>
      <c r="G104" s="58" t="s">
        <v>202</v>
      </c>
      <c r="H104" s="58" t="s">
        <v>202</v>
      </c>
    </row>
    <row r="105" spans="1:8" x14ac:dyDescent="0.2">
      <c r="A105" s="58">
        <v>92376</v>
      </c>
      <c r="B105" s="58">
        <v>20</v>
      </c>
      <c r="C105" s="58" t="s">
        <v>914</v>
      </c>
      <c r="D105" s="58" t="s">
        <v>1367</v>
      </c>
      <c r="E105" s="58" t="s">
        <v>1367</v>
      </c>
      <c r="F105" s="58" t="s">
        <v>1367</v>
      </c>
      <c r="G105" s="58" t="s">
        <v>191</v>
      </c>
      <c r="H105" s="58" t="s">
        <v>191</v>
      </c>
    </row>
    <row r="106" spans="1:8" x14ac:dyDescent="0.2">
      <c r="A106" s="58">
        <v>92316</v>
      </c>
      <c r="B106" s="58">
        <v>20</v>
      </c>
      <c r="C106" s="58" t="s">
        <v>914</v>
      </c>
      <c r="D106" s="58" t="s">
        <v>1352</v>
      </c>
      <c r="E106" s="58" t="s">
        <v>1352</v>
      </c>
      <c r="F106" s="58" t="s">
        <v>1352</v>
      </c>
      <c r="G106" s="58" t="s">
        <v>1352</v>
      </c>
      <c r="H106" s="58" t="s">
        <v>1352</v>
      </c>
    </row>
    <row r="107" spans="1:8" x14ac:dyDescent="0.2">
      <c r="A107" s="58">
        <v>92335</v>
      </c>
      <c r="B107" s="58">
        <v>20</v>
      </c>
      <c r="C107" s="58" t="s">
        <v>914</v>
      </c>
      <c r="D107" s="58" t="s">
        <v>1352</v>
      </c>
      <c r="E107" s="58" t="s">
        <v>1352</v>
      </c>
      <c r="F107" s="58" t="s">
        <v>1352</v>
      </c>
      <c r="G107" s="58" t="s">
        <v>1352</v>
      </c>
      <c r="H107" s="58" t="s">
        <v>1352</v>
      </c>
    </row>
    <row r="108" spans="1:8" x14ac:dyDescent="0.2">
      <c r="A108" s="58">
        <v>92405</v>
      </c>
      <c r="B108" s="58">
        <v>20</v>
      </c>
      <c r="C108" s="58" t="s">
        <v>914</v>
      </c>
      <c r="D108" s="58" t="s">
        <v>1353</v>
      </c>
      <c r="E108" s="58" t="s">
        <v>1353</v>
      </c>
      <c r="F108" s="58" t="s">
        <v>1353</v>
      </c>
      <c r="G108" s="58" t="s">
        <v>1353</v>
      </c>
      <c r="H108" s="58" t="s">
        <v>1353</v>
      </c>
    </row>
    <row r="109" spans="1:8" x14ac:dyDescent="0.2">
      <c r="A109" s="58">
        <v>91761</v>
      </c>
      <c r="B109" s="58">
        <v>20</v>
      </c>
      <c r="C109" s="58" t="s">
        <v>914</v>
      </c>
      <c r="D109" s="58" t="s">
        <v>1353</v>
      </c>
      <c r="E109" s="58" t="s">
        <v>1353</v>
      </c>
      <c r="F109" s="58" t="s">
        <v>1353</v>
      </c>
      <c r="G109" s="58" t="s">
        <v>1353</v>
      </c>
      <c r="H109" s="58" t="s">
        <v>1353</v>
      </c>
    </row>
    <row r="110" spans="1:8" x14ac:dyDescent="0.2">
      <c r="A110" s="58">
        <v>91104</v>
      </c>
      <c r="B110" s="58">
        <v>20</v>
      </c>
      <c r="C110" s="58" t="s">
        <v>914</v>
      </c>
      <c r="D110" s="58" t="s">
        <v>1353</v>
      </c>
      <c r="E110" s="58" t="s">
        <v>1353</v>
      </c>
      <c r="F110" s="58" t="s">
        <v>1353</v>
      </c>
      <c r="G110" s="58" t="s">
        <v>1353</v>
      </c>
      <c r="H110" s="58" t="s">
        <v>1353</v>
      </c>
    </row>
    <row r="111" spans="1:8" x14ac:dyDescent="0.2">
      <c r="A111" s="58">
        <v>92835</v>
      </c>
      <c r="B111" s="58">
        <v>20</v>
      </c>
      <c r="C111" s="58" t="s">
        <v>914</v>
      </c>
      <c r="D111" s="58" t="s">
        <v>1353</v>
      </c>
      <c r="E111" s="58" t="s">
        <v>1353</v>
      </c>
      <c r="F111" s="58" t="s">
        <v>1353</v>
      </c>
      <c r="G111" s="58" t="s">
        <v>1353</v>
      </c>
      <c r="H111" s="58" t="s">
        <v>1353</v>
      </c>
    </row>
    <row r="112" spans="1:8" x14ac:dyDescent="0.2">
      <c r="A112" s="58">
        <v>92336</v>
      </c>
      <c r="B112" s="58">
        <v>20</v>
      </c>
      <c r="C112" s="58" t="s">
        <v>914</v>
      </c>
      <c r="D112" s="58" t="s">
        <v>1353</v>
      </c>
      <c r="E112" s="58" t="s">
        <v>1353</v>
      </c>
      <c r="F112" s="58" t="s">
        <v>1353</v>
      </c>
      <c r="G112" s="58" t="s">
        <v>1353</v>
      </c>
      <c r="H112" s="58" t="s">
        <v>1353</v>
      </c>
    </row>
    <row r="113" spans="1:8" x14ac:dyDescent="0.2">
      <c r="A113" s="58">
        <v>91761</v>
      </c>
      <c r="B113" s="58">
        <v>20</v>
      </c>
      <c r="C113" s="58" t="s">
        <v>914</v>
      </c>
      <c r="D113" s="58" t="s">
        <v>1353</v>
      </c>
      <c r="E113" s="58" t="s">
        <v>1353</v>
      </c>
      <c r="F113" s="58" t="s">
        <v>1353</v>
      </c>
      <c r="G113" s="58" t="s">
        <v>1353</v>
      </c>
      <c r="H113" s="58" t="s">
        <v>1353</v>
      </c>
    </row>
    <row r="114" spans="1:8" x14ac:dyDescent="0.2">
      <c r="A114" s="58">
        <v>92509</v>
      </c>
      <c r="B114" s="58">
        <v>20</v>
      </c>
      <c r="C114" s="58" t="s">
        <v>914</v>
      </c>
      <c r="D114" s="58" t="s">
        <v>1353</v>
      </c>
      <c r="E114" s="58" t="s">
        <v>1353</v>
      </c>
      <c r="F114" s="58" t="s">
        <v>1353</v>
      </c>
      <c r="G114" s="58" t="s">
        <v>1353</v>
      </c>
      <c r="H114" s="58" t="s">
        <v>1353</v>
      </c>
    </row>
    <row r="115" spans="1:8" x14ac:dyDescent="0.2">
      <c r="A115" s="58">
        <v>92377</v>
      </c>
      <c r="B115" s="58">
        <v>20</v>
      </c>
      <c r="C115" s="58" t="s">
        <v>914</v>
      </c>
      <c r="D115" s="58" t="s">
        <v>1353</v>
      </c>
      <c r="E115" s="58" t="s">
        <v>1353</v>
      </c>
      <c r="F115" s="58" t="s">
        <v>1353</v>
      </c>
      <c r="G115" s="58" t="s">
        <v>1353</v>
      </c>
      <c r="H115" s="58" t="s">
        <v>202</v>
      </c>
    </row>
    <row r="116" spans="1:8" x14ac:dyDescent="0.2">
      <c r="A116" s="58">
        <v>91709</v>
      </c>
      <c r="B116" s="58">
        <v>20</v>
      </c>
      <c r="C116" s="58" t="s">
        <v>914</v>
      </c>
      <c r="D116" s="58" t="s">
        <v>1353</v>
      </c>
      <c r="E116" s="58" t="s">
        <v>202</v>
      </c>
      <c r="F116" s="58" t="s">
        <v>202</v>
      </c>
      <c r="G116" s="58" t="s">
        <v>1353</v>
      </c>
      <c r="H116" s="58" t="s">
        <v>1353</v>
      </c>
    </row>
    <row r="117" spans="1:8" x14ac:dyDescent="0.2">
      <c r="A117" s="58">
        <v>92336</v>
      </c>
      <c r="B117" s="58">
        <v>20</v>
      </c>
      <c r="C117" s="58" t="s">
        <v>914</v>
      </c>
      <c r="D117" s="58" t="s">
        <v>195</v>
      </c>
      <c r="E117" s="58" t="s">
        <v>1353</v>
      </c>
      <c r="F117" s="58" t="s">
        <v>1353</v>
      </c>
      <c r="G117" s="58" t="s">
        <v>1353</v>
      </c>
      <c r="H117" s="58" t="s">
        <v>1353</v>
      </c>
    </row>
    <row r="118" spans="1:8" x14ac:dyDescent="0.2">
      <c r="A118" s="58">
        <v>92336</v>
      </c>
      <c r="B118" s="58">
        <v>20</v>
      </c>
      <c r="C118" s="58" t="s">
        <v>914</v>
      </c>
      <c r="D118" s="58" t="s">
        <v>1353</v>
      </c>
      <c r="E118" s="58" t="s">
        <v>1353</v>
      </c>
      <c r="F118" s="58" t="s">
        <v>1353</v>
      </c>
      <c r="G118" s="58" t="s">
        <v>1353</v>
      </c>
      <c r="H118" s="58" t="s">
        <v>1353</v>
      </c>
    </row>
    <row r="119" spans="1:8" x14ac:dyDescent="0.2">
      <c r="A119" s="58">
        <v>92407</v>
      </c>
      <c r="B119" s="58">
        <v>20</v>
      </c>
      <c r="C119" s="58" t="s">
        <v>914</v>
      </c>
      <c r="D119" s="58" t="s">
        <v>1353</v>
      </c>
      <c r="E119" s="58" t="s">
        <v>1353</v>
      </c>
      <c r="F119" s="58" t="s">
        <v>1352</v>
      </c>
      <c r="G119" s="58" t="s">
        <v>1352</v>
      </c>
      <c r="H119" s="58" t="s">
        <v>1353</v>
      </c>
    </row>
    <row r="120" spans="1:8" x14ac:dyDescent="0.2">
      <c r="A120" s="58">
        <v>91706</v>
      </c>
      <c r="B120" s="58">
        <v>20</v>
      </c>
      <c r="C120" s="58" t="s">
        <v>914</v>
      </c>
      <c r="D120" s="58" t="s">
        <v>1353</v>
      </c>
      <c r="E120" s="58" t="s">
        <v>1353</v>
      </c>
      <c r="F120" s="58" t="s">
        <v>1353</v>
      </c>
      <c r="G120" s="58" t="s">
        <v>1353</v>
      </c>
      <c r="H120" s="58" t="s">
        <v>1353</v>
      </c>
    </row>
    <row r="121" spans="1:8" x14ac:dyDescent="0.2">
      <c r="A121" s="58">
        <v>91730</v>
      </c>
      <c r="B121" s="58">
        <v>19</v>
      </c>
      <c r="C121" s="58" t="s">
        <v>1390</v>
      </c>
      <c r="D121" s="58" t="s">
        <v>1353</v>
      </c>
      <c r="E121" s="58" t="s">
        <v>1353</v>
      </c>
      <c r="F121" s="58" t="s">
        <v>1353</v>
      </c>
      <c r="G121" s="58" t="s">
        <v>1353</v>
      </c>
      <c r="H121" s="58" t="s">
        <v>1353</v>
      </c>
    </row>
    <row r="122" spans="1:8" x14ac:dyDescent="0.2">
      <c r="A122" s="58">
        <v>92337</v>
      </c>
      <c r="B122" s="58">
        <v>19</v>
      </c>
      <c r="C122" s="58" t="s">
        <v>914</v>
      </c>
      <c r="D122" s="58" t="s">
        <v>1352</v>
      </c>
      <c r="E122" s="58" t="s">
        <v>1352</v>
      </c>
      <c r="F122" s="58" t="s">
        <v>1352</v>
      </c>
      <c r="G122" s="58" t="s">
        <v>1352</v>
      </c>
      <c r="H122" s="58" t="s">
        <v>1352</v>
      </c>
    </row>
    <row r="123" spans="1:8" x14ac:dyDescent="0.2">
      <c r="A123" s="58">
        <v>91748</v>
      </c>
      <c r="B123" s="58">
        <v>19</v>
      </c>
      <c r="C123" s="58" t="s">
        <v>914</v>
      </c>
      <c r="D123" s="58" t="s">
        <v>1353</v>
      </c>
      <c r="E123" s="58" t="s">
        <v>202</v>
      </c>
      <c r="F123" s="58" t="s">
        <v>202</v>
      </c>
      <c r="G123" s="58" t="s">
        <v>1353</v>
      </c>
      <c r="H123" s="58" t="s">
        <v>1353</v>
      </c>
    </row>
    <row r="124" spans="1:8" x14ac:dyDescent="0.2">
      <c r="A124" s="58">
        <v>91739</v>
      </c>
      <c r="B124" s="58">
        <v>19</v>
      </c>
      <c r="C124" s="58" t="s">
        <v>914</v>
      </c>
      <c r="D124" s="58" t="s">
        <v>195</v>
      </c>
      <c r="E124" s="58" t="s">
        <v>195</v>
      </c>
      <c r="F124" s="58" t="s">
        <v>1352</v>
      </c>
      <c r="G124" s="58" t="s">
        <v>1352</v>
      </c>
      <c r="H124" s="58" t="s">
        <v>191</v>
      </c>
    </row>
    <row r="125" spans="1:8" x14ac:dyDescent="0.2">
      <c r="A125" s="58">
        <v>92337</v>
      </c>
      <c r="B125" s="58">
        <v>19</v>
      </c>
      <c r="C125" s="58" t="s">
        <v>914</v>
      </c>
      <c r="D125" s="58" t="s">
        <v>1353</v>
      </c>
      <c r="E125" s="58" t="s">
        <v>1353</v>
      </c>
      <c r="F125" s="58" t="s">
        <v>1353</v>
      </c>
      <c r="G125" s="58" t="s">
        <v>1353</v>
      </c>
      <c r="H125" s="58" t="s">
        <v>1353</v>
      </c>
    </row>
    <row r="126" spans="1:8" x14ac:dyDescent="0.2">
      <c r="A126" s="58" t="s">
        <v>1440</v>
      </c>
      <c r="B126" s="58">
        <v>18.5</v>
      </c>
      <c r="C126" s="58" t="s">
        <v>914</v>
      </c>
      <c r="D126" s="58" t="s">
        <v>1353</v>
      </c>
      <c r="E126" s="58" t="s">
        <v>1353</v>
      </c>
      <c r="F126" s="58" t="s">
        <v>1353</v>
      </c>
      <c r="G126" s="58" t="s">
        <v>1353</v>
      </c>
      <c r="H126" s="58" t="s">
        <v>1353</v>
      </c>
    </row>
    <row r="127" spans="1:8" x14ac:dyDescent="0.2">
      <c r="A127" s="58">
        <v>92335</v>
      </c>
      <c r="B127" s="58">
        <v>18.3</v>
      </c>
      <c r="C127" s="58" t="s">
        <v>914</v>
      </c>
      <c r="D127" s="58" t="s">
        <v>1353</v>
      </c>
      <c r="E127" s="58" t="s">
        <v>1353</v>
      </c>
      <c r="F127" s="58" t="s">
        <v>1353</v>
      </c>
      <c r="G127" s="58" t="s">
        <v>1353</v>
      </c>
      <c r="H127" s="58" t="s">
        <v>1353</v>
      </c>
    </row>
    <row r="128" spans="1:8" x14ac:dyDescent="0.2">
      <c r="A128" s="58">
        <v>92337</v>
      </c>
      <c r="B128" s="58">
        <v>18</v>
      </c>
      <c r="C128" s="58" t="s">
        <v>914</v>
      </c>
      <c r="D128" s="58" t="s">
        <v>1353</v>
      </c>
      <c r="E128" s="58" t="s">
        <v>1353</v>
      </c>
      <c r="F128" s="58" t="s">
        <v>1353</v>
      </c>
      <c r="G128" s="58" t="s">
        <v>202</v>
      </c>
      <c r="H128" s="58" t="s">
        <v>202</v>
      </c>
    </row>
    <row r="129" spans="1:8" x14ac:dyDescent="0.2">
      <c r="A129" s="58">
        <v>92336</v>
      </c>
      <c r="B129" s="58">
        <v>18</v>
      </c>
      <c r="C129" s="58" t="s">
        <v>914</v>
      </c>
      <c r="D129" s="58" t="s">
        <v>1353</v>
      </c>
      <c r="E129" s="58" t="s">
        <v>1353</v>
      </c>
      <c r="F129" s="58" t="s">
        <v>1353</v>
      </c>
      <c r="G129" s="58" t="s">
        <v>1353</v>
      </c>
      <c r="H129" s="58" t="s">
        <v>1353</v>
      </c>
    </row>
    <row r="130" spans="1:8" x14ac:dyDescent="0.2">
      <c r="A130" s="58">
        <v>92335</v>
      </c>
      <c r="B130" s="58">
        <v>18</v>
      </c>
      <c r="C130" s="58" t="s">
        <v>914</v>
      </c>
      <c r="D130" s="58" t="s">
        <v>1353</v>
      </c>
      <c r="E130" s="58" t="s">
        <v>1353</v>
      </c>
      <c r="F130" s="58" t="s">
        <v>1353</v>
      </c>
      <c r="G130" s="58" t="s">
        <v>1353</v>
      </c>
      <c r="H130" s="58" t="s">
        <v>1353</v>
      </c>
    </row>
    <row r="131" spans="1:8" x14ac:dyDescent="0.2">
      <c r="A131" s="58">
        <v>92337</v>
      </c>
      <c r="B131" s="58">
        <v>18</v>
      </c>
      <c r="C131" s="58" t="s">
        <v>914</v>
      </c>
      <c r="D131" s="58" t="s">
        <v>1367</v>
      </c>
      <c r="E131" s="58" t="s">
        <v>1367</v>
      </c>
      <c r="F131" s="58" t="s">
        <v>1367</v>
      </c>
      <c r="G131" s="58" t="s">
        <v>1367</v>
      </c>
      <c r="H131" s="58" t="s">
        <v>1367</v>
      </c>
    </row>
    <row r="132" spans="1:8" x14ac:dyDescent="0.2">
      <c r="A132" s="58">
        <v>92316</v>
      </c>
      <c r="B132" s="58">
        <v>18</v>
      </c>
      <c r="C132" s="58" t="s">
        <v>914</v>
      </c>
      <c r="D132" s="58" t="s">
        <v>1353</v>
      </c>
      <c r="E132" s="58" t="s">
        <v>1353</v>
      </c>
      <c r="F132" s="58" t="s">
        <v>1353</v>
      </c>
      <c r="G132" s="58" t="s">
        <v>1353</v>
      </c>
      <c r="H132" s="58" t="s">
        <v>1353</v>
      </c>
    </row>
    <row r="133" spans="1:8" x14ac:dyDescent="0.2">
      <c r="A133" s="58">
        <v>91752</v>
      </c>
      <c r="B133" s="58">
        <v>18</v>
      </c>
      <c r="C133" s="58" t="s">
        <v>914</v>
      </c>
      <c r="D133" s="58" t="s">
        <v>1353</v>
      </c>
      <c r="E133" s="58" t="s">
        <v>1353</v>
      </c>
      <c r="F133" s="58" t="s">
        <v>1353</v>
      </c>
      <c r="G133" s="58" t="s">
        <v>1353</v>
      </c>
      <c r="H133" s="58" t="s">
        <v>1353</v>
      </c>
    </row>
    <row r="134" spans="1:8" x14ac:dyDescent="0.2">
      <c r="A134" s="58">
        <v>92336</v>
      </c>
      <c r="B134" s="58">
        <v>18</v>
      </c>
      <c r="C134" s="58" t="s">
        <v>914</v>
      </c>
      <c r="D134" s="58" t="s">
        <v>1353</v>
      </c>
      <c r="E134" s="58" t="s">
        <v>1353</v>
      </c>
      <c r="F134" s="58" t="s">
        <v>1353</v>
      </c>
      <c r="G134" s="58" t="s">
        <v>1353</v>
      </c>
      <c r="H134" s="58" t="s">
        <v>1353</v>
      </c>
    </row>
    <row r="135" spans="1:8" x14ac:dyDescent="0.2">
      <c r="A135" s="58">
        <v>92336</v>
      </c>
      <c r="B135" s="58">
        <v>17</v>
      </c>
      <c r="C135" s="58" t="s">
        <v>914</v>
      </c>
      <c r="D135" s="58" t="s">
        <v>1352</v>
      </c>
      <c r="E135" s="58" t="s">
        <v>1352</v>
      </c>
      <c r="F135" s="58" t="s">
        <v>1352</v>
      </c>
      <c r="G135" s="58" t="s">
        <v>195</v>
      </c>
      <c r="H135" s="58" t="s">
        <v>1352</v>
      </c>
    </row>
    <row r="136" spans="1:8" x14ac:dyDescent="0.2">
      <c r="A136" s="58">
        <v>92336</v>
      </c>
      <c r="B136" s="58">
        <v>17</v>
      </c>
      <c r="C136" s="58" t="s">
        <v>914</v>
      </c>
      <c r="D136" s="58" t="s">
        <v>1353</v>
      </c>
      <c r="E136" s="58" t="s">
        <v>1353</v>
      </c>
      <c r="F136" s="58" t="s">
        <v>1353</v>
      </c>
      <c r="G136" s="58" t="s">
        <v>1353</v>
      </c>
      <c r="H136" s="58" t="s">
        <v>1353</v>
      </c>
    </row>
    <row r="137" spans="1:8" x14ac:dyDescent="0.2">
      <c r="A137" s="58">
        <v>92335</v>
      </c>
      <c r="B137" s="58">
        <v>17</v>
      </c>
      <c r="C137" s="58" t="s">
        <v>914</v>
      </c>
      <c r="D137" s="58" t="s">
        <v>1353</v>
      </c>
      <c r="E137" s="58" t="s">
        <v>1353</v>
      </c>
      <c r="F137" s="58" t="s">
        <v>1353</v>
      </c>
      <c r="G137" s="58" t="s">
        <v>1353</v>
      </c>
      <c r="H137" s="58" t="s">
        <v>1353</v>
      </c>
    </row>
    <row r="138" spans="1:8" x14ac:dyDescent="0.2">
      <c r="A138" s="58">
        <v>91790</v>
      </c>
      <c r="B138" s="58">
        <v>17</v>
      </c>
      <c r="C138" s="58" t="s">
        <v>914</v>
      </c>
      <c r="D138" s="58" t="s">
        <v>1353</v>
      </c>
      <c r="E138" s="58" t="s">
        <v>1353</v>
      </c>
      <c r="F138" s="58" t="s">
        <v>1353</v>
      </c>
      <c r="G138" s="58" t="s">
        <v>1353</v>
      </c>
      <c r="H138" s="58" t="s">
        <v>1353</v>
      </c>
    </row>
    <row r="139" spans="1:8" x14ac:dyDescent="0.2">
      <c r="A139" s="58">
        <v>91739</v>
      </c>
      <c r="B139" s="58">
        <v>17</v>
      </c>
      <c r="C139" s="58" t="s">
        <v>914</v>
      </c>
      <c r="D139" s="58" t="s">
        <v>1352</v>
      </c>
      <c r="E139" s="58" t="s">
        <v>1352</v>
      </c>
      <c r="F139" s="58" t="s">
        <v>1352</v>
      </c>
      <c r="G139" s="58" t="s">
        <v>1352</v>
      </c>
      <c r="H139" s="58" t="s">
        <v>1352</v>
      </c>
    </row>
    <row r="140" spans="1:8" x14ac:dyDescent="0.2">
      <c r="A140" s="58">
        <v>92821</v>
      </c>
      <c r="B140" s="58">
        <v>17</v>
      </c>
      <c r="C140" s="58" t="s">
        <v>914</v>
      </c>
      <c r="D140" s="58" t="s">
        <v>1353</v>
      </c>
      <c r="E140" s="58" t="s">
        <v>1353</v>
      </c>
      <c r="F140" s="58" t="s">
        <v>1353</v>
      </c>
      <c r="G140" s="58" t="s">
        <v>1353</v>
      </c>
      <c r="H140" s="58" t="s">
        <v>1353</v>
      </c>
    </row>
    <row r="141" spans="1:8" x14ac:dyDescent="0.2">
      <c r="A141" s="58">
        <v>92336</v>
      </c>
      <c r="B141" s="58">
        <v>17</v>
      </c>
      <c r="C141" s="58" t="s">
        <v>914</v>
      </c>
      <c r="D141" s="58" t="s">
        <v>195</v>
      </c>
      <c r="E141" s="58" t="s">
        <v>1353</v>
      </c>
      <c r="F141" s="58" t="s">
        <v>1353</v>
      </c>
      <c r="G141" s="58" t="s">
        <v>1353</v>
      </c>
      <c r="H141" s="58" t="s">
        <v>1353</v>
      </c>
    </row>
    <row r="142" spans="1:8" x14ac:dyDescent="0.2">
      <c r="A142" s="58">
        <v>91730</v>
      </c>
      <c r="B142" s="58">
        <v>16</v>
      </c>
      <c r="C142" s="58" t="s">
        <v>914</v>
      </c>
      <c r="D142" s="58" t="s">
        <v>1353</v>
      </c>
      <c r="E142" s="58" t="s">
        <v>1353</v>
      </c>
      <c r="F142" s="58" t="s">
        <v>1353</v>
      </c>
      <c r="G142" s="58" t="s">
        <v>1353</v>
      </c>
      <c r="H142" s="58" t="s">
        <v>1353</v>
      </c>
    </row>
    <row r="143" spans="1:8" x14ac:dyDescent="0.2">
      <c r="A143" s="58">
        <v>91702</v>
      </c>
      <c r="B143" s="58">
        <v>16</v>
      </c>
      <c r="C143" s="58" t="s">
        <v>914</v>
      </c>
      <c r="D143" s="58" t="s">
        <v>1352</v>
      </c>
      <c r="E143" s="58" t="s">
        <v>1353</v>
      </c>
      <c r="F143" s="58" t="s">
        <v>1352</v>
      </c>
      <c r="G143" s="58" t="s">
        <v>1353</v>
      </c>
      <c r="H143" s="58" t="s">
        <v>1353</v>
      </c>
    </row>
    <row r="144" spans="1:8" x14ac:dyDescent="0.2">
      <c r="A144" s="58">
        <v>92336</v>
      </c>
      <c r="B144" s="58">
        <v>16</v>
      </c>
      <c r="C144" s="58" t="s">
        <v>914</v>
      </c>
      <c r="D144" s="58" t="s">
        <v>1367</v>
      </c>
      <c r="E144" s="58" t="s">
        <v>1367</v>
      </c>
      <c r="F144" s="58" t="s">
        <v>1367</v>
      </c>
      <c r="G144" s="58" t="s">
        <v>1367</v>
      </c>
      <c r="H144" s="58" t="s">
        <v>1367</v>
      </c>
    </row>
    <row r="145" spans="1:8" x14ac:dyDescent="0.2">
      <c r="A145" s="58">
        <v>91723</v>
      </c>
      <c r="B145" s="58">
        <v>16</v>
      </c>
      <c r="C145" s="58" t="s">
        <v>914</v>
      </c>
      <c r="D145" s="58" t="s">
        <v>1356</v>
      </c>
      <c r="E145" s="58" t="s">
        <v>1356</v>
      </c>
      <c r="F145" s="58" t="s">
        <v>1356</v>
      </c>
      <c r="G145" s="58" t="s">
        <v>1356</v>
      </c>
      <c r="H145" s="58" t="s">
        <v>1356</v>
      </c>
    </row>
    <row r="146" spans="1:8" x14ac:dyDescent="0.2">
      <c r="A146" s="58">
        <v>92336</v>
      </c>
      <c r="B146" s="58">
        <v>16</v>
      </c>
      <c r="C146" s="58" t="s">
        <v>914</v>
      </c>
      <c r="D146" s="58" t="s">
        <v>1356</v>
      </c>
      <c r="E146" s="58" t="s">
        <v>1356</v>
      </c>
      <c r="F146" s="58" t="s">
        <v>1356</v>
      </c>
      <c r="G146" s="58" t="s">
        <v>1356</v>
      </c>
      <c r="H146" s="58" t="s">
        <v>1356</v>
      </c>
    </row>
    <row r="147" spans="1:8" x14ac:dyDescent="0.2">
      <c r="A147" s="58">
        <v>92336</v>
      </c>
      <c r="B147" s="58">
        <v>16</v>
      </c>
      <c r="C147" s="58" t="s">
        <v>914</v>
      </c>
      <c r="D147" s="58" t="s">
        <v>1367</v>
      </c>
      <c r="E147" s="58" t="s">
        <v>1373</v>
      </c>
      <c r="F147" s="58" t="s">
        <v>1353</v>
      </c>
      <c r="G147" s="58" t="s">
        <v>1373</v>
      </c>
      <c r="H147" s="58" t="s">
        <v>1367</v>
      </c>
    </row>
    <row r="148" spans="1:8" x14ac:dyDescent="0.2">
      <c r="A148" s="58">
        <v>91792</v>
      </c>
      <c r="B148" s="58">
        <v>15</v>
      </c>
      <c r="C148" s="58" t="s">
        <v>1390</v>
      </c>
      <c r="D148" s="58" t="s">
        <v>1353</v>
      </c>
      <c r="E148" s="58" t="s">
        <v>1353</v>
      </c>
      <c r="F148" s="58" t="s">
        <v>1353</v>
      </c>
      <c r="G148" s="58" t="s">
        <v>1353</v>
      </c>
      <c r="H148" s="58" t="s">
        <v>1353</v>
      </c>
    </row>
    <row r="149" spans="1:8" x14ac:dyDescent="0.2">
      <c r="A149" s="58">
        <v>91722</v>
      </c>
      <c r="B149" s="58">
        <v>15</v>
      </c>
      <c r="C149" s="58" t="s">
        <v>914</v>
      </c>
      <c r="D149" s="58" t="s">
        <v>1353</v>
      </c>
      <c r="E149" s="58" t="s">
        <v>1353</v>
      </c>
      <c r="F149" s="58" t="s">
        <v>1353</v>
      </c>
      <c r="G149" s="58" t="s">
        <v>1353</v>
      </c>
      <c r="H149" s="58" t="s">
        <v>1353</v>
      </c>
    </row>
    <row r="150" spans="1:8" x14ac:dyDescent="0.2">
      <c r="A150" s="58">
        <v>91767</v>
      </c>
      <c r="B150" s="58">
        <v>15</v>
      </c>
      <c r="C150" s="58" t="s">
        <v>914</v>
      </c>
      <c r="D150" s="58" t="s">
        <v>1353</v>
      </c>
      <c r="E150" s="58" t="s">
        <v>1353</v>
      </c>
      <c r="F150" s="58" t="s">
        <v>1353</v>
      </c>
      <c r="G150" s="58" t="s">
        <v>195</v>
      </c>
      <c r="H150" s="58" t="s">
        <v>1353</v>
      </c>
    </row>
    <row r="151" spans="1:8" x14ac:dyDescent="0.2">
      <c r="A151" s="58">
        <v>91764</v>
      </c>
      <c r="B151" s="58">
        <v>15</v>
      </c>
      <c r="C151" s="58" t="s">
        <v>914</v>
      </c>
      <c r="D151" s="58" t="s">
        <v>1352</v>
      </c>
      <c r="E151" s="58" t="s">
        <v>1352</v>
      </c>
      <c r="F151" s="58" t="s">
        <v>1352</v>
      </c>
      <c r="G151" s="58" t="s">
        <v>1352</v>
      </c>
      <c r="H151" s="58" t="s">
        <v>1352</v>
      </c>
    </row>
    <row r="152" spans="1:8" x14ac:dyDescent="0.2">
      <c r="A152" s="58">
        <v>92336</v>
      </c>
      <c r="B152" s="58">
        <v>15</v>
      </c>
      <c r="C152" s="58" t="s">
        <v>914</v>
      </c>
      <c r="D152" s="58" t="s">
        <v>1353</v>
      </c>
      <c r="E152" s="58" t="s">
        <v>1353</v>
      </c>
      <c r="F152" s="58" t="s">
        <v>1353</v>
      </c>
      <c r="G152" s="58" t="s">
        <v>1353</v>
      </c>
      <c r="H152" s="58" t="s">
        <v>1353</v>
      </c>
    </row>
    <row r="153" spans="1:8" x14ac:dyDescent="0.2">
      <c r="A153" s="58">
        <v>91764</v>
      </c>
      <c r="B153" s="58">
        <v>15</v>
      </c>
      <c r="C153" s="58" t="s">
        <v>914</v>
      </c>
      <c r="D153" s="58" t="s">
        <v>1353</v>
      </c>
      <c r="E153" s="58" t="s">
        <v>1353</v>
      </c>
      <c r="F153" s="58" t="s">
        <v>1353</v>
      </c>
      <c r="G153" s="58" t="s">
        <v>1353</v>
      </c>
      <c r="H153" s="58" t="s">
        <v>1353</v>
      </c>
    </row>
    <row r="154" spans="1:8" x14ac:dyDescent="0.2">
      <c r="A154" s="58" t="s">
        <v>1441</v>
      </c>
      <c r="B154" s="58">
        <v>15</v>
      </c>
      <c r="C154" s="58" t="s">
        <v>914</v>
      </c>
      <c r="D154" s="58" t="s">
        <v>1367</v>
      </c>
      <c r="E154" s="58" t="s">
        <v>1353</v>
      </c>
      <c r="F154" s="58" t="s">
        <v>1353</v>
      </c>
      <c r="G154" s="58" t="s">
        <v>1353</v>
      </c>
      <c r="H154" s="58" t="s">
        <v>1367</v>
      </c>
    </row>
    <row r="155" spans="1:8" x14ac:dyDescent="0.2">
      <c r="A155" s="58">
        <v>92335</v>
      </c>
      <c r="B155" s="58">
        <v>15</v>
      </c>
      <c r="C155" s="58" t="s">
        <v>914</v>
      </c>
      <c r="D155" s="58" t="s">
        <v>1353</v>
      </c>
      <c r="E155" s="58" t="s">
        <v>1353</v>
      </c>
      <c r="F155" s="58" t="s">
        <v>1353</v>
      </c>
      <c r="G155" s="58" t="s">
        <v>1353</v>
      </c>
      <c r="H155" s="58" t="s">
        <v>1353</v>
      </c>
    </row>
    <row r="156" spans="1:8" x14ac:dyDescent="0.2">
      <c r="A156" s="58">
        <v>91763</v>
      </c>
      <c r="B156" s="58">
        <v>15</v>
      </c>
      <c r="C156" s="58" t="s">
        <v>914</v>
      </c>
      <c r="D156" s="58" t="s">
        <v>1353</v>
      </c>
      <c r="E156" s="58" t="s">
        <v>1353</v>
      </c>
      <c r="F156" s="58" t="s">
        <v>1353</v>
      </c>
      <c r="G156" s="58" t="s">
        <v>1353</v>
      </c>
      <c r="H156" s="58" t="s">
        <v>1353</v>
      </c>
    </row>
    <row r="157" spans="1:8" x14ac:dyDescent="0.2">
      <c r="A157" s="58">
        <v>91762</v>
      </c>
      <c r="B157" s="58">
        <v>15</v>
      </c>
      <c r="C157" s="58" t="s">
        <v>914</v>
      </c>
      <c r="D157" s="58" t="s">
        <v>1353</v>
      </c>
      <c r="E157" s="58" t="s">
        <v>202</v>
      </c>
      <c r="F157" s="58" t="s">
        <v>202</v>
      </c>
      <c r="G157" s="58" t="s">
        <v>1353</v>
      </c>
      <c r="H157" s="58" t="s">
        <v>1353</v>
      </c>
    </row>
    <row r="158" spans="1:8" x14ac:dyDescent="0.2">
      <c r="A158" s="58">
        <v>91722</v>
      </c>
      <c r="B158" s="58">
        <v>15</v>
      </c>
      <c r="C158" s="58" t="s">
        <v>914</v>
      </c>
      <c r="D158" s="58" t="s">
        <v>202</v>
      </c>
      <c r="E158" s="58" t="s">
        <v>202</v>
      </c>
      <c r="F158" s="58" t="s">
        <v>202</v>
      </c>
      <c r="G158" s="58" t="s">
        <v>202</v>
      </c>
      <c r="H158" s="58" t="s">
        <v>202</v>
      </c>
    </row>
    <row r="159" spans="1:8" x14ac:dyDescent="0.2">
      <c r="A159" s="58">
        <v>91701</v>
      </c>
      <c r="B159" s="58">
        <v>15</v>
      </c>
      <c r="C159" s="58" t="s">
        <v>914</v>
      </c>
      <c r="D159" s="58" t="s">
        <v>1353</v>
      </c>
      <c r="E159" s="58" t="s">
        <v>1353</v>
      </c>
      <c r="F159" s="58" t="s">
        <v>1353</v>
      </c>
      <c r="G159" s="58" t="s">
        <v>1353</v>
      </c>
      <c r="H159" s="58" t="s">
        <v>191</v>
      </c>
    </row>
    <row r="160" spans="1:8" x14ac:dyDescent="0.2">
      <c r="A160" s="58">
        <v>91730</v>
      </c>
      <c r="B160" s="58">
        <v>15</v>
      </c>
      <c r="C160" s="58" t="s">
        <v>914</v>
      </c>
      <c r="D160" s="58" t="s">
        <v>1353</v>
      </c>
      <c r="E160" s="58" t="s">
        <v>1353</v>
      </c>
      <c r="F160" s="58" t="s">
        <v>1353</v>
      </c>
      <c r="G160" s="58" t="s">
        <v>1353</v>
      </c>
      <c r="H160" s="58" t="s">
        <v>195</v>
      </c>
    </row>
    <row r="161" spans="1:8" x14ac:dyDescent="0.2">
      <c r="A161" s="58">
        <v>91761</v>
      </c>
      <c r="B161" s="58">
        <v>14.8</v>
      </c>
      <c r="C161" s="58" t="s">
        <v>914</v>
      </c>
      <c r="D161" s="58" t="s">
        <v>1358</v>
      </c>
      <c r="E161" s="58" t="s">
        <v>1358</v>
      </c>
      <c r="F161" s="58" t="s">
        <v>1358</v>
      </c>
      <c r="G161" s="58" t="s">
        <v>1358</v>
      </c>
      <c r="H161" s="58" t="s">
        <v>1358</v>
      </c>
    </row>
    <row r="162" spans="1:8" x14ac:dyDescent="0.2">
      <c r="A162" s="58">
        <v>91702</v>
      </c>
      <c r="B162" s="58">
        <v>14.6</v>
      </c>
      <c r="C162" s="58" t="s">
        <v>914</v>
      </c>
      <c r="D162" s="58" t="s">
        <v>1353</v>
      </c>
      <c r="E162" s="58" t="s">
        <v>1353</v>
      </c>
      <c r="F162" s="58" t="s">
        <v>1353</v>
      </c>
      <c r="G162" s="58" t="s">
        <v>1353</v>
      </c>
      <c r="H162" s="58" t="s">
        <v>1353</v>
      </c>
    </row>
    <row r="163" spans="1:8" x14ac:dyDescent="0.2">
      <c r="A163" s="58">
        <v>91702</v>
      </c>
      <c r="B163" s="58">
        <v>14</v>
      </c>
      <c r="C163" s="58" t="s">
        <v>1390</v>
      </c>
      <c r="D163" s="58" t="s">
        <v>199</v>
      </c>
      <c r="E163" s="58" t="s">
        <v>199</v>
      </c>
      <c r="F163" s="58" t="s">
        <v>199</v>
      </c>
      <c r="G163" s="58" t="s">
        <v>199</v>
      </c>
      <c r="H163" s="58" t="s">
        <v>199</v>
      </c>
    </row>
    <row r="164" spans="1:8" x14ac:dyDescent="0.2">
      <c r="A164" s="58">
        <v>91722</v>
      </c>
      <c r="B164" s="58">
        <v>14</v>
      </c>
      <c r="C164" s="58" t="s">
        <v>914</v>
      </c>
      <c r="D164" s="58" t="s">
        <v>1353</v>
      </c>
      <c r="E164" s="58" t="s">
        <v>1353</v>
      </c>
      <c r="F164" s="58" t="s">
        <v>1353</v>
      </c>
      <c r="G164" s="58" t="s">
        <v>1353</v>
      </c>
      <c r="H164" s="58" t="s">
        <v>1353</v>
      </c>
    </row>
    <row r="165" spans="1:8" x14ac:dyDescent="0.2">
      <c r="A165" s="58">
        <v>91730</v>
      </c>
      <c r="B165" s="58">
        <v>14</v>
      </c>
      <c r="C165" s="58" t="s">
        <v>914</v>
      </c>
      <c r="D165" s="58" t="s">
        <v>1353</v>
      </c>
      <c r="E165" s="58" t="s">
        <v>1353</v>
      </c>
      <c r="F165" s="58" t="s">
        <v>1353</v>
      </c>
      <c r="G165" s="58" t="s">
        <v>1353</v>
      </c>
      <c r="H165" s="58" t="s">
        <v>1353</v>
      </c>
    </row>
    <row r="166" spans="1:8" x14ac:dyDescent="0.2">
      <c r="A166" s="58">
        <v>91789</v>
      </c>
      <c r="B166" s="58">
        <v>14</v>
      </c>
      <c r="C166" s="58" t="s">
        <v>914</v>
      </c>
      <c r="D166" s="58" t="s">
        <v>1353</v>
      </c>
      <c r="E166" s="58" t="s">
        <v>1353</v>
      </c>
      <c r="F166" s="58" t="s">
        <v>1353</v>
      </c>
      <c r="G166" s="58" t="s">
        <v>1353</v>
      </c>
      <c r="H166" s="58" t="s">
        <v>1353</v>
      </c>
    </row>
    <row r="167" spans="1:8" x14ac:dyDescent="0.2">
      <c r="A167" s="58">
        <v>91730</v>
      </c>
      <c r="B167" s="58">
        <v>14</v>
      </c>
      <c r="C167" s="58" t="s">
        <v>914</v>
      </c>
      <c r="D167" s="58" t="s">
        <v>1353</v>
      </c>
      <c r="E167" s="58" t="s">
        <v>1353</v>
      </c>
      <c r="F167" s="58" t="s">
        <v>1353</v>
      </c>
      <c r="G167" s="58" t="s">
        <v>1353</v>
      </c>
      <c r="H167" s="58" t="s">
        <v>1353</v>
      </c>
    </row>
    <row r="168" spans="1:8" x14ac:dyDescent="0.2">
      <c r="A168" s="58">
        <v>91709</v>
      </c>
      <c r="B168" s="58">
        <v>14</v>
      </c>
      <c r="C168" s="58" t="s">
        <v>914</v>
      </c>
      <c r="D168" s="58" t="s">
        <v>1353</v>
      </c>
      <c r="E168" s="58" t="s">
        <v>1353</v>
      </c>
      <c r="F168" s="58" t="s">
        <v>1353</v>
      </c>
      <c r="G168" s="58" t="s">
        <v>1353</v>
      </c>
      <c r="H168" s="58" t="s">
        <v>1353</v>
      </c>
    </row>
    <row r="169" spans="1:8" x14ac:dyDescent="0.2">
      <c r="A169" s="58">
        <v>91766</v>
      </c>
      <c r="B169" s="58">
        <v>13</v>
      </c>
      <c r="C169" s="58" t="s">
        <v>914</v>
      </c>
      <c r="D169" s="58" t="s">
        <v>1353</v>
      </c>
      <c r="E169" s="58" t="s">
        <v>1353</v>
      </c>
      <c r="F169" s="58" t="s">
        <v>1353</v>
      </c>
      <c r="G169" s="58" t="s">
        <v>1353</v>
      </c>
      <c r="H169" s="58" t="s">
        <v>202</v>
      </c>
    </row>
    <row r="170" spans="1:8" x14ac:dyDescent="0.2">
      <c r="A170" s="58">
        <v>91723</v>
      </c>
      <c r="B170" s="58">
        <v>13</v>
      </c>
      <c r="C170" s="58" t="s">
        <v>914</v>
      </c>
      <c r="D170" s="58" t="s">
        <v>1353</v>
      </c>
      <c r="E170" s="58" t="s">
        <v>1353</v>
      </c>
      <c r="F170" s="58" t="s">
        <v>1353</v>
      </c>
      <c r="G170" s="58" t="s">
        <v>1353</v>
      </c>
      <c r="H170" s="58" t="s">
        <v>202</v>
      </c>
    </row>
    <row r="171" spans="1:8" x14ac:dyDescent="0.2">
      <c r="A171" s="58">
        <v>91739</v>
      </c>
      <c r="B171" s="58">
        <v>13</v>
      </c>
      <c r="C171" s="58" t="s">
        <v>914</v>
      </c>
      <c r="D171" s="58" t="s">
        <v>1353</v>
      </c>
      <c r="E171" s="58" t="s">
        <v>1353</v>
      </c>
      <c r="F171" s="58" t="s">
        <v>1353</v>
      </c>
      <c r="G171" s="58" t="s">
        <v>1353</v>
      </c>
      <c r="H171" s="58" t="s">
        <v>1353</v>
      </c>
    </row>
    <row r="172" spans="1:8" x14ac:dyDescent="0.2">
      <c r="A172" s="58">
        <v>91741</v>
      </c>
      <c r="B172" s="58">
        <v>13</v>
      </c>
      <c r="C172" s="58" t="s">
        <v>914</v>
      </c>
      <c r="D172" s="58" t="s">
        <v>191</v>
      </c>
      <c r="E172" s="58" t="s">
        <v>1353</v>
      </c>
      <c r="F172" s="58" t="s">
        <v>1353</v>
      </c>
      <c r="G172" s="58" t="s">
        <v>1353</v>
      </c>
      <c r="H172" s="58" t="s">
        <v>1353</v>
      </c>
    </row>
    <row r="173" spans="1:8" x14ac:dyDescent="0.2">
      <c r="A173" s="58">
        <v>91739</v>
      </c>
      <c r="B173" s="58">
        <v>13</v>
      </c>
      <c r="C173" s="58" t="s">
        <v>914</v>
      </c>
      <c r="D173" s="58" t="s">
        <v>1353</v>
      </c>
      <c r="E173" s="58" t="s">
        <v>1353</v>
      </c>
      <c r="F173" s="58" t="s">
        <v>1353</v>
      </c>
      <c r="G173" s="58" t="s">
        <v>1353</v>
      </c>
      <c r="H173" s="58" t="s">
        <v>1353</v>
      </c>
    </row>
    <row r="174" spans="1:8" x14ac:dyDescent="0.2">
      <c r="A174" s="58">
        <v>91724</v>
      </c>
      <c r="B174" s="58">
        <v>13</v>
      </c>
      <c r="C174" s="58" t="s">
        <v>914</v>
      </c>
      <c r="D174" s="58" t="s">
        <v>1356</v>
      </c>
      <c r="E174" s="58" t="s">
        <v>1356</v>
      </c>
      <c r="F174" s="58" t="s">
        <v>1352</v>
      </c>
      <c r="G174" s="58" t="s">
        <v>1356</v>
      </c>
      <c r="H174" s="58" t="s">
        <v>1356</v>
      </c>
    </row>
    <row r="175" spans="1:8" x14ac:dyDescent="0.2">
      <c r="A175" s="58">
        <v>91739</v>
      </c>
      <c r="B175" s="58">
        <v>13</v>
      </c>
      <c r="C175" s="58" t="s">
        <v>914</v>
      </c>
      <c r="D175" s="58" t="s">
        <v>1353</v>
      </c>
      <c r="E175" s="58" t="s">
        <v>1353</v>
      </c>
      <c r="F175" s="58" t="s">
        <v>1353</v>
      </c>
      <c r="G175" s="58" t="s">
        <v>1353</v>
      </c>
      <c r="H175" s="58" t="s">
        <v>1353</v>
      </c>
    </row>
    <row r="176" spans="1:8" x14ac:dyDescent="0.2">
      <c r="A176" s="58">
        <v>91739</v>
      </c>
      <c r="B176" s="58">
        <v>13</v>
      </c>
      <c r="C176" s="58" t="s">
        <v>914</v>
      </c>
      <c r="D176" s="58" t="s">
        <v>1353</v>
      </c>
      <c r="E176" s="58" t="s">
        <v>1353</v>
      </c>
      <c r="F176" s="58" t="s">
        <v>1353</v>
      </c>
      <c r="G176" s="58" t="s">
        <v>1353</v>
      </c>
      <c r="H176" s="58" t="s">
        <v>1353</v>
      </c>
    </row>
    <row r="177" spans="1:8" x14ac:dyDescent="0.2">
      <c r="A177" s="58">
        <v>91761</v>
      </c>
      <c r="B177" s="58">
        <v>13</v>
      </c>
      <c r="C177" s="58" t="s">
        <v>914</v>
      </c>
      <c r="D177" s="58" t="s">
        <v>1353</v>
      </c>
      <c r="E177" s="58" t="s">
        <v>1353</v>
      </c>
      <c r="F177" s="58" t="s">
        <v>1353</v>
      </c>
      <c r="G177" s="58" t="s">
        <v>1353</v>
      </c>
      <c r="H177" s="58" t="s">
        <v>1353</v>
      </c>
    </row>
    <row r="178" spans="1:8" x14ac:dyDescent="0.2">
      <c r="A178" s="58">
        <v>91737</v>
      </c>
      <c r="B178" s="58">
        <v>12.5</v>
      </c>
      <c r="C178" s="58" t="s">
        <v>914</v>
      </c>
      <c r="D178" s="58" t="s">
        <v>1352</v>
      </c>
      <c r="E178" s="58" t="s">
        <v>1353</v>
      </c>
      <c r="F178" s="58" t="s">
        <v>1352</v>
      </c>
      <c r="G178" s="58" t="s">
        <v>1352</v>
      </c>
      <c r="H178" s="58" t="s">
        <v>1352</v>
      </c>
    </row>
    <row r="179" spans="1:8" x14ac:dyDescent="0.2">
      <c r="A179" s="58" t="s">
        <v>1442</v>
      </c>
      <c r="B179" s="58">
        <v>12</v>
      </c>
      <c r="C179" s="58" t="s">
        <v>1390</v>
      </c>
      <c r="D179" s="58" t="s">
        <v>202</v>
      </c>
      <c r="E179" s="58" t="s">
        <v>1358</v>
      </c>
      <c r="F179" s="58" t="s">
        <v>202</v>
      </c>
      <c r="G179" s="58" t="s">
        <v>1358</v>
      </c>
      <c r="H179" s="58" t="s">
        <v>1358</v>
      </c>
    </row>
    <row r="180" spans="1:8" x14ac:dyDescent="0.2">
      <c r="A180" s="58">
        <v>91724</v>
      </c>
      <c r="B180" s="58">
        <v>12</v>
      </c>
      <c r="C180" s="58" t="s">
        <v>914</v>
      </c>
      <c r="D180" s="58" t="s">
        <v>202</v>
      </c>
      <c r="E180" s="58" t="s">
        <v>202</v>
      </c>
      <c r="F180" s="58" t="s">
        <v>202</v>
      </c>
      <c r="G180" s="58" t="s">
        <v>202</v>
      </c>
      <c r="H180" s="58" t="s">
        <v>202</v>
      </c>
    </row>
    <row r="181" spans="1:8" x14ac:dyDescent="0.2">
      <c r="A181" s="58">
        <v>91764</v>
      </c>
      <c r="B181" s="58">
        <v>12</v>
      </c>
      <c r="C181" s="58" t="s">
        <v>914</v>
      </c>
      <c r="D181" s="58" t="s">
        <v>1353</v>
      </c>
      <c r="E181" s="58" t="s">
        <v>1353</v>
      </c>
      <c r="F181" s="58" t="s">
        <v>1353</v>
      </c>
      <c r="G181" s="58" t="s">
        <v>1353</v>
      </c>
      <c r="H181" s="58" t="s">
        <v>1353</v>
      </c>
    </row>
    <row r="182" spans="1:8" x14ac:dyDescent="0.2">
      <c r="A182" s="58">
        <v>91761</v>
      </c>
      <c r="B182" s="58">
        <v>12</v>
      </c>
      <c r="C182" s="58" t="s">
        <v>914</v>
      </c>
      <c r="D182" s="58" t="s">
        <v>1352</v>
      </c>
      <c r="E182" s="58" t="s">
        <v>1352</v>
      </c>
      <c r="F182" s="58" t="s">
        <v>1352</v>
      </c>
      <c r="G182" s="58" t="s">
        <v>1352</v>
      </c>
      <c r="H182" s="58" t="s">
        <v>1352</v>
      </c>
    </row>
    <row r="183" spans="1:8" x14ac:dyDescent="0.2">
      <c r="A183" s="58">
        <v>91741</v>
      </c>
      <c r="B183" s="58">
        <v>12</v>
      </c>
      <c r="C183" s="58" t="s">
        <v>914</v>
      </c>
      <c r="D183" s="58" t="s">
        <v>1353</v>
      </c>
      <c r="E183" s="58" t="s">
        <v>1353</v>
      </c>
      <c r="F183" s="58" t="s">
        <v>1353</v>
      </c>
      <c r="G183" s="58" t="s">
        <v>1353</v>
      </c>
      <c r="H183" s="58" t="s">
        <v>1353</v>
      </c>
    </row>
    <row r="184" spans="1:8" x14ac:dyDescent="0.2">
      <c r="A184" s="58">
        <v>91709</v>
      </c>
      <c r="B184" s="58">
        <v>12</v>
      </c>
      <c r="C184" s="58" t="s">
        <v>914</v>
      </c>
      <c r="D184" s="58" t="s">
        <v>1353</v>
      </c>
      <c r="E184" s="58" t="s">
        <v>1353</v>
      </c>
      <c r="F184" s="58" t="s">
        <v>1353</v>
      </c>
      <c r="G184" s="58" t="s">
        <v>1353</v>
      </c>
      <c r="H184" s="58" t="s">
        <v>202</v>
      </c>
    </row>
    <row r="185" spans="1:8" x14ac:dyDescent="0.2">
      <c r="A185" s="58">
        <v>92880</v>
      </c>
      <c r="B185" s="58">
        <v>12</v>
      </c>
      <c r="C185" s="58" t="s">
        <v>914</v>
      </c>
      <c r="D185" s="58" t="s">
        <v>1357</v>
      </c>
      <c r="E185" s="58" t="s">
        <v>1357</v>
      </c>
      <c r="F185" s="58" t="s">
        <v>1357</v>
      </c>
      <c r="G185" s="58" t="s">
        <v>1357</v>
      </c>
      <c r="H185" s="58" t="s">
        <v>1357</v>
      </c>
    </row>
    <row r="186" spans="1:8" x14ac:dyDescent="0.2">
      <c r="A186" s="58">
        <v>91741</v>
      </c>
      <c r="B186" s="58">
        <v>12</v>
      </c>
      <c r="C186" s="58" t="s">
        <v>914</v>
      </c>
      <c r="D186" s="58" t="s">
        <v>1353</v>
      </c>
      <c r="E186" s="58" t="s">
        <v>1353</v>
      </c>
      <c r="F186" s="58" t="s">
        <v>1353</v>
      </c>
      <c r="G186" s="58" t="s">
        <v>1353</v>
      </c>
      <c r="H186" s="58" t="s">
        <v>1353</v>
      </c>
    </row>
    <row r="187" spans="1:8" x14ac:dyDescent="0.2">
      <c r="A187" s="58">
        <v>91737</v>
      </c>
      <c r="B187" s="58">
        <v>12</v>
      </c>
      <c r="C187" s="58" t="s">
        <v>914</v>
      </c>
      <c r="D187" s="58" t="s">
        <v>1353</v>
      </c>
      <c r="E187" s="58" t="s">
        <v>1353</v>
      </c>
      <c r="F187" s="58" t="s">
        <v>1353</v>
      </c>
      <c r="G187" s="58" t="s">
        <v>1353</v>
      </c>
      <c r="H187" s="58" t="s">
        <v>1353</v>
      </c>
    </row>
    <row r="188" spans="1:8" x14ac:dyDescent="0.2">
      <c r="A188" s="58">
        <v>91739</v>
      </c>
      <c r="B188" s="58">
        <v>12</v>
      </c>
      <c r="C188" s="58" t="s">
        <v>914</v>
      </c>
      <c r="D188" s="58" t="s">
        <v>1353</v>
      </c>
      <c r="E188" s="58" t="s">
        <v>1373</v>
      </c>
      <c r="F188" s="58" t="s">
        <v>1353</v>
      </c>
      <c r="G188" s="58" t="s">
        <v>1353</v>
      </c>
      <c r="H188" s="58" t="s">
        <v>1353</v>
      </c>
    </row>
    <row r="189" spans="1:8" x14ac:dyDescent="0.2">
      <c r="A189" s="58">
        <v>91701</v>
      </c>
      <c r="B189" s="58">
        <v>11.5</v>
      </c>
      <c r="C189" s="58" t="s">
        <v>914</v>
      </c>
      <c r="D189" s="58" t="s">
        <v>1353</v>
      </c>
      <c r="E189" s="58" t="s">
        <v>1352</v>
      </c>
      <c r="F189" s="58" t="s">
        <v>1353</v>
      </c>
      <c r="G189" s="58" t="s">
        <v>1353</v>
      </c>
      <c r="H189" s="58" t="s">
        <v>1353</v>
      </c>
    </row>
    <row r="190" spans="1:8" x14ac:dyDescent="0.2">
      <c r="A190" s="58">
        <v>91761</v>
      </c>
      <c r="B190" s="58">
        <v>11</v>
      </c>
      <c r="C190" s="58" t="s">
        <v>914</v>
      </c>
      <c r="D190" s="58" t="s">
        <v>1353</v>
      </c>
      <c r="E190" s="58" t="s">
        <v>1353</v>
      </c>
      <c r="F190" s="58" t="s">
        <v>1353</v>
      </c>
      <c r="G190" s="58" t="s">
        <v>1353</v>
      </c>
      <c r="H190" s="58" t="s">
        <v>1353</v>
      </c>
    </row>
    <row r="191" spans="1:8" x14ac:dyDescent="0.2">
      <c r="A191" s="58">
        <v>91786</v>
      </c>
      <c r="B191" s="58">
        <v>11</v>
      </c>
      <c r="C191" s="58" t="s">
        <v>914</v>
      </c>
      <c r="D191" s="58" t="s">
        <v>1353</v>
      </c>
      <c r="E191" s="58" t="s">
        <v>1353</v>
      </c>
      <c r="F191" s="58" t="s">
        <v>1353</v>
      </c>
      <c r="G191" s="58" t="s">
        <v>1353</v>
      </c>
      <c r="H191" s="58" t="s">
        <v>1353</v>
      </c>
    </row>
    <row r="192" spans="1:8" x14ac:dyDescent="0.2">
      <c r="A192" s="58">
        <v>91761</v>
      </c>
      <c r="B192" s="58">
        <v>11</v>
      </c>
      <c r="C192" s="58" t="s">
        <v>914</v>
      </c>
      <c r="D192" s="58" t="s">
        <v>1353</v>
      </c>
      <c r="E192" s="58" t="s">
        <v>1353</v>
      </c>
      <c r="F192" s="58" t="s">
        <v>195</v>
      </c>
      <c r="G192" s="58" t="s">
        <v>195</v>
      </c>
      <c r="H192" s="58" t="s">
        <v>195</v>
      </c>
    </row>
    <row r="193" spans="1:8" x14ac:dyDescent="0.2">
      <c r="A193" s="58">
        <v>91730</v>
      </c>
      <c r="B193" s="58">
        <v>11</v>
      </c>
      <c r="C193" s="58" t="s">
        <v>914</v>
      </c>
      <c r="D193" s="58" t="s">
        <v>1353</v>
      </c>
      <c r="E193" s="58" t="s">
        <v>1353</v>
      </c>
      <c r="F193" s="58" t="s">
        <v>1353</v>
      </c>
      <c r="G193" s="58" t="s">
        <v>1353</v>
      </c>
      <c r="H193" s="58" t="s">
        <v>1353</v>
      </c>
    </row>
    <row r="194" spans="1:8" x14ac:dyDescent="0.2">
      <c r="A194" s="58">
        <v>91730</v>
      </c>
      <c r="B194" s="58">
        <v>11</v>
      </c>
      <c r="C194" s="58" t="s">
        <v>914</v>
      </c>
      <c r="D194" s="58" t="s">
        <v>1352</v>
      </c>
      <c r="E194" s="58" t="s">
        <v>1352</v>
      </c>
      <c r="F194" s="58" t="s">
        <v>1352</v>
      </c>
      <c r="G194" s="58" t="s">
        <v>1352</v>
      </c>
      <c r="H194" s="58" t="s">
        <v>1352</v>
      </c>
    </row>
    <row r="195" spans="1:8" x14ac:dyDescent="0.2">
      <c r="A195" s="58">
        <v>91710</v>
      </c>
      <c r="B195" s="58">
        <v>11</v>
      </c>
      <c r="C195" s="58" t="s">
        <v>914</v>
      </c>
      <c r="D195" s="58" t="s">
        <v>1353</v>
      </c>
      <c r="E195" s="58" t="s">
        <v>1353</v>
      </c>
      <c r="F195" s="58" t="s">
        <v>1353</v>
      </c>
      <c r="G195" s="58" t="s">
        <v>1353</v>
      </c>
      <c r="H195" s="58" t="s">
        <v>1353</v>
      </c>
    </row>
    <row r="196" spans="1:8" x14ac:dyDescent="0.2">
      <c r="A196" s="58" t="s">
        <v>1404</v>
      </c>
      <c r="B196" s="58">
        <v>11</v>
      </c>
      <c r="C196" s="58" t="s">
        <v>914</v>
      </c>
      <c r="D196" s="58" t="s">
        <v>1353</v>
      </c>
      <c r="E196" s="58" t="s">
        <v>1353</v>
      </c>
      <c r="F196" s="58" t="s">
        <v>1353</v>
      </c>
      <c r="G196" s="58" t="s">
        <v>1353</v>
      </c>
      <c r="H196" s="58" t="s">
        <v>1353</v>
      </c>
    </row>
    <row r="197" spans="1:8" x14ac:dyDescent="0.2">
      <c r="A197" s="58">
        <v>91766</v>
      </c>
      <c r="B197" s="58">
        <v>10</v>
      </c>
      <c r="C197" s="58" t="s">
        <v>914</v>
      </c>
      <c r="D197" s="58" t="s">
        <v>1353</v>
      </c>
      <c r="E197" s="58" t="s">
        <v>1353</v>
      </c>
      <c r="F197" s="58" t="s">
        <v>1353</v>
      </c>
      <c r="G197" s="58" t="s">
        <v>1353</v>
      </c>
      <c r="H197" s="58" t="s">
        <v>1353</v>
      </c>
    </row>
    <row r="198" spans="1:8" x14ac:dyDescent="0.2">
      <c r="A198" s="58">
        <v>91730</v>
      </c>
      <c r="B198" s="58">
        <v>10</v>
      </c>
      <c r="C198" s="58" t="s">
        <v>914</v>
      </c>
      <c r="D198" s="58" t="s">
        <v>1353</v>
      </c>
      <c r="E198" s="58" t="s">
        <v>1353</v>
      </c>
      <c r="F198" s="58" t="s">
        <v>1353</v>
      </c>
      <c r="G198" s="58" t="s">
        <v>1353</v>
      </c>
      <c r="H198" s="58" t="s">
        <v>1353</v>
      </c>
    </row>
    <row r="199" spans="1:8" x14ac:dyDescent="0.2">
      <c r="A199" s="58">
        <v>91762</v>
      </c>
      <c r="B199" s="58">
        <v>10</v>
      </c>
      <c r="C199" s="58" t="s">
        <v>914</v>
      </c>
      <c r="D199" s="58" t="s">
        <v>1353</v>
      </c>
      <c r="E199" s="58" t="s">
        <v>1353</v>
      </c>
      <c r="F199" s="58" t="s">
        <v>1353</v>
      </c>
      <c r="G199" s="58" t="s">
        <v>1353</v>
      </c>
      <c r="H199" s="58" t="s">
        <v>1353</v>
      </c>
    </row>
    <row r="200" spans="1:8" x14ac:dyDescent="0.2">
      <c r="A200" s="58">
        <v>91701</v>
      </c>
      <c r="B200" s="58">
        <v>10</v>
      </c>
      <c r="C200" s="58" t="s">
        <v>914</v>
      </c>
      <c r="D200" s="58" t="s">
        <v>1353</v>
      </c>
      <c r="E200" s="58" t="s">
        <v>1353</v>
      </c>
      <c r="F200" s="58" t="s">
        <v>195</v>
      </c>
      <c r="G200" s="58" t="s">
        <v>1353</v>
      </c>
      <c r="H200" s="58" t="s">
        <v>191</v>
      </c>
    </row>
    <row r="201" spans="1:8" x14ac:dyDescent="0.2">
      <c r="A201" s="58">
        <v>91711</v>
      </c>
      <c r="B201" s="58">
        <v>10</v>
      </c>
      <c r="C201" s="58" t="s">
        <v>914</v>
      </c>
      <c r="D201" s="58" t="s">
        <v>1353</v>
      </c>
      <c r="E201" s="58" t="s">
        <v>1353</v>
      </c>
      <c r="F201" s="58" t="s">
        <v>1353</v>
      </c>
      <c r="G201" s="58" t="s">
        <v>1353</v>
      </c>
      <c r="H201" s="58" t="s">
        <v>1353</v>
      </c>
    </row>
    <row r="202" spans="1:8" x14ac:dyDescent="0.2">
      <c r="A202" s="58">
        <v>92335</v>
      </c>
      <c r="B202" s="58">
        <v>10</v>
      </c>
      <c r="C202" s="58" t="s">
        <v>914</v>
      </c>
      <c r="D202" s="58" t="s">
        <v>1352</v>
      </c>
      <c r="E202" s="58" t="s">
        <v>1352</v>
      </c>
      <c r="F202" s="58" t="s">
        <v>199</v>
      </c>
      <c r="G202" s="58" t="s">
        <v>1352</v>
      </c>
      <c r="H202" s="58" t="s">
        <v>1352</v>
      </c>
    </row>
    <row r="203" spans="1:8" x14ac:dyDescent="0.2">
      <c r="A203" s="58">
        <v>92335</v>
      </c>
      <c r="B203" s="58">
        <v>10</v>
      </c>
      <c r="C203" s="58" t="s">
        <v>914</v>
      </c>
      <c r="D203" s="58" t="s">
        <v>1352</v>
      </c>
      <c r="E203" s="58" t="s">
        <v>1352</v>
      </c>
      <c r="F203" s="58" t="s">
        <v>199</v>
      </c>
      <c r="G203" s="58" t="s">
        <v>1352</v>
      </c>
      <c r="H203" s="58" t="s">
        <v>1352</v>
      </c>
    </row>
    <row r="204" spans="1:8" x14ac:dyDescent="0.2">
      <c r="A204" s="58">
        <v>91730</v>
      </c>
      <c r="B204" s="58">
        <v>10</v>
      </c>
      <c r="C204" s="58" t="s">
        <v>914</v>
      </c>
      <c r="D204" s="58" t="s">
        <v>1353</v>
      </c>
      <c r="E204" s="58" t="s">
        <v>1353</v>
      </c>
      <c r="F204" s="58" t="s">
        <v>1353</v>
      </c>
      <c r="G204" s="58" t="s">
        <v>1353</v>
      </c>
      <c r="H204" s="58" t="s">
        <v>1353</v>
      </c>
    </row>
    <row r="205" spans="1:8" x14ac:dyDescent="0.2">
      <c r="A205" s="58">
        <v>91762</v>
      </c>
      <c r="B205" s="58">
        <v>10</v>
      </c>
      <c r="C205" s="58" t="s">
        <v>914</v>
      </c>
      <c r="D205" s="58" t="s">
        <v>1353</v>
      </c>
      <c r="E205" s="58" t="s">
        <v>1353</v>
      </c>
      <c r="F205" s="58" t="s">
        <v>1353</v>
      </c>
      <c r="G205" s="58" t="s">
        <v>1353</v>
      </c>
      <c r="H205" s="58" t="s">
        <v>1353</v>
      </c>
    </row>
    <row r="206" spans="1:8" x14ac:dyDescent="0.2">
      <c r="A206" s="58">
        <v>91762</v>
      </c>
      <c r="B206" s="58">
        <v>10</v>
      </c>
      <c r="C206" s="58" t="s">
        <v>914</v>
      </c>
      <c r="D206" s="58" t="s">
        <v>1353</v>
      </c>
      <c r="E206" s="58" t="s">
        <v>1353</v>
      </c>
      <c r="F206" s="58" t="s">
        <v>1353</v>
      </c>
      <c r="G206" s="58" t="s">
        <v>1353</v>
      </c>
      <c r="H206" s="58" t="s">
        <v>1353</v>
      </c>
    </row>
    <row r="207" spans="1:8" x14ac:dyDescent="0.2">
      <c r="A207" s="58">
        <v>91702</v>
      </c>
      <c r="B207" s="58">
        <v>10</v>
      </c>
      <c r="C207" s="58" t="s">
        <v>914</v>
      </c>
      <c r="D207" s="58" t="s">
        <v>191</v>
      </c>
      <c r="E207" s="58" t="s">
        <v>191</v>
      </c>
      <c r="F207" s="58" t="s">
        <v>191</v>
      </c>
      <c r="G207" s="58" t="s">
        <v>1353</v>
      </c>
      <c r="H207" s="58" t="s">
        <v>1353</v>
      </c>
    </row>
    <row r="208" spans="1:8" x14ac:dyDescent="0.2">
      <c r="A208" s="58">
        <v>91730</v>
      </c>
      <c r="B208" s="58">
        <v>10</v>
      </c>
      <c r="C208" s="58" t="s">
        <v>914</v>
      </c>
      <c r="D208" s="58" t="s">
        <v>1353</v>
      </c>
      <c r="E208" s="58" t="s">
        <v>1353</v>
      </c>
      <c r="F208" s="58" t="s">
        <v>1352</v>
      </c>
      <c r="G208" s="58" t="s">
        <v>1352</v>
      </c>
      <c r="H208" s="58" t="s">
        <v>1352</v>
      </c>
    </row>
    <row r="209" spans="1:8" x14ac:dyDescent="0.2">
      <c r="A209" s="58">
        <v>91764</v>
      </c>
      <c r="B209" s="58">
        <v>10</v>
      </c>
      <c r="C209" s="58" t="s">
        <v>914</v>
      </c>
      <c r="D209" s="58" t="s">
        <v>1353</v>
      </c>
      <c r="E209" s="58" t="s">
        <v>1353</v>
      </c>
      <c r="F209" s="58" t="s">
        <v>1353</v>
      </c>
      <c r="G209" s="58" t="s">
        <v>1353</v>
      </c>
      <c r="H209" s="58" t="s">
        <v>1353</v>
      </c>
    </row>
    <row r="210" spans="1:8" x14ac:dyDescent="0.2">
      <c r="A210" s="58">
        <v>91762</v>
      </c>
      <c r="B210" s="58">
        <v>10</v>
      </c>
      <c r="C210" s="58" t="s">
        <v>914</v>
      </c>
      <c r="D210" s="58" t="s">
        <v>1353</v>
      </c>
      <c r="E210" s="58" t="s">
        <v>1353</v>
      </c>
      <c r="F210" s="58" t="s">
        <v>1353</v>
      </c>
      <c r="G210" s="58" t="s">
        <v>1353</v>
      </c>
      <c r="H210" s="58" t="s">
        <v>1353</v>
      </c>
    </row>
    <row r="211" spans="1:8" x14ac:dyDescent="0.2">
      <c r="A211" s="58">
        <v>92335</v>
      </c>
      <c r="B211" s="58">
        <v>10</v>
      </c>
      <c r="C211" s="58" t="s">
        <v>914</v>
      </c>
      <c r="D211" s="58" t="s">
        <v>199</v>
      </c>
      <c r="E211" s="58" t="s">
        <v>1353</v>
      </c>
      <c r="F211" s="58" t="s">
        <v>199</v>
      </c>
      <c r="G211" s="58" t="s">
        <v>1353</v>
      </c>
      <c r="H211" s="58" t="s">
        <v>1353</v>
      </c>
    </row>
    <row r="212" spans="1:8" x14ac:dyDescent="0.2">
      <c r="A212" s="58">
        <v>91766</v>
      </c>
      <c r="B212" s="58">
        <v>10</v>
      </c>
      <c r="C212" s="58" t="s">
        <v>914</v>
      </c>
      <c r="D212" s="58" t="s">
        <v>1353</v>
      </c>
      <c r="E212" s="58" t="s">
        <v>1353</v>
      </c>
      <c r="F212" s="58" t="s">
        <v>1353</v>
      </c>
      <c r="G212" s="58" t="s">
        <v>1353</v>
      </c>
      <c r="H212" s="58" t="s">
        <v>1353</v>
      </c>
    </row>
    <row r="213" spans="1:8" x14ac:dyDescent="0.2">
      <c r="A213" s="58">
        <v>91730</v>
      </c>
      <c r="B213" s="58">
        <v>10</v>
      </c>
      <c r="C213" s="58" t="s">
        <v>914</v>
      </c>
      <c r="D213" s="58" t="s">
        <v>1353</v>
      </c>
      <c r="E213" s="58" t="s">
        <v>1353</v>
      </c>
      <c r="F213" s="58" t="s">
        <v>1353</v>
      </c>
      <c r="G213" s="58" t="s">
        <v>1353</v>
      </c>
      <c r="H213" s="58" t="s">
        <v>1353</v>
      </c>
    </row>
    <row r="214" spans="1:8" x14ac:dyDescent="0.2">
      <c r="A214" s="58">
        <v>91710</v>
      </c>
      <c r="B214" s="58">
        <v>10</v>
      </c>
      <c r="C214" s="58" t="s">
        <v>914</v>
      </c>
      <c r="D214" s="58" t="s">
        <v>1353</v>
      </c>
      <c r="E214" s="58" t="s">
        <v>1353</v>
      </c>
      <c r="F214" s="58" t="s">
        <v>1353</v>
      </c>
      <c r="G214" s="58" t="s">
        <v>1353</v>
      </c>
      <c r="H214" s="58" t="s">
        <v>1353</v>
      </c>
    </row>
    <row r="215" spans="1:8" x14ac:dyDescent="0.2">
      <c r="A215" s="58">
        <v>91764</v>
      </c>
      <c r="B215" s="58">
        <v>10</v>
      </c>
      <c r="C215" s="58" t="s">
        <v>914</v>
      </c>
      <c r="D215" s="58" t="s">
        <v>1353</v>
      </c>
      <c r="E215" s="58" t="s">
        <v>1353</v>
      </c>
      <c r="F215" s="58" t="s">
        <v>1353</v>
      </c>
      <c r="G215" s="58" t="s">
        <v>1353</v>
      </c>
      <c r="H215" s="58" t="s">
        <v>1353</v>
      </c>
    </row>
    <row r="216" spans="1:8" x14ac:dyDescent="0.2">
      <c r="A216" s="58">
        <v>91764</v>
      </c>
      <c r="B216" s="58">
        <v>10</v>
      </c>
      <c r="C216" s="58" t="s">
        <v>914</v>
      </c>
      <c r="D216" s="58" t="s">
        <v>1352</v>
      </c>
      <c r="E216" s="58" t="s">
        <v>1352</v>
      </c>
      <c r="F216" s="58" t="s">
        <v>1352</v>
      </c>
      <c r="G216" s="58" t="s">
        <v>1352</v>
      </c>
      <c r="H216" s="58" t="s">
        <v>1352</v>
      </c>
    </row>
    <row r="217" spans="1:8" x14ac:dyDescent="0.2">
      <c r="A217" s="58">
        <v>91701</v>
      </c>
      <c r="B217" s="58">
        <v>10</v>
      </c>
      <c r="C217" s="58" t="s">
        <v>914</v>
      </c>
      <c r="D217" s="58" t="s">
        <v>1353</v>
      </c>
      <c r="E217" s="58" t="s">
        <v>1353</v>
      </c>
      <c r="F217" s="58" t="s">
        <v>1353</v>
      </c>
      <c r="G217" s="58" t="s">
        <v>1353</v>
      </c>
      <c r="H217" s="58" t="s">
        <v>1353</v>
      </c>
    </row>
    <row r="218" spans="1:8" x14ac:dyDescent="0.2">
      <c r="A218" s="58">
        <v>91763</v>
      </c>
      <c r="B218" s="58">
        <v>10</v>
      </c>
      <c r="C218" s="58" t="s">
        <v>914</v>
      </c>
      <c r="D218" s="58" t="s">
        <v>1353</v>
      </c>
      <c r="E218" s="58" t="s">
        <v>1353</v>
      </c>
      <c r="F218" s="58" t="s">
        <v>1353</v>
      </c>
      <c r="G218" s="58" t="s">
        <v>1353</v>
      </c>
      <c r="H218" s="58" t="s">
        <v>1353</v>
      </c>
    </row>
    <row r="219" spans="1:8" x14ac:dyDescent="0.2">
      <c r="A219" s="58">
        <v>92335</v>
      </c>
      <c r="B219" s="58">
        <v>10</v>
      </c>
      <c r="C219" s="58" t="s">
        <v>914</v>
      </c>
      <c r="D219" s="58" t="s">
        <v>1353</v>
      </c>
      <c r="E219" s="58" t="s">
        <v>202</v>
      </c>
      <c r="F219" s="58" t="s">
        <v>1353</v>
      </c>
      <c r="G219" s="58" t="s">
        <v>202</v>
      </c>
      <c r="H219" s="58" t="s">
        <v>1353</v>
      </c>
    </row>
    <row r="220" spans="1:8" x14ac:dyDescent="0.2">
      <c r="A220" s="58">
        <v>91701</v>
      </c>
      <c r="B220" s="58">
        <v>10</v>
      </c>
      <c r="C220" s="58" t="s">
        <v>914</v>
      </c>
      <c r="D220" s="58" t="s">
        <v>1353</v>
      </c>
      <c r="E220" s="58" t="s">
        <v>202</v>
      </c>
      <c r="F220" s="58" t="s">
        <v>1353</v>
      </c>
      <c r="G220" s="58" t="s">
        <v>1353</v>
      </c>
      <c r="H220" s="58" t="s">
        <v>1353</v>
      </c>
    </row>
    <row r="221" spans="1:8" x14ac:dyDescent="0.2">
      <c r="A221" s="58">
        <v>91701</v>
      </c>
      <c r="B221" s="58">
        <v>10</v>
      </c>
      <c r="C221" s="58" t="s">
        <v>914</v>
      </c>
      <c r="D221" s="58" t="s">
        <v>1353</v>
      </c>
      <c r="E221" s="58" t="s">
        <v>1353</v>
      </c>
      <c r="F221" s="58" t="s">
        <v>1353</v>
      </c>
      <c r="G221" s="58" t="s">
        <v>1353</v>
      </c>
      <c r="H221" s="58" t="s">
        <v>1353</v>
      </c>
    </row>
    <row r="222" spans="1:8" x14ac:dyDescent="0.2">
      <c r="A222" s="58">
        <v>91711</v>
      </c>
      <c r="B222" s="58">
        <v>10</v>
      </c>
      <c r="C222" s="58" t="s">
        <v>914</v>
      </c>
      <c r="D222" s="58" t="s">
        <v>1352</v>
      </c>
      <c r="E222" s="58" t="s">
        <v>1352</v>
      </c>
      <c r="F222" s="58" t="s">
        <v>1352</v>
      </c>
      <c r="G222" s="58" t="s">
        <v>1352</v>
      </c>
      <c r="H222" s="58" t="s">
        <v>1352</v>
      </c>
    </row>
    <row r="223" spans="1:8" x14ac:dyDescent="0.2">
      <c r="A223" s="58">
        <v>91737</v>
      </c>
      <c r="B223" s="58">
        <v>10</v>
      </c>
      <c r="C223" s="58" t="s">
        <v>914</v>
      </c>
      <c r="D223" s="58" t="s">
        <v>1353</v>
      </c>
      <c r="E223" s="58" t="s">
        <v>1353</v>
      </c>
      <c r="F223" s="58" t="s">
        <v>1353</v>
      </c>
      <c r="G223" s="58" t="s">
        <v>1353</v>
      </c>
      <c r="H223" s="58" t="s">
        <v>1353</v>
      </c>
    </row>
    <row r="224" spans="1:8" x14ac:dyDescent="0.2">
      <c r="A224" s="58">
        <v>91722</v>
      </c>
      <c r="B224" s="58">
        <v>10</v>
      </c>
      <c r="C224" s="58" t="s">
        <v>914</v>
      </c>
      <c r="D224" s="58" t="s">
        <v>1353</v>
      </c>
      <c r="E224" s="58" t="s">
        <v>1353</v>
      </c>
      <c r="F224" s="58" t="s">
        <v>1353</v>
      </c>
      <c r="G224" s="58" t="s">
        <v>1352</v>
      </c>
      <c r="H224" s="58" t="s">
        <v>1352</v>
      </c>
    </row>
    <row r="225" spans="1:8" x14ac:dyDescent="0.2">
      <c r="A225" s="58">
        <v>91740</v>
      </c>
      <c r="B225" s="58">
        <v>10</v>
      </c>
      <c r="C225" s="58" t="s">
        <v>914</v>
      </c>
      <c r="D225" s="58" t="s">
        <v>1353</v>
      </c>
      <c r="E225" s="58" t="s">
        <v>1353</v>
      </c>
      <c r="F225" s="58" t="s">
        <v>1353</v>
      </c>
      <c r="G225" s="58" t="s">
        <v>1353</v>
      </c>
      <c r="H225" s="58" t="s">
        <v>1353</v>
      </c>
    </row>
    <row r="226" spans="1:8" x14ac:dyDescent="0.2">
      <c r="A226" s="58">
        <v>91701</v>
      </c>
      <c r="B226" s="58">
        <v>10</v>
      </c>
      <c r="C226" s="58" t="s">
        <v>914</v>
      </c>
      <c r="D226" s="58" t="s">
        <v>1353</v>
      </c>
      <c r="E226" s="58" t="s">
        <v>1353</v>
      </c>
      <c r="F226" s="58" t="s">
        <v>1353</v>
      </c>
      <c r="G226" s="58" t="s">
        <v>1353</v>
      </c>
      <c r="H226" s="58" t="s">
        <v>191</v>
      </c>
    </row>
    <row r="227" spans="1:8" x14ac:dyDescent="0.2">
      <c r="A227" s="58">
        <v>91724</v>
      </c>
      <c r="B227" s="58">
        <v>10</v>
      </c>
      <c r="C227" s="58" t="s">
        <v>914</v>
      </c>
      <c r="D227" s="58" t="s">
        <v>1373</v>
      </c>
      <c r="E227" s="58" t="s">
        <v>1373</v>
      </c>
      <c r="F227" s="58" t="s">
        <v>1373</v>
      </c>
      <c r="G227" s="58" t="s">
        <v>1373</v>
      </c>
      <c r="H227" s="58" t="s">
        <v>1353</v>
      </c>
    </row>
    <row r="228" spans="1:8" x14ac:dyDescent="0.2">
      <c r="A228" s="58" t="s">
        <v>1443</v>
      </c>
      <c r="B228" s="58">
        <v>9.6</v>
      </c>
      <c r="C228" s="58" t="s">
        <v>914</v>
      </c>
      <c r="D228" s="58" t="s">
        <v>1353</v>
      </c>
      <c r="E228" s="58" t="s">
        <v>1353</v>
      </c>
      <c r="F228" s="58" t="s">
        <v>191</v>
      </c>
      <c r="G228" s="58" t="s">
        <v>1353</v>
      </c>
      <c r="H228" s="58" t="s">
        <v>1353</v>
      </c>
    </row>
    <row r="229" spans="1:8" x14ac:dyDescent="0.2">
      <c r="A229" s="58">
        <v>91711</v>
      </c>
      <c r="B229" s="58">
        <v>9</v>
      </c>
      <c r="C229" s="58" t="s">
        <v>914</v>
      </c>
      <c r="D229" s="58" t="s">
        <v>1353</v>
      </c>
      <c r="E229" s="58" t="s">
        <v>1353</v>
      </c>
      <c r="F229" s="58" t="s">
        <v>1353</v>
      </c>
      <c r="G229" s="58" t="s">
        <v>1353</v>
      </c>
      <c r="H229" s="58" t="s">
        <v>202</v>
      </c>
    </row>
    <row r="230" spans="1:8" x14ac:dyDescent="0.2">
      <c r="A230" s="58">
        <v>92377</v>
      </c>
      <c r="B230" s="58">
        <v>9</v>
      </c>
      <c r="C230" s="58" t="s">
        <v>914</v>
      </c>
      <c r="D230" s="58" t="s">
        <v>1353</v>
      </c>
      <c r="E230" s="58" t="s">
        <v>1353</v>
      </c>
      <c r="F230" s="58" t="s">
        <v>1353</v>
      </c>
      <c r="G230" s="58" t="s">
        <v>1353</v>
      </c>
      <c r="H230" s="58" t="s">
        <v>1353</v>
      </c>
    </row>
    <row r="231" spans="1:8" x14ac:dyDescent="0.2">
      <c r="A231" s="58">
        <v>91710</v>
      </c>
      <c r="B231" s="58">
        <v>9</v>
      </c>
      <c r="C231" s="58" t="s">
        <v>914</v>
      </c>
      <c r="D231" s="58" t="s">
        <v>1353</v>
      </c>
      <c r="E231" s="58" t="s">
        <v>1353</v>
      </c>
      <c r="F231" s="58" t="s">
        <v>1353</v>
      </c>
      <c r="G231" s="58" t="s">
        <v>1353</v>
      </c>
      <c r="H231" s="58" t="s">
        <v>1353</v>
      </c>
    </row>
    <row r="232" spans="1:8" x14ac:dyDescent="0.2">
      <c r="A232" s="58">
        <v>91701</v>
      </c>
      <c r="B232" s="58">
        <v>9</v>
      </c>
      <c r="C232" s="58" t="s">
        <v>914</v>
      </c>
      <c r="D232" s="58" t="s">
        <v>1353</v>
      </c>
      <c r="E232" s="58" t="s">
        <v>1353</v>
      </c>
      <c r="F232" s="58" t="s">
        <v>1353</v>
      </c>
      <c r="G232" s="58" t="s">
        <v>1353</v>
      </c>
      <c r="H232" s="58" t="s">
        <v>1353</v>
      </c>
    </row>
    <row r="233" spans="1:8" x14ac:dyDescent="0.2">
      <c r="A233" s="58">
        <v>90701</v>
      </c>
      <c r="B233" s="58">
        <v>9</v>
      </c>
      <c r="C233" s="58" t="s">
        <v>914</v>
      </c>
      <c r="D233" s="58" t="s">
        <v>1353</v>
      </c>
      <c r="E233" s="58" t="s">
        <v>1353</v>
      </c>
      <c r="F233" s="58" t="s">
        <v>1353</v>
      </c>
      <c r="G233" s="58" t="s">
        <v>1353</v>
      </c>
      <c r="H233" s="58" t="s">
        <v>1353</v>
      </c>
    </row>
    <row r="234" spans="1:8" x14ac:dyDescent="0.2">
      <c r="A234" s="58" t="s">
        <v>1426</v>
      </c>
      <c r="B234" s="58">
        <v>9</v>
      </c>
      <c r="C234" s="58" t="s">
        <v>914</v>
      </c>
      <c r="D234" s="58" t="s">
        <v>1353</v>
      </c>
      <c r="E234" s="58" t="s">
        <v>1353</v>
      </c>
      <c r="F234" s="58" t="s">
        <v>199</v>
      </c>
      <c r="G234" s="58" t="s">
        <v>1353</v>
      </c>
      <c r="H234" s="58" t="s">
        <v>1353</v>
      </c>
    </row>
    <row r="235" spans="1:8" x14ac:dyDescent="0.2">
      <c r="A235" s="58">
        <v>91737</v>
      </c>
      <c r="B235" s="58">
        <v>9</v>
      </c>
      <c r="C235" s="58" t="s">
        <v>914</v>
      </c>
      <c r="D235" s="58" t="s">
        <v>1353</v>
      </c>
      <c r="E235" s="58" t="s">
        <v>1353</v>
      </c>
      <c r="F235" s="58" t="s">
        <v>1353</v>
      </c>
      <c r="G235" s="58" t="s">
        <v>195</v>
      </c>
      <c r="H235" s="58" t="s">
        <v>1353</v>
      </c>
    </row>
    <row r="236" spans="1:8" x14ac:dyDescent="0.2">
      <c r="A236" s="58">
        <v>91750</v>
      </c>
      <c r="B236" s="58">
        <v>8</v>
      </c>
      <c r="C236" s="58" t="s">
        <v>1390</v>
      </c>
      <c r="D236" s="58" t="s">
        <v>1353</v>
      </c>
      <c r="E236" s="58" t="s">
        <v>199</v>
      </c>
      <c r="F236" s="58" t="s">
        <v>1353</v>
      </c>
      <c r="G236" s="58" t="s">
        <v>199</v>
      </c>
      <c r="H236" s="58" t="s">
        <v>1353</v>
      </c>
    </row>
    <row r="237" spans="1:8" x14ac:dyDescent="0.2">
      <c r="A237" s="58">
        <v>91764</v>
      </c>
      <c r="B237" s="58">
        <v>8</v>
      </c>
      <c r="C237" s="58" t="s">
        <v>914</v>
      </c>
      <c r="D237" s="58" t="s">
        <v>1353</v>
      </c>
      <c r="E237" s="58" t="s">
        <v>1353</v>
      </c>
      <c r="F237" s="58" t="s">
        <v>1353</v>
      </c>
      <c r="G237" s="58" t="s">
        <v>1353</v>
      </c>
      <c r="H237" s="58" t="s">
        <v>1353</v>
      </c>
    </row>
    <row r="238" spans="1:8" x14ac:dyDescent="0.2">
      <c r="A238" s="58">
        <v>91784</v>
      </c>
      <c r="B238" s="58">
        <v>8</v>
      </c>
      <c r="C238" s="58" t="s">
        <v>914</v>
      </c>
      <c r="D238" s="58" t="s">
        <v>1353</v>
      </c>
      <c r="E238" s="58" t="s">
        <v>1353</v>
      </c>
      <c r="F238" s="58" t="s">
        <v>1353</v>
      </c>
      <c r="G238" s="58" t="s">
        <v>1353</v>
      </c>
      <c r="H238" s="58" t="s">
        <v>1353</v>
      </c>
    </row>
    <row r="239" spans="1:8" x14ac:dyDescent="0.2">
      <c r="A239" s="58">
        <v>91786</v>
      </c>
      <c r="B239" s="58">
        <v>8</v>
      </c>
      <c r="C239" s="58" t="s">
        <v>914</v>
      </c>
      <c r="D239" s="58" t="s">
        <v>202</v>
      </c>
      <c r="E239" s="58" t="s">
        <v>1352</v>
      </c>
      <c r="F239" s="58" t="s">
        <v>1352</v>
      </c>
      <c r="G239" s="58" t="s">
        <v>1352</v>
      </c>
      <c r="H239" s="58" t="s">
        <v>1352</v>
      </c>
    </row>
    <row r="240" spans="1:8" x14ac:dyDescent="0.2">
      <c r="A240" s="58">
        <v>91710</v>
      </c>
      <c r="B240" s="58">
        <v>8</v>
      </c>
      <c r="C240" s="58" t="s">
        <v>914</v>
      </c>
      <c r="D240" s="58" t="s">
        <v>1353</v>
      </c>
      <c r="E240" s="58" t="s">
        <v>1353</v>
      </c>
      <c r="F240" s="58" t="s">
        <v>1353</v>
      </c>
      <c r="G240" s="58" t="s">
        <v>1353</v>
      </c>
      <c r="H240" s="58" t="s">
        <v>1353</v>
      </c>
    </row>
    <row r="241" spans="1:8" x14ac:dyDescent="0.2">
      <c r="A241" s="58">
        <v>91701</v>
      </c>
      <c r="B241" s="58">
        <v>8</v>
      </c>
      <c r="C241" s="58" t="s">
        <v>914</v>
      </c>
      <c r="D241" s="58" t="s">
        <v>1353</v>
      </c>
      <c r="E241" s="58" t="s">
        <v>1353</v>
      </c>
      <c r="F241" s="58" t="s">
        <v>1353</v>
      </c>
      <c r="G241" s="58" t="s">
        <v>1353</v>
      </c>
      <c r="H241" s="58" t="s">
        <v>1353</v>
      </c>
    </row>
    <row r="242" spans="1:8" x14ac:dyDescent="0.2">
      <c r="A242" s="58">
        <v>91784</v>
      </c>
      <c r="B242" s="58">
        <v>8</v>
      </c>
      <c r="C242" s="58" t="s">
        <v>914</v>
      </c>
      <c r="D242" s="58" t="s">
        <v>1353</v>
      </c>
      <c r="E242" s="58" t="s">
        <v>1353</v>
      </c>
      <c r="F242" s="58" t="s">
        <v>1353</v>
      </c>
      <c r="G242" s="58" t="s">
        <v>1353</v>
      </c>
      <c r="H242" s="58" t="s">
        <v>191</v>
      </c>
    </row>
    <row r="243" spans="1:8" x14ac:dyDescent="0.2">
      <c r="A243" s="58">
        <v>91709</v>
      </c>
      <c r="B243" s="58">
        <v>8</v>
      </c>
      <c r="C243" s="58" t="s">
        <v>914</v>
      </c>
      <c r="D243" s="58" t="s">
        <v>1353</v>
      </c>
      <c r="E243" s="58" t="s">
        <v>1353</v>
      </c>
      <c r="F243" s="58" t="s">
        <v>1353</v>
      </c>
      <c r="G243" s="58" t="s">
        <v>1353</v>
      </c>
      <c r="H243" s="58" t="s">
        <v>1353</v>
      </c>
    </row>
    <row r="244" spans="1:8" x14ac:dyDescent="0.2">
      <c r="A244" s="58">
        <v>91773</v>
      </c>
      <c r="B244" s="58">
        <v>8</v>
      </c>
      <c r="C244" s="58" t="s">
        <v>914</v>
      </c>
      <c r="D244" s="58" t="s">
        <v>1353</v>
      </c>
      <c r="E244" s="58" t="s">
        <v>1353</v>
      </c>
      <c r="F244" s="58" t="s">
        <v>1353</v>
      </c>
      <c r="G244" s="58" t="s">
        <v>1353</v>
      </c>
      <c r="H244" s="58" t="s">
        <v>1353</v>
      </c>
    </row>
    <row r="245" spans="1:8" x14ac:dyDescent="0.2">
      <c r="A245" s="58">
        <v>91750</v>
      </c>
      <c r="B245" s="58">
        <v>8</v>
      </c>
      <c r="C245" s="58" t="s">
        <v>914</v>
      </c>
      <c r="D245" s="58" t="s">
        <v>1353</v>
      </c>
      <c r="E245" s="58" t="s">
        <v>1353</v>
      </c>
      <c r="F245" s="58" t="s">
        <v>1353</v>
      </c>
      <c r="G245" s="58" t="s">
        <v>1353</v>
      </c>
      <c r="H245" s="58" t="s">
        <v>1353</v>
      </c>
    </row>
    <row r="246" spans="1:8" x14ac:dyDescent="0.2">
      <c r="A246" s="58">
        <v>9173</v>
      </c>
      <c r="B246" s="58">
        <v>8</v>
      </c>
      <c r="C246" s="58" t="s">
        <v>914</v>
      </c>
      <c r="D246" s="58" t="s">
        <v>1373</v>
      </c>
      <c r="E246" s="58" t="s">
        <v>1373</v>
      </c>
      <c r="F246" s="58" t="s">
        <v>1373</v>
      </c>
      <c r="G246" s="58" t="s">
        <v>1373</v>
      </c>
      <c r="H246" s="58" t="s">
        <v>1373</v>
      </c>
    </row>
    <row r="247" spans="1:8" x14ac:dyDescent="0.2">
      <c r="A247" s="58">
        <v>91765</v>
      </c>
      <c r="B247" s="58">
        <v>8</v>
      </c>
      <c r="C247" s="58" t="s">
        <v>914</v>
      </c>
      <c r="D247" s="58" t="s">
        <v>1353</v>
      </c>
      <c r="E247" s="58" t="s">
        <v>1353</v>
      </c>
      <c r="F247" s="58" t="s">
        <v>1353</v>
      </c>
      <c r="G247" s="58" t="s">
        <v>1353</v>
      </c>
      <c r="H247" s="58" t="s">
        <v>1353</v>
      </c>
    </row>
    <row r="248" spans="1:8" x14ac:dyDescent="0.2">
      <c r="A248" s="58">
        <v>91701</v>
      </c>
      <c r="B248" s="58">
        <v>8</v>
      </c>
      <c r="C248" s="58" t="s">
        <v>914</v>
      </c>
      <c r="D248" s="58" t="s">
        <v>1353</v>
      </c>
      <c r="E248" s="58" t="s">
        <v>1353</v>
      </c>
      <c r="F248" s="58" t="s">
        <v>1353</v>
      </c>
      <c r="G248" s="58" t="s">
        <v>1353</v>
      </c>
      <c r="H248" s="58" t="s">
        <v>1353</v>
      </c>
    </row>
    <row r="249" spans="1:8" x14ac:dyDescent="0.2">
      <c r="A249" s="58">
        <v>91762</v>
      </c>
      <c r="B249" s="58">
        <v>8</v>
      </c>
      <c r="C249" s="58" t="s">
        <v>914</v>
      </c>
      <c r="D249" s="58" t="s">
        <v>1353</v>
      </c>
      <c r="E249" s="58" t="s">
        <v>1353</v>
      </c>
      <c r="F249" s="58" t="s">
        <v>1353</v>
      </c>
      <c r="G249" s="58" t="s">
        <v>1353</v>
      </c>
      <c r="H249" s="58" t="s">
        <v>1353</v>
      </c>
    </row>
    <row r="250" spans="1:8" x14ac:dyDescent="0.2">
      <c r="A250" s="58">
        <v>91740</v>
      </c>
      <c r="B250" s="58">
        <v>8</v>
      </c>
      <c r="C250" s="58" t="s">
        <v>914</v>
      </c>
      <c r="D250" s="58" t="s">
        <v>1353</v>
      </c>
      <c r="E250" s="58" t="s">
        <v>1353</v>
      </c>
      <c r="F250" s="58" t="s">
        <v>1372</v>
      </c>
      <c r="G250" s="58" t="s">
        <v>1353</v>
      </c>
      <c r="H250" s="58" t="s">
        <v>1353</v>
      </c>
    </row>
    <row r="251" spans="1:8" x14ac:dyDescent="0.2">
      <c r="A251" s="58">
        <v>91765</v>
      </c>
      <c r="B251" s="58">
        <v>8</v>
      </c>
      <c r="C251" s="58" t="s">
        <v>914</v>
      </c>
      <c r="D251" s="58" t="s">
        <v>1353</v>
      </c>
      <c r="E251" s="58" t="s">
        <v>1353</v>
      </c>
      <c r="F251" s="58" t="s">
        <v>1353</v>
      </c>
      <c r="G251" s="58" t="s">
        <v>1353</v>
      </c>
      <c r="H251" s="58" t="s">
        <v>1353</v>
      </c>
    </row>
    <row r="252" spans="1:8" x14ac:dyDescent="0.2">
      <c r="A252" s="58">
        <v>91762</v>
      </c>
      <c r="B252" s="58">
        <v>8</v>
      </c>
      <c r="C252" s="58" t="s">
        <v>914</v>
      </c>
      <c r="D252" s="58" t="s">
        <v>1353</v>
      </c>
      <c r="E252" s="58" t="s">
        <v>1353</v>
      </c>
      <c r="F252" s="58" t="s">
        <v>1353</v>
      </c>
      <c r="G252" s="58" t="s">
        <v>1353</v>
      </c>
      <c r="H252" s="58" t="s">
        <v>1353</v>
      </c>
    </row>
    <row r="253" spans="1:8" x14ac:dyDescent="0.2">
      <c r="A253" s="58">
        <v>91764</v>
      </c>
      <c r="B253" s="58">
        <v>8</v>
      </c>
      <c r="C253" s="58" t="s">
        <v>914</v>
      </c>
      <c r="D253" s="58" t="s">
        <v>1353</v>
      </c>
      <c r="E253" s="58" t="s">
        <v>1353</v>
      </c>
      <c r="F253" s="58" t="s">
        <v>1353</v>
      </c>
      <c r="G253" s="58" t="s">
        <v>1353</v>
      </c>
      <c r="H253" s="58" t="s">
        <v>191</v>
      </c>
    </row>
    <row r="254" spans="1:8" x14ac:dyDescent="0.2">
      <c r="A254" s="58">
        <v>91730</v>
      </c>
      <c r="B254" s="58">
        <v>8</v>
      </c>
      <c r="C254" s="58" t="s">
        <v>914</v>
      </c>
      <c r="D254" s="58" t="s">
        <v>1353</v>
      </c>
      <c r="E254" s="58" t="s">
        <v>1353</v>
      </c>
      <c r="F254" s="58" t="s">
        <v>1353</v>
      </c>
      <c r="G254" s="58" t="s">
        <v>1353</v>
      </c>
      <c r="H254" s="58" t="s">
        <v>1353</v>
      </c>
    </row>
    <row r="255" spans="1:8" x14ac:dyDescent="0.2">
      <c r="A255" s="58">
        <v>91762</v>
      </c>
      <c r="B255" s="58">
        <v>8</v>
      </c>
      <c r="C255" s="58" t="s">
        <v>914</v>
      </c>
      <c r="D255" s="58" t="s">
        <v>1353</v>
      </c>
      <c r="E255" s="58" t="s">
        <v>1353</v>
      </c>
      <c r="F255" s="58" t="s">
        <v>1353</v>
      </c>
      <c r="G255" s="58" t="s">
        <v>1353</v>
      </c>
      <c r="H255" s="58" t="s">
        <v>1353</v>
      </c>
    </row>
    <row r="256" spans="1:8" x14ac:dyDescent="0.2">
      <c r="A256" s="58">
        <v>91701</v>
      </c>
      <c r="B256" s="58">
        <v>8</v>
      </c>
      <c r="C256" s="58" t="s">
        <v>914</v>
      </c>
      <c r="D256" s="58" t="s">
        <v>202</v>
      </c>
      <c r="E256" s="58" t="s">
        <v>202</v>
      </c>
      <c r="F256" s="58" t="s">
        <v>1355</v>
      </c>
      <c r="G256" s="58" t="s">
        <v>202</v>
      </c>
      <c r="H256" s="58" t="s">
        <v>1355</v>
      </c>
    </row>
    <row r="257" spans="1:8" x14ac:dyDescent="0.2">
      <c r="A257" s="58">
        <v>91730</v>
      </c>
      <c r="B257" s="58">
        <v>7.9</v>
      </c>
      <c r="C257" s="58" t="s">
        <v>914</v>
      </c>
      <c r="D257" s="58" t="s">
        <v>1353</v>
      </c>
      <c r="E257" s="58" t="s">
        <v>1353</v>
      </c>
      <c r="F257" s="58" t="s">
        <v>1353</v>
      </c>
      <c r="G257" s="58" t="s">
        <v>1353</v>
      </c>
      <c r="H257" s="58" t="s">
        <v>1353</v>
      </c>
    </row>
    <row r="258" spans="1:8" x14ac:dyDescent="0.2">
      <c r="A258" s="58">
        <v>91750</v>
      </c>
      <c r="B258" s="58">
        <v>7.5</v>
      </c>
      <c r="C258" s="58" t="s">
        <v>914</v>
      </c>
      <c r="D258" s="58" t="s">
        <v>1356</v>
      </c>
      <c r="E258" s="58" t="s">
        <v>1356</v>
      </c>
      <c r="F258" s="58" t="s">
        <v>1356</v>
      </c>
      <c r="G258" s="58" t="s">
        <v>1356</v>
      </c>
      <c r="H258" s="58" t="s">
        <v>1356</v>
      </c>
    </row>
    <row r="259" spans="1:8" x14ac:dyDescent="0.2">
      <c r="A259" s="58">
        <v>91730</v>
      </c>
      <c r="B259" s="58">
        <v>7.3</v>
      </c>
      <c r="C259" s="58" t="s">
        <v>914</v>
      </c>
      <c r="D259" s="58" t="s">
        <v>1353</v>
      </c>
      <c r="E259" s="58" t="s">
        <v>1353</v>
      </c>
      <c r="F259" s="58" t="s">
        <v>1353</v>
      </c>
      <c r="G259" s="58" t="s">
        <v>1353</v>
      </c>
      <c r="H259" s="58" t="s">
        <v>1353</v>
      </c>
    </row>
    <row r="260" spans="1:8" x14ac:dyDescent="0.2">
      <c r="A260" s="58" t="s">
        <v>1427</v>
      </c>
      <c r="B260" s="58">
        <v>7.2</v>
      </c>
      <c r="C260" s="58" t="s">
        <v>914</v>
      </c>
      <c r="D260" s="58" t="s">
        <v>195</v>
      </c>
      <c r="E260" s="58" t="s">
        <v>1353</v>
      </c>
      <c r="F260" s="58" t="s">
        <v>1353</v>
      </c>
      <c r="G260" s="58" t="s">
        <v>1353</v>
      </c>
      <c r="H260" s="58" t="s">
        <v>1353</v>
      </c>
    </row>
    <row r="261" spans="1:8" x14ac:dyDescent="0.2">
      <c r="A261" s="58">
        <v>92335</v>
      </c>
      <c r="B261" s="58">
        <v>7.2</v>
      </c>
      <c r="C261" s="58" t="s">
        <v>914</v>
      </c>
      <c r="D261" s="58" t="s">
        <v>1353</v>
      </c>
      <c r="E261" s="58" t="s">
        <v>1353</v>
      </c>
      <c r="F261" s="58" t="s">
        <v>1353</v>
      </c>
      <c r="G261" s="58" t="s">
        <v>1353</v>
      </c>
      <c r="H261" s="58" t="s">
        <v>1353</v>
      </c>
    </row>
    <row r="262" spans="1:8" x14ac:dyDescent="0.2">
      <c r="A262" s="58">
        <v>91784</v>
      </c>
      <c r="B262" s="58">
        <v>7</v>
      </c>
      <c r="C262" s="58" t="s">
        <v>914</v>
      </c>
      <c r="D262" s="58" t="s">
        <v>1353</v>
      </c>
      <c r="E262" s="58" t="s">
        <v>1353</v>
      </c>
      <c r="F262" s="58" t="s">
        <v>1353</v>
      </c>
      <c r="G262" s="58" t="s">
        <v>1353</v>
      </c>
      <c r="H262" s="58" t="s">
        <v>1353</v>
      </c>
    </row>
    <row r="263" spans="1:8" x14ac:dyDescent="0.2">
      <c r="A263" s="58">
        <v>91750</v>
      </c>
      <c r="B263" s="58">
        <v>7</v>
      </c>
      <c r="C263" s="58" t="s">
        <v>914</v>
      </c>
      <c r="D263" s="58" t="s">
        <v>1353</v>
      </c>
      <c r="E263" s="58" t="s">
        <v>1353</v>
      </c>
      <c r="F263" s="58" t="s">
        <v>1353</v>
      </c>
      <c r="G263" s="58" t="s">
        <v>1353</v>
      </c>
      <c r="H263" s="58" t="s">
        <v>1353</v>
      </c>
    </row>
    <row r="264" spans="1:8" x14ac:dyDescent="0.2">
      <c r="A264" s="58">
        <v>91768</v>
      </c>
      <c r="B264" s="58">
        <v>7</v>
      </c>
      <c r="C264" s="58" t="s">
        <v>914</v>
      </c>
      <c r="D264" s="58" t="s">
        <v>1353</v>
      </c>
      <c r="E264" s="58" t="s">
        <v>1353</v>
      </c>
      <c r="F264" s="58" t="s">
        <v>1353</v>
      </c>
      <c r="G264" s="58" t="s">
        <v>1353</v>
      </c>
      <c r="H264" s="58" t="s">
        <v>1353</v>
      </c>
    </row>
    <row r="265" spans="1:8" x14ac:dyDescent="0.2">
      <c r="A265" s="58">
        <v>91711</v>
      </c>
      <c r="B265" s="58">
        <v>7</v>
      </c>
      <c r="C265" s="58" t="s">
        <v>914</v>
      </c>
      <c r="D265" s="58" t="s">
        <v>1353</v>
      </c>
      <c r="E265" s="58" t="s">
        <v>1353</v>
      </c>
      <c r="F265" s="58" t="s">
        <v>1353</v>
      </c>
      <c r="G265" s="58" t="s">
        <v>1353</v>
      </c>
      <c r="H265" s="58" t="s">
        <v>1353</v>
      </c>
    </row>
    <row r="266" spans="1:8" x14ac:dyDescent="0.2">
      <c r="A266" s="58">
        <v>91730</v>
      </c>
      <c r="B266" s="58">
        <v>7</v>
      </c>
      <c r="C266" s="58" t="s">
        <v>914</v>
      </c>
      <c r="D266" s="58" t="s">
        <v>1353</v>
      </c>
      <c r="E266" s="58" t="s">
        <v>1353</v>
      </c>
      <c r="F266" s="58" t="s">
        <v>1353</v>
      </c>
      <c r="G266" s="58" t="s">
        <v>1353</v>
      </c>
      <c r="H266" s="58" t="s">
        <v>1353</v>
      </c>
    </row>
    <row r="267" spans="1:8" x14ac:dyDescent="0.2">
      <c r="A267" s="58" t="s">
        <v>1444</v>
      </c>
      <c r="B267" s="58">
        <v>7</v>
      </c>
      <c r="C267" s="58" t="s">
        <v>914</v>
      </c>
      <c r="D267" s="58" t="s">
        <v>1356</v>
      </c>
      <c r="E267" s="58" t="s">
        <v>1356</v>
      </c>
      <c r="F267" s="58" t="s">
        <v>191</v>
      </c>
      <c r="G267" s="58" t="s">
        <v>191</v>
      </c>
      <c r="H267" s="58" t="s">
        <v>191</v>
      </c>
    </row>
    <row r="268" spans="1:8" x14ac:dyDescent="0.2">
      <c r="A268" s="58">
        <v>91710</v>
      </c>
      <c r="B268" s="58">
        <v>7</v>
      </c>
      <c r="C268" s="58" t="s">
        <v>914</v>
      </c>
      <c r="D268" s="58" t="s">
        <v>1352</v>
      </c>
      <c r="E268" s="58" t="s">
        <v>1352</v>
      </c>
      <c r="F268" s="58" t="s">
        <v>1352</v>
      </c>
      <c r="G268" s="58" t="s">
        <v>1352</v>
      </c>
      <c r="H268" s="58" t="s">
        <v>1352</v>
      </c>
    </row>
    <row r="269" spans="1:8" x14ac:dyDescent="0.2">
      <c r="A269" s="58">
        <v>91711</v>
      </c>
      <c r="B269" s="58">
        <v>7</v>
      </c>
      <c r="C269" s="58" t="s">
        <v>914</v>
      </c>
      <c r="D269" s="58" t="s">
        <v>1353</v>
      </c>
      <c r="E269" s="58" t="s">
        <v>1353</v>
      </c>
      <c r="F269" s="58" t="s">
        <v>1353</v>
      </c>
      <c r="G269" s="58" t="s">
        <v>1353</v>
      </c>
      <c r="H269" s="58" t="s">
        <v>1353</v>
      </c>
    </row>
    <row r="270" spans="1:8" x14ac:dyDescent="0.2">
      <c r="A270" s="58">
        <v>91701</v>
      </c>
      <c r="B270" s="58">
        <v>7</v>
      </c>
      <c r="C270" s="58" t="s">
        <v>914</v>
      </c>
      <c r="D270" s="58" t="s">
        <v>1353</v>
      </c>
      <c r="E270" s="58" t="s">
        <v>202</v>
      </c>
      <c r="F270" s="58" t="s">
        <v>202</v>
      </c>
      <c r="G270" s="58" t="s">
        <v>1353</v>
      </c>
      <c r="H270" s="58" t="s">
        <v>1353</v>
      </c>
    </row>
    <row r="271" spans="1:8" x14ac:dyDescent="0.2">
      <c r="A271" s="58">
        <v>91730</v>
      </c>
      <c r="B271" s="58">
        <v>7</v>
      </c>
      <c r="C271" s="58" t="s">
        <v>914</v>
      </c>
      <c r="D271" s="58" t="s">
        <v>1353</v>
      </c>
      <c r="E271" s="58" t="s">
        <v>1353</v>
      </c>
      <c r="F271" s="58" t="s">
        <v>1353</v>
      </c>
      <c r="G271" s="58" t="s">
        <v>1353</v>
      </c>
      <c r="H271" s="58" t="s">
        <v>1353</v>
      </c>
    </row>
    <row r="272" spans="1:8" x14ac:dyDescent="0.2">
      <c r="A272" s="58">
        <v>91792</v>
      </c>
      <c r="B272" s="58">
        <v>7</v>
      </c>
      <c r="C272" s="58" t="s">
        <v>914</v>
      </c>
      <c r="D272" s="58" t="s">
        <v>1353</v>
      </c>
      <c r="E272" s="58" t="s">
        <v>1353</v>
      </c>
      <c r="F272" s="58" t="s">
        <v>1353</v>
      </c>
      <c r="G272" s="58" t="s">
        <v>191</v>
      </c>
      <c r="H272" s="58" t="s">
        <v>191</v>
      </c>
    </row>
    <row r="273" spans="1:8" x14ac:dyDescent="0.2">
      <c r="A273" s="58">
        <v>91784</v>
      </c>
      <c r="B273" s="58">
        <v>7</v>
      </c>
      <c r="C273" s="58" t="s">
        <v>914</v>
      </c>
      <c r="D273" s="58" t="s">
        <v>1353</v>
      </c>
      <c r="E273" s="58" t="s">
        <v>1353</v>
      </c>
      <c r="F273" s="58" t="s">
        <v>1353</v>
      </c>
      <c r="G273" s="58" t="s">
        <v>1353</v>
      </c>
      <c r="H273" s="58" t="s">
        <v>1353</v>
      </c>
    </row>
    <row r="274" spans="1:8" x14ac:dyDescent="0.2">
      <c r="A274" s="58">
        <v>91766</v>
      </c>
      <c r="B274" s="58">
        <v>7</v>
      </c>
      <c r="C274" s="58" t="s">
        <v>914</v>
      </c>
      <c r="D274" s="58" t="s">
        <v>1357</v>
      </c>
      <c r="E274" s="58" t="s">
        <v>1357</v>
      </c>
      <c r="F274" s="58" t="s">
        <v>1357</v>
      </c>
      <c r="G274" s="58" t="s">
        <v>1357</v>
      </c>
      <c r="H274" s="58" t="s">
        <v>1357</v>
      </c>
    </row>
    <row r="275" spans="1:8" x14ac:dyDescent="0.2">
      <c r="A275" s="58">
        <v>91786</v>
      </c>
      <c r="B275" s="58">
        <v>7</v>
      </c>
      <c r="C275" s="58" t="s">
        <v>914</v>
      </c>
      <c r="D275" s="58" t="s">
        <v>1353</v>
      </c>
      <c r="E275" s="58" t="s">
        <v>1353</v>
      </c>
      <c r="F275" s="58" t="s">
        <v>1353</v>
      </c>
      <c r="G275" s="58" t="s">
        <v>1353</v>
      </c>
      <c r="H275" s="58" t="s">
        <v>1353</v>
      </c>
    </row>
    <row r="276" spans="1:8" x14ac:dyDescent="0.2">
      <c r="A276" s="58">
        <v>91773</v>
      </c>
      <c r="B276" s="58">
        <v>6</v>
      </c>
      <c r="C276" s="58" t="s">
        <v>1390</v>
      </c>
      <c r="D276" s="58" t="s">
        <v>1353</v>
      </c>
      <c r="E276" s="58" t="s">
        <v>1353</v>
      </c>
      <c r="F276" s="58" t="s">
        <v>1353</v>
      </c>
      <c r="G276" s="58" t="s">
        <v>202</v>
      </c>
      <c r="H276" s="58" t="s">
        <v>202</v>
      </c>
    </row>
    <row r="277" spans="1:8" x14ac:dyDescent="0.2">
      <c r="A277" s="58">
        <v>91784</v>
      </c>
      <c r="B277" s="58">
        <v>6</v>
      </c>
      <c r="C277" s="58" t="s">
        <v>1390</v>
      </c>
      <c r="D277" s="58" t="s">
        <v>202</v>
      </c>
      <c r="E277" s="58" t="s">
        <v>202</v>
      </c>
      <c r="F277" s="58" t="s">
        <v>191</v>
      </c>
      <c r="G277" s="58" t="s">
        <v>1353</v>
      </c>
      <c r="H277" s="58" t="s">
        <v>202</v>
      </c>
    </row>
    <row r="278" spans="1:8" x14ac:dyDescent="0.2">
      <c r="A278" s="58">
        <v>91786</v>
      </c>
      <c r="B278" s="58">
        <v>6</v>
      </c>
      <c r="C278" s="58" t="s">
        <v>914</v>
      </c>
      <c r="D278" s="58" t="s">
        <v>1353</v>
      </c>
      <c r="E278" s="58" t="s">
        <v>1353</v>
      </c>
      <c r="F278" s="58" t="s">
        <v>1353</v>
      </c>
      <c r="G278" s="58" t="s">
        <v>1353</v>
      </c>
      <c r="H278" s="58" t="s">
        <v>1353</v>
      </c>
    </row>
    <row r="279" spans="1:8" x14ac:dyDescent="0.2">
      <c r="A279" s="58">
        <v>91767</v>
      </c>
      <c r="B279" s="58">
        <v>6</v>
      </c>
      <c r="C279" s="58" t="s">
        <v>914</v>
      </c>
      <c r="D279" s="58" t="s">
        <v>1371</v>
      </c>
      <c r="E279" s="58" t="s">
        <v>1371</v>
      </c>
      <c r="F279" s="58" t="s">
        <v>1371</v>
      </c>
      <c r="G279" s="58" t="s">
        <v>1371</v>
      </c>
      <c r="H279" s="58" t="s">
        <v>202</v>
      </c>
    </row>
    <row r="280" spans="1:8" x14ac:dyDescent="0.2">
      <c r="A280" s="58">
        <v>91767</v>
      </c>
      <c r="B280" s="58">
        <v>6</v>
      </c>
      <c r="C280" s="58" t="s">
        <v>914</v>
      </c>
      <c r="D280" s="58" t="s">
        <v>1371</v>
      </c>
      <c r="E280" s="58" t="s">
        <v>1371</v>
      </c>
      <c r="F280" s="58" t="s">
        <v>1371</v>
      </c>
      <c r="G280" s="58" t="s">
        <v>1371</v>
      </c>
      <c r="H280" s="58" t="s">
        <v>202</v>
      </c>
    </row>
    <row r="281" spans="1:8" x14ac:dyDescent="0.2">
      <c r="A281" s="58">
        <v>91766</v>
      </c>
      <c r="B281" s="58">
        <v>6</v>
      </c>
      <c r="C281" s="58" t="s">
        <v>914</v>
      </c>
      <c r="D281" s="58" t="s">
        <v>1352</v>
      </c>
      <c r="E281" s="58" t="s">
        <v>1352</v>
      </c>
      <c r="F281" s="58" t="s">
        <v>1352</v>
      </c>
      <c r="G281" s="58" t="s">
        <v>1352</v>
      </c>
      <c r="H281" s="58" t="s">
        <v>1352</v>
      </c>
    </row>
    <row r="282" spans="1:8" x14ac:dyDescent="0.2">
      <c r="A282" s="58">
        <v>91711</v>
      </c>
      <c r="B282" s="58">
        <v>6</v>
      </c>
      <c r="C282" s="58" t="s">
        <v>914</v>
      </c>
      <c r="D282" s="58" t="s">
        <v>1353</v>
      </c>
      <c r="E282" s="58" t="s">
        <v>1353</v>
      </c>
      <c r="F282" s="58" t="s">
        <v>1353</v>
      </c>
      <c r="G282" s="58" t="s">
        <v>1353</v>
      </c>
      <c r="H282" s="58" t="s">
        <v>202</v>
      </c>
    </row>
    <row r="283" spans="1:8" x14ac:dyDescent="0.2">
      <c r="A283" s="58">
        <v>91764</v>
      </c>
      <c r="B283" s="58">
        <v>6</v>
      </c>
      <c r="C283" s="58" t="s">
        <v>914</v>
      </c>
      <c r="D283" s="58" t="s">
        <v>1353</v>
      </c>
      <c r="E283" s="58" t="s">
        <v>1353</v>
      </c>
      <c r="F283" s="58" t="s">
        <v>1353</v>
      </c>
      <c r="G283" s="58" t="s">
        <v>1353</v>
      </c>
      <c r="H283" s="58" t="s">
        <v>1353</v>
      </c>
    </row>
    <row r="284" spans="1:8" x14ac:dyDescent="0.2">
      <c r="A284" s="58">
        <v>91784</v>
      </c>
      <c r="B284" s="58">
        <v>6</v>
      </c>
      <c r="C284" s="58" t="s">
        <v>914</v>
      </c>
      <c r="D284" s="58" t="s">
        <v>1352</v>
      </c>
      <c r="E284" s="58" t="s">
        <v>1352</v>
      </c>
      <c r="F284" s="58" t="s">
        <v>1352</v>
      </c>
      <c r="G284" s="58" t="s">
        <v>1352</v>
      </c>
      <c r="H284" s="58" t="s">
        <v>1352</v>
      </c>
    </row>
    <row r="285" spans="1:8" x14ac:dyDescent="0.2">
      <c r="A285" s="58">
        <v>91784</v>
      </c>
      <c r="B285" s="58">
        <v>6</v>
      </c>
      <c r="C285" s="58" t="s">
        <v>914</v>
      </c>
      <c r="D285" s="58" t="s">
        <v>1353</v>
      </c>
      <c r="E285" s="58" t="s">
        <v>1353</v>
      </c>
      <c r="F285" s="58" t="s">
        <v>1353</v>
      </c>
      <c r="G285" s="58" t="s">
        <v>1353</v>
      </c>
      <c r="H285" s="58" t="s">
        <v>191</v>
      </c>
    </row>
    <row r="286" spans="1:8" x14ac:dyDescent="0.2">
      <c r="A286" s="58">
        <v>91750</v>
      </c>
      <c r="B286" s="58">
        <v>6</v>
      </c>
      <c r="C286" s="58" t="s">
        <v>914</v>
      </c>
      <c r="D286" s="58" t="s">
        <v>1353</v>
      </c>
      <c r="E286" s="58" t="s">
        <v>1353</v>
      </c>
      <c r="F286" s="58" t="s">
        <v>1353</v>
      </c>
      <c r="G286" s="58" t="s">
        <v>1353</v>
      </c>
      <c r="H286" s="58" t="s">
        <v>1353</v>
      </c>
    </row>
    <row r="287" spans="1:8" x14ac:dyDescent="0.2">
      <c r="A287" s="58">
        <v>91784</v>
      </c>
      <c r="B287" s="58">
        <v>6</v>
      </c>
      <c r="C287" s="58" t="s">
        <v>914</v>
      </c>
      <c r="D287" s="58" t="s">
        <v>1353</v>
      </c>
      <c r="E287" s="58" t="s">
        <v>1353</v>
      </c>
      <c r="F287" s="58" t="s">
        <v>1353</v>
      </c>
      <c r="G287" s="58" t="s">
        <v>1353</v>
      </c>
      <c r="H287" s="58" t="s">
        <v>1353</v>
      </c>
    </row>
    <row r="288" spans="1:8" x14ac:dyDescent="0.2">
      <c r="A288" s="58">
        <v>91762</v>
      </c>
      <c r="B288" s="58">
        <v>5.3</v>
      </c>
      <c r="C288" s="58" t="s">
        <v>914</v>
      </c>
      <c r="D288" s="58" t="s">
        <v>1353</v>
      </c>
      <c r="E288" s="58" t="s">
        <v>1353</v>
      </c>
      <c r="F288" s="58" t="s">
        <v>1353</v>
      </c>
      <c r="G288" s="58" t="s">
        <v>1353</v>
      </c>
      <c r="H288" s="58" t="s">
        <v>1353</v>
      </c>
    </row>
    <row r="289" spans="1:8" x14ac:dyDescent="0.2">
      <c r="A289" s="58">
        <v>91784</v>
      </c>
      <c r="B289" s="58">
        <v>5.0999999999999996</v>
      </c>
      <c r="C289" s="58" t="s">
        <v>914</v>
      </c>
      <c r="D289" s="58" t="s">
        <v>1353</v>
      </c>
      <c r="E289" s="58" t="s">
        <v>1353</v>
      </c>
      <c r="F289" s="58" t="s">
        <v>1353</v>
      </c>
      <c r="G289" s="58" t="s">
        <v>1353</v>
      </c>
      <c r="H289" s="58" t="s">
        <v>1353</v>
      </c>
    </row>
    <row r="290" spans="1:8" x14ac:dyDescent="0.2">
      <c r="A290" s="58">
        <v>91711</v>
      </c>
      <c r="B290" s="58">
        <v>5</v>
      </c>
      <c r="C290" s="58" t="s">
        <v>1390</v>
      </c>
      <c r="D290" s="58" t="s">
        <v>191</v>
      </c>
      <c r="E290" s="58" t="s">
        <v>191</v>
      </c>
      <c r="F290" s="58" t="s">
        <v>191</v>
      </c>
      <c r="G290" s="58" t="s">
        <v>191</v>
      </c>
      <c r="H290" s="58" t="s">
        <v>1353</v>
      </c>
    </row>
    <row r="291" spans="1:8" x14ac:dyDescent="0.2">
      <c r="A291" s="58">
        <v>91786</v>
      </c>
      <c r="B291" s="58">
        <v>5</v>
      </c>
      <c r="C291" s="58" t="s">
        <v>1390</v>
      </c>
      <c r="D291" s="58" t="s">
        <v>202</v>
      </c>
      <c r="E291" s="58" t="s">
        <v>202</v>
      </c>
      <c r="F291" s="58" t="s">
        <v>202</v>
      </c>
      <c r="G291" s="58" t="s">
        <v>1367</v>
      </c>
      <c r="H291" s="58" t="s">
        <v>1367</v>
      </c>
    </row>
    <row r="292" spans="1:8" x14ac:dyDescent="0.2">
      <c r="A292" s="58">
        <v>91711</v>
      </c>
      <c r="B292" s="58">
        <v>5</v>
      </c>
      <c r="C292" s="58" t="s">
        <v>1390</v>
      </c>
      <c r="D292" s="58" t="s">
        <v>1353</v>
      </c>
      <c r="E292" s="58" t="s">
        <v>1353</v>
      </c>
      <c r="F292" s="58" t="s">
        <v>1353</v>
      </c>
      <c r="G292" s="58" t="s">
        <v>1353</v>
      </c>
      <c r="H292" s="58" t="s">
        <v>1353</v>
      </c>
    </row>
    <row r="293" spans="1:8" x14ac:dyDescent="0.2">
      <c r="A293" s="58">
        <v>91786</v>
      </c>
      <c r="B293" s="58">
        <v>5</v>
      </c>
      <c r="C293" s="58" t="s">
        <v>1390</v>
      </c>
      <c r="D293" s="58" t="s">
        <v>1353</v>
      </c>
      <c r="E293" s="58" t="s">
        <v>1353</v>
      </c>
      <c r="F293" s="58" t="s">
        <v>1353</v>
      </c>
      <c r="G293" s="58" t="s">
        <v>1353</v>
      </c>
      <c r="H293" s="58" t="s">
        <v>1353</v>
      </c>
    </row>
    <row r="294" spans="1:8" x14ac:dyDescent="0.2">
      <c r="A294" s="58">
        <v>91784</v>
      </c>
      <c r="B294" s="58">
        <v>5</v>
      </c>
      <c r="C294" s="58" t="s">
        <v>1390</v>
      </c>
      <c r="D294" s="58" t="s">
        <v>1353</v>
      </c>
      <c r="E294" s="58" t="s">
        <v>1353</v>
      </c>
      <c r="F294" s="58" t="s">
        <v>1353</v>
      </c>
      <c r="G294" s="58" t="s">
        <v>1353</v>
      </c>
      <c r="H294" s="58" t="s">
        <v>1353</v>
      </c>
    </row>
    <row r="295" spans="1:8" x14ac:dyDescent="0.2">
      <c r="A295" s="58">
        <v>91766</v>
      </c>
      <c r="B295" s="58">
        <v>5</v>
      </c>
      <c r="C295" s="58" t="s">
        <v>914</v>
      </c>
      <c r="D295" s="58" t="s">
        <v>1353</v>
      </c>
      <c r="E295" s="58" t="s">
        <v>1353</v>
      </c>
      <c r="F295" s="58" t="s">
        <v>1353</v>
      </c>
      <c r="G295" s="58" t="s">
        <v>1353</v>
      </c>
      <c r="H295" s="58" t="s">
        <v>1353</v>
      </c>
    </row>
    <row r="296" spans="1:8" x14ac:dyDescent="0.2">
      <c r="A296" s="58">
        <v>91764</v>
      </c>
      <c r="B296" s="58">
        <v>5</v>
      </c>
      <c r="C296" s="58" t="s">
        <v>914</v>
      </c>
      <c r="D296" s="58" t="s">
        <v>1353</v>
      </c>
      <c r="E296" s="58" t="s">
        <v>1353</v>
      </c>
      <c r="F296" s="58" t="s">
        <v>1353</v>
      </c>
      <c r="G296" s="58" t="s">
        <v>1353</v>
      </c>
      <c r="H296" s="58" t="s">
        <v>1353</v>
      </c>
    </row>
    <row r="297" spans="1:8" x14ac:dyDescent="0.2">
      <c r="A297" s="58">
        <v>91750</v>
      </c>
      <c r="B297" s="58">
        <v>5</v>
      </c>
      <c r="C297" s="58" t="s">
        <v>914</v>
      </c>
      <c r="D297" s="58" t="s">
        <v>1353</v>
      </c>
      <c r="E297" s="58" t="s">
        <v>1353</v>
      </c>
      <c r="F297" s="58" t="s">
        <v>1353</v>
      </c>
      <c r="G297" s="58" t="s">
        <v>1353</v>
      </c>
      <c r="H297" s="58" t="s">
        <v>1353</v>
      </c>
    </row>
    <row r="298" spans="1:8" x14ac:dyDescent="0.2">
      <c r="A298" s="58">
        <v>91786</v>
      </c>
      <c r="B298" s="58">
        <v>5</v>
      </c>
      <c r="C298" s="58" t="s">
        <v>914</v>
      </c>
      <c r="D298" s="58" t="s">
        <v>1353</v>
      </c>
      <c r="E298" s="58" t="s">
        <v>1353</v>
      </c>
      <c r="F298" s="58" t="s">
        <v>1353</v>
      </c>
      <c r="G298" s="58" t="s">
        <v>1353</v>
      </c>
      <c r="H298" s="58" t="s">
        <v>1353</v>
      </c>
    </row>
    <row r="299" spans="1:8" x14ac:dyDescent="0.2">
      <c r="A299" s="58">
        <v>91711</v>
      </c>
      <c r="B299" s="58">
        <v>5</v>
      </c>
      <c r="C299" s="58" t="s">
        <v>914</v>
      </c>
      <c r="D299" s="58" t="s">
        <v>1353</v>
      </c>
      <c r="E299" s="58" t="s">
        <v>1353</v>
      </c>
      <c r="F299" s="58" t="s">
        <v>1353</v>
      </c>
      <c r="G299" s="58" t="s">
        <v>1353</v>
      </c>
      <c r="H299" s="58" t="s">
        <v>1353</v>
      </c>
    </row>
    <row r="300" spans="1:8" x14ac:dyDescent="0.2">
      <c r="A300" s="58">
        <v>91768</v>
      </c>
      <c r="B300" s="58">
        <v>5</v>
      </c>
      <c r="C300" s="58" t="s">
        <v>914</v>
      </c>
      <c r="D300" s="58" t="s">
        <v>1353</v>
      </c>
      <c r="E300" s="58" t="s">
        <v>1353</v>
      </c>
      <c r="F300" s="58" t="s">
        <v>1353</v>
      </c>
      <c r="G300" s="58" t="s">
        <v>1353</v>
      </c>
      <c r="H300" s="58" t="s">
        <v>1353</v>
      </c>
    </row>
    <row r="301" spans="1:8" x14ac:dyDescent="0.2">
      <c r="A301" s="58">
        <v>91763</v>
      </c>
      <c r="B301" s="58">
        <v>5</v>
      </c>
      <c r="C301" s="58" t="s">
        <v>914</v>
      </c>
      <c r="D301" s="58" t="s">
        <v>1353</v>
      </c>
      <c r="E301" s="58" t="s">
        <v>1353</v>
      </c>
      <c r="F301" s="58" t="s">
        <v>1353</v>
      </c>
      <c r="G301" s="58" t="s">
        <v>1353</v>
      </c>
      <c r="H301" s="58" t="s">
        <v>1353</v>
      </c>
    </row>
    <row r="302" spans="1:8" x14ac:dyDescent="0.2">
      <c r="A302" s="58">
        <v>91791</v>
      </c>
      <c r="B302" s="58">
        <v>5</v>
      </c>
      <c r="C302" s="58" t="s">
        <v>914</v>
      </c>
      <c r="D302" s="58" t="s">
        <v>1353</v>
      </c>
      <c r="E302" s="58" t="s">
        <v>1353</v>
      </c>
      <c r="F302" s="58" t="s">
        <v>1353</v>
      </c>
      <c r="G302" s="58" t="s">
        <v>1353</v>
      </c>
      <c r="H302" s="58" t="s">
        <v>1353</v>
      </c>
    </row>
    <row r="303" spans="1:8" x14ac:dyDescent="0.2">
      <c r="A303" s="58">
        <v>91763</v>
      </c>
      <c r="B303" s="58">
        <v>5</v>
      </c>
      <c r="C303" s="58" t="s">
        <v>914</v>
      </c>
      <c r="D303" s="58" t="s">
        <v>1353</v>
      </c>
      <c r="E303" s="58" t="s">
        <v>1353</v>
      </c>
      <c r="F303" s="58" t="s">
        <v>1353</v>
      </c>
      <c r="G303" s="58" t="s">
        <v>1353</v>
      </c>
      <c r="H303" s="58" t="s">
        <v>202</v>
      </c>
    </row>
    <row r="304" spans="1:8" x14ac:dyDescent="0.2">
      <c r="A304" s="58">
        <v>92563</v>
      </c>
      <c r="B304" s="58">
        <v>5</v>
      </c>
      <c r="C304" s="58" t="s">
        <v>914</v>
      </c>
      <c r="D304" s="58" t="s">
        <v>1353</v>
      </c>
      <c r="E304" s="58" t="s">
        <v>1353</v>
      </c>
      <c r="F304" s="58" t="s">
        <v>1353</v>
      </c>
      <c r="G304" s="58" t="s">
        <v>1353</v>
      </c>
      <c r="H304" s="58" t="s">
        <v>202</v>
      </c>
    </row>
    <row r="305" spans="1:8" x14ac:dyDescent="0.2">
      <c r="A305" s="58">
        <v>91750</v>
      </c>
      <c r="B305" s="58">
        <v>5</v>
      </c>
      <c r="C305" s="58" t="s">
        <v>914</v>
      </c>
      <c r="D305" s="58" t="s">
        <v>1353</v>
      </c>
      <c r="E305" s="58" t="s">
        <v>1353</v>
      </c>
      <c r="F305" s="58" t="s">
        <v>1353</v>
      </c>
      <c r="G305" s="58" t="s">
        <v>1353</v>
      </c>
      <c r="H305" s="58" t="s">
        <v>1353</v>
      </c>
    </row>
    <row r="306" spans="1:8" x14ac:dyDescent="0.2">
      <c r="A306" s="58">
        <v>91730</v>
      </c>
      <c r="B306" s="58">
        <v>5</v>
      </c>
      <c r="C306" s="58" t="s">
        <v>914</v>
      </c>
      <c r="D306" s="58" t="s">
        <v>1353</v>
      </c>
      <c r="E306" s="58" t="s">
        <v>1353</v>
      </c>
      <c r="F306" s="58" t="s">
        <v>1353</v>
      </c>
      <c r="G306" s="58" t="s">
        <v>1353</v>
      </c>
      <c r="H306" s="58" t="s">
        <v>202</v>
      </c>
    </row>
    <row r="307" spans="1:8" x14ac:dyDescent="0.2">
      <c r="A307" s="58">
        <v>91762</v>
      </c>
      <c r="B307" s="58">
        <v>5</v>
      </c>
      <c r="C307" s="58" t="s">
        <v>914</v>
      </c>
      <c r="D307" s="58" t="s">
        <v>1353</v>
      </c>
      <c r="E307" s="58" t="s">
        <v>1353</v>
      </c>
      <c r="F307" s="58" t="s">
        <v>1353</v>
      </c>
      <c r="G307" s="58" t="s">
        <v>202</v>
      </c>
      <c r="H307" s="58" t="s">
        <v>202</v>
      </c>
    </row>
    <row r="308" spans="1:8" x14ac:dyDescent="0.2">
      <c r="A308" s="58">
        <v>91730</v>
      </c>
      <c r="B308" s="58">
        <v>5</v>
      </c>
      <c r="C308" s="58" t="s">
        <v>914</v>
      </c>
      <c r="D308" s="58" t="s">
        <v>1353</v>
      </c>
      <c r="E308" s="58" t="s">
        <v>1353</v>
      </c>
      <c r="F308" s="58" t="s">
        <v>1353</v>
      </c>
      <c r="G308" s="58" t="s">
        <v>1353</v>
      </c>
      <c r="H308" s="58" t="s">
        <v>202</v>
      </c>
    </row>
    <row r="309" spans="1:8" x14ac:dyDescent="0.2">
      <c r="A309" s="58">
        <v>91784</v>
      </c>
      <c r="B309" s="58">
        <v>5</v>
      </c>
      <c r="C309" s="58" t="s">
        <v>914</v>
      </c>
      <c r="D309" s="58" t="s">
        <v>1353</v>
      </c>
      <c r="E309" s="58" t="s">
        <v>1353</v>
      </c>
      <c r="F309" s="58" t="s">
        <v>1353</v>
      </c>
      <c r="G309" s="58" t="s">
        <v>1353</v>
      </c>
      <c r="H309" s="58" t="s">
        <v>1353</v>
      </c>
    </row>
    <row r="310" spans="1:8" x14ac:dyDescent="0.2">
      <c r="A310" s="58">
        <v>91762</v>
      </c>
      <c r="B310" s="58">
        <v>5</v>
      </c>
      <c r="C310" s="58" t="s">
        <v>914</v>
      </c>
      <c r="D310" s="58" t="s">
        <v>1353</v>
      </c>
      <c r="E310" s="58" t="s">
        <v>1353</v>
      </c>
      <c r="F310" s="58" t="s">
        <v>1353</v>
      </c>
      <c r="G310" s="58" t="s">
        <v>1353</v>
      </c>
      <c r="H310" s="58" t="s">
        <v>1353</v>
      </c>
    </row>
    <row r="311" spans="1:8" x14ac:dyDescent="0.2">
      <c r="A311" s="58">
        <v>91786</v>
      </c>
      <c r="B311" s="58">
        <v>5</v>
      </c>
      <c r="C311" s="58" t="s">
        <v>914</v>
      </c>
      <c r="D311" s="58" t="s">
        <v>1353</v>
      </c>
      <c r="E311" s="58" t="s">
        <v>1353</v>
      </c>
      <c r="F311" s="58" t="s">
        <v>1353</v>
      </c>
      <c r="G311" s="58" t="s">
        <v>1353</v>
      </c>
      <c r="H311" s="58" t="s">
        <v>1353</v>
      </c>
    </row>
    <row r="312" spans="1:8" x14ac:dyDescent="0.2">
      <c r="A312" s="58">
        <v>91786</v>
      </c>
      <c r="B312" s="58">
        <v>5</v>
      </c>
      <c r="C312" s="58" t="s">
        <v>914</v>
      </c>
      <c r="D312" s="58" t="s">
        <v>1353</v>
      </c>
      <c r="E312" s="58" t="s">
        <v>1353</v>
      </c>
      <c r="F312" s="58" t="s">
        <v>1353</v>
      </c>
      <c r="G312" s="58" t="s">
        <v>1353</v>
      </c>
      <c r="H312" s="58" t="s">
        <v>191</v>
      </c>
    </row>
    <row r="313" spans="1:8" x14ac:dyDescent="0.2">
      <c r="A313" s="58" t="s">
        <v>1445</v>
      </c>
      <c r="B313" s="58">
        <v>5</v>
      </c>
      <c r="C313" s="58" t="s">
        <v>914</v>
      </c>
      <c r="D313" s="58" t="s">
        <v>1355</v>
      </c>
      <c r="E313" s="58" t="s">
        <v>1373</v>
      </c>
      <c r="F313" s="58" t="s">
        <v>1356</v>
      </c>
      <c r="G313" s="58" t="s">
        <v>1355</v>
      </c>
      <c r="H313" s="58" t="s">
        <v>1373</v>
      </c>
    </row>
    <row r="314" spans="1:8" x14ac:dyDescent="0.2">
      <c r="A314" s="58">
        <v>91786</v>
      </c>
      <c r="B314" s="58">
        <v>5</v>
      </c>
      <c r="C314" s="58" t="s">
        <v>914</v>
      </c>
      <c r="D314" s="58" t="s">
        <v>1352</v>
      </c>
      <c r="E314" s="58" t="s">
        <v>1352</v>
      </c>
      <c r="F314" s="58" t="s">
        <v>1352</v>
      </c>
      <c r="G314" s="58" t="s">
        <v>1352</v>
      </c>
      <c r="H314" s="58" t="s">
        <v>1352</v>
      </c>
    </row>
    <row r="315" spans="1:8" x14ac:dyDescent="0.2">
      <c r="A315" s="58">
        <v>91750</v>
      </c>
      <c r="B315" s="58">
        <v>5</v>
      </c>
      <c r="C315" s="58" t="s">
        <v>914</v>
      </c>
      <c r="D315" s="58" t="s">
        <v>1352</v>
      </c>
      <c r="E315" s="58" t="s">
        <v>1352</v>
      </c>
      <c r="F315" s="58" t="s">
        <v>1352</v>
      </c>
      <c r="G315" s="58" t="s">
        <v>1352</v>
      </c>
      <c r="H315" s="58" t="s">
        <v>1352</v>
      </c>
    </row>
    <row r="316" spans="1:8" x14ac:dyDescent="0.2">
      <c r="A316" s="58" t="s">
        <v>1428</v>
      </c>
      <c r="B316" s="58">
        <v>5</v>
      </c>
      <c r="C316" s="58" t="s">
        <v>914</v>
      </c>
      <c r="D316" s="58" t="s">
        <v>1353</v>
      </c>
      <c r="E316" s="58" t="s">
        <v>1353</v>
      </c>
      <c r="F316" s="58" t="s">
        <v>1352</v>
      </c>
      <c r="G316" s="58" t="s">
        <v>1353</v>
      </c>
      <c r="H316" s="58" t="s">
        <v>1353</v>
      </c>
    </row>
    <row r="317" spans="1:8" x14ac:dyDescent="0.2">
      <c r="A317" s="58">
        <v>91764</v>
      </c>
      <c r="B317" s="58">
        <v>5</v>
      </c>
      <c r="C317" s="58" t="s">
        <v>914</v>
      </c>
      <c r="D317" s="58" t="s">
        <v>1353</v>
      </c>
      <c r="E317" s="58" t="s">
        <v>1353</v>
      </c>
      <c r="F317" s="58" t="s">
        <v>1353</v>
      </c>
      <c r="G317" s="58" t="s">
        <v>1353</v>
      </c>
      <c r="H317" s="58" t="s">
        <v>1353</v>
      </c>
    </row>
    <row r="318" spans="1:8" x14ac:dyDescent="0.2">
      <c r="A318" s="58">
        <v>91763</v>
      </c>
      <c r="B318" s="58">
        <v>5</v>
      </c>
      <c r="C318" s="58" t="s">
        <v>914</v>
      </c>
      <c r="D318" s="58" t="s">
        <v>1356</v>
      </c>
      <c r="E318" s="58" t="s">
        <v>1356</v>
      </c>
      <c r="F318" s="58" t="s">
        <v>1356</v>
      </c>
      <c r="G318" s="58" t="s">
        <v>1356</v>
      </c>
      <c r="H318" s="58" t="s">
        <v>1356</v>
      </c>
    </row>
    <row r="319" spans="1:8" x14ac:dyDescent="0.2">
      <c r="A319" s="58">
        <v>91784</v>
      </c>
      <c r="B319" s="58">
        <v>5</v>
      </c>
      <c r="C319" s="58" t="s">
        <v>914</v>
      </c>
      <c r="D319" s="58" t="s">
        <v>1353</v>
      </c>
      <c r="E319" s="58" t="s">
        <v>1353</v>
      </c>
      <c r="F319" s="58" t="s">
        <v>1353</v>
      </c>
      <c r="G319" s="58" t="s">
        <v>1353</v>
      </c>
      <c r="H319" s="58" t="s">
        <v>1353</v>
      </c>
    </row>
    <row r="320" spans="1:8" x14ac:dyDescent="0.2">
      <c r="A320" s="58">
        <v>91786</v>
      </c>
      <c r="B320" s="58">
        <v>5</v>
      </c>
      <c r="C320" s="58" t="s">
        <v>914</v>
      </c>
      <c r="D320" s="58" t="s">
        <v>1353</v>
      </c>
      <c r="E320" s="58" t="s">
        <v>1353</v>
      </c>
      <c r="F320" s="58" t="s">
        <v>1353</v>
      </c>
      <c r="G320" s="58" t="s">
        <v>1353</v>
      </c>
      <c r="H320" s="58" t="s">
        <v>1353</v>
      </c>
    </row>
    <row r="321" spans="1:8" x14ac:dyDescent="0.2">
      <c r="A321" s="58">
        <v>91784</v>
      </c>
      <c r="B321" s="58">
        <v>4.7</v>
      </c>
      <c r="C321" s="58" t="s">
        <v>914</v>
      </c>
      <c r="D321" s="58" t="s">
        <v>1358</v>
      </c>
      <c r="E321" s="58" t="s">
        <v>1358</v>
      </c>
      <c r="F321" s="58" t="s">
        <v>1358</v>
      </c>
      <c r="G321" s="58" t="s">
        <v>1358</v>
      </c>
      <c r="H321" s="58" t="s">
        <v>1358</v>
      </c>
    </row>
    <row r="322" spans="1:8" x14ac:dyDescent="0.2">
      <c r="A322" s="58">
        <v>91784</v>
      </c>
      <c r="B322" s="58">
        <v>4.5999999999999996</v>
      </c>
      <c r="C322" s="58" t="s">
        <v>914</v>
      </c>
      <c r="D322" s="58" t="s">
        <v>1353</v>
      </c>
      <c r="E322" s="58" t="s">
        <v>1353</v>
      </c>
      <c r="F322" s="58" t="s">
        <v>195</v>
      </c>
      <c r="G322" s="58" t="s">
        <v>1353</v>
      </c>
      <c r="H322" s="58" t="s">
        <v>1353</v>
      </c>
    </row>
    <row r="323" spans="1:8" x14ac:dyDescent="0.2">
      <c r="A323" s="58">
        <v>91786</v>
      </c>
      <c r="B323" s="58">
        <v>4.5</v>
      </c>
      <c r="C323" s="58" t="s">
        <v>914</v>
      </c>
      <c r="D323" s="58" t="s">
        <v>1373</v>
      </c>
      <c r="E323" s="58" t="s">
        <v>1373</v>
      </c>
      <c r="F323" s="58" t="s">
        <v>1373</v>
      </c>
      <c r="G323" s="58" t="s">
        <v>1352</v>
      </c>
      <c r="H323" s="58" t="s">
        <v>1352</v>
      </c>
    </row>
    <row r="324" spans="1:8" x14ac:dyDescent="0.2">
      <c r="A324" s="58">
        <v>91762</v>
      </c>
      <c r="B324" s="58">
        <v>4.4000000000000004</v>
      </c>
      <c r="C324" s="58" t="s">
        <v>914</v>
      </c>
      <c r="D324" s="58" t="s">
        <v>1353</v>
      </c>
      <c r="E324" s="58" t="s">
        <v>1353</v>
      </c>
      <c r="F324" s="58" t="s">
        <v>1353</v>
      </c>
      <c r="G324" s="58" t="s">
        <v>1353</v>
      </c>
      <c r="H324" s="58" t="s">
        <v>1353</v>
      </c>
    </row>
    <row r="325" spans="1:8" x14ac:dyDescent="0.2">
      <c r="A325" s="58">
        <v>91762</v>
      </c>
      <c r="B325" s="58">
        <v>4</v>
      </c>
      <c r="C325" s="58" t="s">
        <v>914</v>
      </c>
      <c r="D325" s="58" t="s">
        <v>1353</v>
      </c>
      <c r="E325" s="58" t="s">
        <v>1353</v>
      </c>
      <c r="F325" s="58" t="s">
        <v>1353</v>
      </c>
      <c r="G325" s="58" t="s">
        <v>1353</v>
      </c>
      <c r="H325" s="58" t="s">
        <v>1353</v>
      </c>
    </row>
    <row r="326" spans="1:8" x14ac:dyDescent="0.2">
      <c r="A326" s="58">
        <v>91768</v>
      </c>
      <c r="B326" s="58">
        <v>4</v>
      </c>
      <c r="C326" s="58" t="s">
        <v>914</v>
      </c>
      <c r="D326" s="58" t="s">
        <v>1353</v>
      </c>
      <c r="E326" s="58" t="s">
        <v>1353</v>
      </c>
      <c r="F326" s="58" t="s">
        <v>1353</v>
      </c>
      <c r="G326" s="58" t="s">
        <v>1353</v>
      </c>
      <c r="H326" s="58" t="s">
        <v>1353</v>
      </c>
    </row>
    <row r="327" spans="1:8" x14ac:dyDescent="0.2">
      <c r="A327" s="58">
        <v>91786</v>
      </c>
      <c r="B327" s="58">
        <v>4</v>
      </c>
      <c r="C327" s="58" t="s">
        <v>914</v>
      </c>
      <c r="D327" s="58" t="s">
        <v>1353</v>
      </c>
      <c r="E327" s="58" t="s">
        <v>1353</v>
      </c>
      <c r="F327" s="58" t="s">
        <v>1353</v>
      </c>
      <c r="G327" s="58" t="s">
        <v>191</v>
      </c>
      <c r="H327" s="58" t="s">
        <v>1353</v>
      </c>
    </row>
    <row r="328" spans="1:8" x14ac:dyDescent="0.2">
      <c r="A328" s="58">
        <v>91786</v>
      </c>
      <c r="B328" s="58">
        <v>4</v>
      </c>
      <c r="C328" s="58" t="s">
        <v>914</v>
      </c>
      <c r="D328" s="58" t="s">
        <v>1352</v>
      </c>
      <c r="E328" s="58" t="s">
        <v>1352</v>
      </c>
      <c r="F328" s="58" t="s">
        <v>1352</v>
      </c>
      <c r="G328" s="58" t="s">
        <v>1352</v>
      </c>
      <c r="H328" s="58" t="s">
        <v>1352</v>
      </c>
    </row>
    <row r="329" spans="1:8" x14ac:dyDescent="0.2">
      <c r="A329" s="58">
        <v>91763</v>
      </c>
      <c r="B329" s="58">
        <v>4</v>
      </c>
      <c r="C329" s="58" t="s">
        <v>914</v>
      </c>
      <c r="D329" s="58" t="s">
        <v>1353</v>
      </c>
      <c r="E329" s="58" t="s">
        <v>1353</v>
      </c>
      <c r="F329" s="58" t="s">
        <v>1353</v>
      </c>
      <c r="G329" s="58" t="s">
        <v>1353</v>
      </c>
      <c r="H329" s="58" t="s">
        <v>202</v>
      </c>
    </row>
    <row r="330" spans="1:8" x14ac:dyDescent="0.2">
      <c r="A330" s="58">
        <v>91763</v>
      </c>
      <c r="B330" s="58">
        <v>4</v>
      </c>
      <c r="C330" s="58" t="s">
        <v>914</v>
      </c>
      <c r="D330" s="58" t="s">
        <v>1353</v>
      </c>
      <c r="E330" s="58" t="s">
        <v>1353</v>
      </c>
      <c r="F330" s="58" t="s">
        <v>1353</v>
      </c>
      <c r="G330" s="58" t="s">
        <v>1353</v>
      </c>
      <c r="H330" s="58" t="s">
        <v>202</v>
      </c>
    </row>
    <row r="331" spans="1:8" x14ac:dyDescent="0.2">
      <c r="A331" s="58">
        <v>91711</v>
      </c>
      <c r="B331" s="58">
        <v>4</v>
      </c>
      <c r="C331" s="58" t="s">
        <v>914</v>
      </c>
      <c r="D331" s="58" t="s">
        <v>1353</v>
      </c>
      <c r="E331" s="58" t="s">
        <v>1353</v>
      </c>
      <c r="F331" s="58" t="s">
        <v>1353</v>
      </c>
      <c r="G331" s="58" t="s">
        <v>1353</v>
      </c>
      <c r="H331" s="58" t="s">
        <v>202</v>
      </c>
    </row>
    <row r="332" spans="1:8" x14ac:dyDescent="0.2">
      <c r="A332" s="58">
        <v>91763</v>
      </c>
      <c r="B332" s="58">
        <v>4</v>
      </c>
      <c r="C332" s="58" t="s">
        <v>914</v>
      </c>
      <c r="D332" s="58" t="s">
        <v>1353</v>
      </c>
      <c r="E332" s="58" t="s">
        <v>1353</v>
      </c>
      <c r="F332" s="58" t="s">
        <v>1353</v>
      </c>
      <c r="G332" s="58" t="s">
        <v>1353</v>
      </c>
      <c r="H332" s="58" t="s">
        <v>1353</v>
      </c>
    </row>
    <row r="333" spans="1:8" x14ac:dyDescent="0.2">
      <c r="A333" s="58">
        <v>91763</v>
      </c>
      <c r="B333" s="58">
        <v>4</v>
      </c>
      <c r="C333" s="58" t="s">
        <v>914</v>
      </c>
      <c r="D333" s="58" t="s">
        <v>1353</v>
      </c>
      <c r="E333" s="58" t="s">
        <v>1353</v>
      </c>
      <c r="F333" s="58" t="s">
        <v>1353</v>
      </c>
      <c r="G333" s="58" t="s">
        <v>1353</v>
      </c>
      <c r="H333" s="58" t="s">
        <v>1353</v>
      </c>
    </row>
    <row r="334" spans="1:8" x14ac:dyDescent="0.2">
      <c r="A334" s="58">
        <v>91764</v>
      </c>
      <c r="B334" s="58">
        <v>4</v>
      </c>
      <c r="C334" s="58" t="s">
        <v>914</v>
      </c>
      <c r="D334" s="58" t="s">
        <v>1353</v>
      </c>
      <c r="E334" s="58" t="s">
        <v>1353</v>
      </c>
      <c r="F334" s="58" t="s">
        <v>1353</v>
      </c>
      <c r="G334" s="58" t="s">
        <v>1353</v>
      </c>
      <c r="H334" s="58" t="s">
        <v>1353</v>
      </c>
    </row>
    <row r="335" spans="1:8" x14ac:dyDescent="0.2">
      <c r="A335" s="58">
        <v>91763</v>
      </c>
      <c r="B335" s="58">
        <v>4</v>
      </c>
      <c r="C335" s="58" t="s">
        <v>914</v>
      </c>
      <c r="D335" s="58" t="s">
        <v>1353</v>
      </c>
      <c r="E335" s="58" t="s">
        <v>1353</v>
      </c>
      <c r="F335" s="58" t="s">
        <v>1353</v>
      </c>
      <c r="G335" s="58" t="s">
        <v>1353</v>
      </c>
      <c r="H335" s="58" t="s">
        <v>191</v>
      </c>
    </row>
    <row r="336" spans="1:8" x14ac:dyDescent="0.2">
      <c r="A336" s="58">
        <v>91762</v>
      </c>
      <c r="B336" s="58">
        <v>4</v>
      </c>
      <c r="C336" s="58" t="s">
        <v>914</v>
      </c>
      <c r="D336" s="58" t="s">
        <v>1353</v>
      </c>
      <c r="E336" s="58" t="s">
        <v>1353</v>
      </c>
      <c r="F336" s="58" t="s">
        <v>1353</v>
      </c>
      <c r="G336" s="58" t="s">
        <v>1353</v>
      </c>
      <c r="H336" s="58" t="s">
        <v>1353</v>
      </c>
    </row>
    <row r="337" spans="1:8" x14ac:dyDescent="0.2">
      <c r="A337" s="58">
        <v>91750</v>
      </c>
      <c r="B337" s="58">
        <v>4</v>
      </c>
      <c r="C337" s="58" t="s">
        <v>914</v>
      </c>
      <c r="D337" s="58" t="s">
        <v>1353</v>
      </c>
      <c r="E337" s="58" t="s">
        <v>1353</v>
      </c>
      <c r="F337" s="58" t="s">
        <v>1353</v>
      </c>
      <c r="G337" s="58" t="s">
        <v>1353</v>
      </c>
      <c r="H337" s="58" t="s">
        <v>191</v>
      </c>
    </row>
    <row r="338" spans="1:8" x14ac:dyDescent="0.2">
      <c r="A338" s="58">
        <v>91711</v>
      </c>
      <c r="B338" s="58">
        <v>4</v>
      </c>
      <c r="C338" s="58" t="s">
        <v>914</v>
      </c>
      <c r="D338" s="58" t="s">
        <v>1353</v>
      </c>
      <c r="E338" s="58" t="s">
        <v>1353</v>
      </c>
      <c r="F338" s="58" t="s">
        <v>1353</v>
      </c>
      <c r="G338" s="58" t="s">
        <v>1353</v>
      </c>
      <c r="H338" s="58" t="s">
        <v>1353</v>
      </c>
    </row>
    <row r="339" spans="1:8" x14ac:dyDescent="0.2">
      <c r="A339" s="58">
        <v>91786</v>
      </c>
      <c r="B339" s="58">
        <v>4</v>
      </c>
      <c r="C339" s="58" t="s">
        <v>914</v>
      </c>
      <c r="D339" s="58" t="s">
        <v>1353</v>
      </c>
      <c r="E339" s="58" t="s">
        <v>1353</v>
      </c>
      <c r="F339" s="58" t="s">
        <v>1353</v>
      </c>
      <c r="G339" s="58" t="s">
        <v>1352</v>
      </c>
      <c r="H339" s="58" t="s">
        <v>1353</v>
      </c>
    </row>
    <row r="340" spans="1:8" x14ac:dyDescent="0.2">
      <c r="A340" s="58">
        <v>91786</v>
      </c>
      <c r="B340" s="58">
        <v>4</v>
      </c>
      <c r="C340" s="58" t="s">
        <v>914</v>
      </c>
      <c r="D340" s="58" t="s">
        <v>1353</v>
      </c>
      <c r="E340" s="58" t="s">
        <v>1353</v>
      </c>
      <c r="F340" s="58" t="s">
        <v>1353</v>
      </c>
      <c r="G340" s="58" t="s">
        <v>1353</v>
      </c>
      <c r="H340" s="58" t="s">
        <v>1353</v>
      </c>
    </row>
    <row r="341" spans="1:8" x14ac:dyDescent="0.2">
      <c r="A341" s="58">
        <v>91767</v>
      </c>
      <c r="B341" s="58">
        <v>3.5</v>
      </c>
      <c r="C341" s="58" t="s">
        <v>914</v>
      </c>
      <c r="D341" s="58" t="s">
        <v>1353</v>
      </c>
      <c r="E341" s="58" t="s">
        <v>1353</v>
      </c>
      <c r="F341" s="58" t="s">
        <v>1353</v>
      </c>
      <c r="G341" s="58" t="s">
        <v>1353</v>
      </c>
      <c r="H341" s="58" t="s">
        <v>1353</v>
      </c>
    </row>
    <row r="342" spans="1:8" x14ac:dyDescent="0.2">
      <c r="A342" s="58">
        <v>91711</v>
      </c>
      <c r="B342" s="58">
        <v>3.5</v>
      </c>
      <c r="C342" s="58" t="s">
        <v>914</v>
      </c>
      <c r="D342" s="58" t="s">
        <v>1353</v>
      </c>
      <c r="E342" s="58" t="s">
        <v>1353</v>
      </c>
      <c r="F342" s="58" t="s">
        <v>1353</v>
      </c>
      <c r="G342" s="58" t="s">
        <v>1353</v>
      </c>
      <c r="H342" s="58" t="s">
        <v>1353</v>
      </c>
    </row>
    <row r="343" spans="1:8" x14ac:dyDescent="0.2">
      <c r="A343" s="58">
        <v>91750</v>
      </c>
      <c r="B343" s="58">
        <v>3.5</v>
      </c>
      <c r="C343" s="58" t="s">
        <v>914</v>
      </c>
      <c r="D343" s="58" t="s">
        <v>1353</v>
      </c>
      <c r="E343" s="58" t="s">
        <v>1353</v>
      </c>
      <c r="F343" s="58" t="s">
        <v>1353</v>
      </c>
      <c r="G343" s="58" t="s">
        <v>1353</v>
      </c>
      <c r="H343" s="58" t="s">
        <v>1353</v>
      </c>
    </row>
    <row r="344" spans="1:8" x14ac:dyDescent="0.2">
      <c r="A344" s="58">
        <v>91750</v>
      </c>
      <c r="B344" s="58">
        <v>3.3</v>
      </c>
      <c r="C344" s="58" t="s">
        <v>914</v>
      </c>
      <c r="D344" s="58" t="s">
        <v>1353</v>
      </c>
      <c r="E344" s="58" t="s">
        <v>1353</v>
      </c>
      <c r="F344" s="58" t="s">
        <v>1353</v>
      </c>
      <c r="G344" s="58" t="s">
        <v>1353</v>
      </c>
      <c r="H344" s="58" t="s">
        <v>1353</v>
      </c>
    </row>
    <row r="345" spans="1:8" x14ac:dyDescent="0.2">
      <c r="A345" s="58">
        <v>91750</v>
      </c>
      <c r="B345" s="58">
        <v>3</v>
      </c>
      <c r="C345" s="58" t="s">
        <v>1390</v>
      </c>
      <c r="D345" s="58" t="s">
        <v>199</v>
      </c>
      <c r="E345" s="58" t="s">
        <v>1353</v>
      </c>
      <c r="F345" s="58" t="s">
        <v>1353</v>
      </c>
      <c r="G345" s="58" t="s">
        <v>199</v>
      </c>
      <c r="H345" s="58" t="s">
        <v>199</v>
      </c>
    </row>
    <row r="346" spans="1:8" x14ac:dyDescent="0.2">
      <c r="A346" s="58">
        <v>91764</v>
      </c>
      <c r="B346" s="58">
        <v>3</v>
      </c>
      <c r="C346" s="58" t="s">
        <v>914</v>
      </c>
      <c r="D346" s="58" t="s">
        <v>1353</v>
      </c>
      <c r="E346" s="58" t="s">
        <v>1353</v>
      </c>
      <c r="F346" s="58" t="s">
        <v>1353</v>
      </c>
      <c r="G346" s="58" t="s">
        <v>1353</v>
      </c>
      <c r="H346" s="58" t="s">
        <v>1353</v>
      </c>
    </row>
    <row r="347" spans="1:8" x14ac:dyDescent="0.2">
      <c r="A347" s="58">
        <v>91763</v>
      </c>
      <c r="B347" s="58">
        <v>3</v>
      </c>
      <c r="C347" s="58" t="s">
        <v>914</v>
      </c>
      <c r="D347" s="58" t="s">
        <v>1353</v>
      </c>
      <c r="E347" s="58" t="s">
        <v>1353</v>
      </c>
      <c r="F347" s="58" t="s">
        <v>1353</v>
      </c>
      <c r="G347" s="58" t="s">
        <v>1353</v>
      </c>
      <c r="H347" s="58" t="s">
        <v>1353</v>
      </c>
    </row>
    <row r="348" spans="1:8" x14ac:dyDescent="0.2">
      <c r="A348" s="58" t="s">
        <v>1424</v>
      </c>
      <c r="B348" s="58">
        <v>3</v>
      </c>
      <c r="C348" s="58" t="s">
        <v>914</v>
      </c>
      <c r="D348" s="58" t="s">
        <v>1353</v>
      </c>
      <c r="E348" s="58" t="s">
        <v>1353</v>
      </c>
      <c r="F348" s="58" t="s">
        <v>1353</v>
      </c>
      <c r="G348" s="58" t="s">
        <v>1353</v>
      </c>
      <c r="H348" s="58" t="s">
        <v>1353</v>
      </c>
    </row>
    <row r="349" spans="1:8" x14ac:dyDescent="0.2">
      <c r="A349" s="58">
        <v>91763</v>
      </c>
      <c r="B349" s="58">
        <v>3</v>
      </c>
      <c r="C349" s="58" t="s">
        <v>914</v>
      </c>
      <c r="D349" s="58" t="s">
        <v>195</v>
      </c>
      <c r="E349" s="58" t="s">
        <v>195</v>
      </c>
      <c r="F349" s="58" t="s">
        <v>195</v>
      </c>
      <c r="G349" s="58" t="s">
        <v>1353</v>
      </c>
      <c r="H349" s="58" t="s">
        <v>1353</v>
      </c>
    </row>
    <row r="350" spans="1:8" x14ac:dyDescent="0.2">
      <c r="A350" s="58">
        <v>91711</v>
      </c>
      <c r="B350" s="58">
        <v>3</v>
      </c>
      <c r="C350" s="58" t="s">
        <v>914</v>
      </c>
      <c r="D350" s="58" t="s">
        <v>1353</v>
      </c>
      <c r="E350" s="58" t="s">
        <v>1353</v>
      </c>
      <c r="F350" s="58" t="s">
        <v>1353</v>
      </c>
      <c r="G350" s="58" t="s">
        <v>1353</v>
      </c>
      <c r="H350" s="58" t="s">
        <v>1353</v>
      </c>
    </row>
    <row r="351" spans="1:8" x14ac:dyDescent="0.2">
      <c r="A351" s="58">
        <v>91750</v>
      </c>
      <c r="B351" s="58">
        <v>3</v>
      </c>
      <c r="C351" s="58" t="s">
        <v>914</v>
      </c>
      <c r="D351" s="58" t="s">
        <v>1353</v>
      </c>
      <c r="E351" s="58" t="s">
        <v>202</v>
      </c>
      <c r="F351" s="58" t="s">
        <v>202</v>
      </c>
      <c r="G351" s="58" t="s">
        <v>1353</v>
      </c>
      <c r="H351" s="58" t="s">
        <v>1353</v>
      </c>
    </row>
    <row r="352" spans="1:8" x14ac:dyDescent="0.2">
      <c r="A352" s="58">
        <v>91767</v>
      </c>
      <c r="B352" s="58">
        <v>3</v>
      </c>
      <c r="C352" s="58" t="s">
        <v>914</v>
      </c>
      <c r="D352" s="58" t="s">
        <v>195</v>
      </c>
      <c r="E352" s="58" t="s">
        <v>195</v>
      </c>
      <c r="F352" s="58" t="s">
        <v>195</v>
      </c>
      <c r="G352" s="58" t="s">
        <v>195</v>
      </c>
      <c r="H352" s="58" t="s">
        <v>195</v>
      </c>
    </row>
    <row r="353" spans="1:8" x14ac:dyDescent="0.2">
      <c r="A353" s="58">
        <v>91711</v>
      </c>
      <c r="B353" s="58">
        <v>3</v>
      </c>
      <c r="C353" s="58" t="s">
        <v>914</v>
      </c>
      <c r="D353" s="58" t="s">
        <v>1358</v>
      </c>
      <c r="E353" s="58" t="s">
        <v>1358</v>
      </c>
      <c r="F353" s="58" t="s">
        <v>1358</v>
      </c>
      <c r="G353" s="58" t="s">
        <v>1358</v>
      </c>
      <c r="H353" s="58" t="s">
        <v>1358</v>
      </c>
    </row>
    <row r="354" spans="1:8" x14ac:dyDescent="0.2">
      <c r="A354" s="58">
        <v>91767</v>
      </c>
      <c r="B354" s="58">
        <v>3</v>
      </c>
      <c r="C354" s="58" t="s">
        <v>914</v>
      </c>
      <c r="D354" s="58" t="s">
        <v>1353</v>
      </c>
      <c r="E354" s="58" t="s">
        <v>1353</v>
      </c>
      <c r="F354" s="58" t="s">
        <v>1353</v>
      </c>
      <c r="G354" s="58" t="s">
        <v>1353</v>
      </c>
      <c r="H354" s="58" t="s">
        <v>1353</v>
      </c>
    </row>
    <row r="355" spans="1:8" x14ac:dyDescent="0.2">
      <c r="A355" s="58">
        <v>91784</v>
      </c>
      <c r="B355" s="58">
        <v>3</v>
      </c>
      <c r="C355" s="58" t="s">
        <v>914</v>
      </c>
      <c r="D355" s="58" t="s">
        <v>1352</v>
      </c>
      <c r="E355" s="58" t="s">
        <v>1352</v>
      </c>
      <c r="F355" s="58" t="s">
        <v>1352</v>
      </c>
      <c r="G355" s="58" t="s">
        <v>1352</v>
      </c>
      <c r="H355" s="58" t="s">
        <v>1353</v>
      </c>
    </row>
    <row r="356" spans="1:8" x14ac:dyDescent="0.2">
      <c r="A356" s="58">
        <v>91767</v>
      </c>
      <c r="B356" s="58">
        <v>3</v>
      </c>
      <c r="C356" s="58" t="s">
        <v>914</v>
      </c>
      <c r="D356" s="58" t="s">
        <v>1353</v>
      </c>
      <c r="E356" s="58" t="s">
        <v>1353</v>
      </c>
      <c r="F356" s="58" t="s">
        <v>1353</v>
      </c>
      <c r="G356" s="58" t="s">
        <v>1353</v>
      </c>
      <c r="H356" s="58" t="s">
        <v>1353</v>
      </c>
    </row>
    <row r="357" spans="1:8" x14ac:dyDescent="0.2">
      <c r="A357" s="58">
        <v>91767</v>
      </c>
      <c r="B357" s="58">
        <v>3</v>
      </c>
      <c r="C357" s="58" t="s">
        <v>914</v>
      </c>
      <c r="D357" s="58" t="s">
        <v>1353</v>
      </c>
      <c r="E357" s="58" t="s">
        <v>1353</v>
      </c>
      <c r="F357" s="58" t="s">
        <v>1353</v>
      </c>
      <c r="G357" s="58" t="s">
        <v>1353</v>
      </c>
      <c r="H357" s="58" t="s">
        <v>1353</v>
      </c>
    </row>
    <row r="358" spans="1:8" x14ac:dyDescent="0.2">
      <c r="A358" s="58">
        <v>77845</v>
      </c>
      <c r="B358" s="58">
        <v>3</v>
      </c>
      <c r="C358" s="58" t="s">
        <v>914</v>
      </c>
      <c r="D358" s="58" t="s">
        <v>1353</v>
      </c>
      <c r="E358" s="58" t="s">
        <v>1353</v>
      </c>
      <c r="F358" s="58" t="s">
        <v>1353</v>
      </c>
      <c r="G358" s="58" t="s">
        <v>1353</v>
      </c>
      <c r="H358" s="58" t="s">
        <v>1353</v>
      </c>
    </row>
    <row r="359" spans="1:8" x14ac:dyDescent="0.2">
      <c r="A359" s="58" t="s">
        <v>1446</v>
      </c>
      <c r="B359" s="58">
        <v>3</v>
      </c>
      <c r="C359" s="58" t="s">
        <v>914</v>
      </c>
      <c r="D359" s="58" t="s">
        <v>1353</v>
      </c>
      <c r="E359" s="58" t="s">
        <v>1353</v>
      </c>
      <c r="F359" s="58" t="s">
        <v>1353</v>
      </c>
      <c r="G359" s="58" t="s">
        <v>1353</v>
      </c>
      <c r="H359" s="58" t="s">
        <v>1353</v>
      </c>
    </row>
    <row r="360" spans="1:8" x14ac:dyDescent="0.2">
      <c r="A360" s="58">
        <v>91711</v>
      </c>
      <c r="B360" s="58">
        <v>3</v>
      </c>
      <c r="C360" s="58" t="s">
        <v>914</v>
      </c>
      <c r="D360" s="58" t="s">
        <v>1353</v>
      </c>
      <c r="E360" s="58" t="s">
        <v>1353</v>
      </c>
      <c r="F360" s="58" t="s">
        <v>1353</v>
      </c>
      <c r="G360" s="58" t="s">
        <v>1353</v>
      </c>
      <c r="H360" s="58" t="s">
        <v>1353</v>
      </c>
    </row>
    <row r="361" spans="1:8" x14ac:dyDescent="0.2">
      <c r="A361" s="58">
        <v>91711</v>
      </c>
      <c r="B361" s="58">
        <v>2.7</v>
      </c>
      <c r="C361" s="58" t="s">
        <v>914</v>
      </c>
      <c r="D361" s="58" t="s">
        <v>1353</v>
      </c>
      <c r="E361" s="58" t="s">
        <v>1353</v>
      </c>
      <c r="F361" s="58" t="s">
        <v>1353</v>
      </c>
      <c r="G361" s="58" t="s">
        <v>1353</v>
      </c>
      <c r="H361" s="58" t="s">
        <v>1353</v>
      </c>
    </row>
    <row r="362" spans="1:8" x14ac:dyDescent="0.2">
      <c r="A362" s="58">
        <v>91711</v>
      </c>
      <c r="B362" s="58">
        <v>2.7</v>
      </c>
      <c r="C362" s="58" t="s">
        <v>914</v>
      </c>
      <c r="D362" s="58" t="s">
        <v>1374</v>
      </c>
      <c r="E362" s="58" t="s">
        <v>1352</v>
      </c>
      <c r="F362" s="58" t="s">
        <v>1352</v>
      </c>
      <c r="G362" s="58" t="s">
        <v>1352</v>
      </c>
      <c r="H362" s="58" t="s">
        <v>1352</v>
      </c>
    </row>
    <row r="363" spans="1:8" x14ac:dyDescent="0.2">
      <c r="A363" s="58">
        <v>91711</v>
      </c>
      <c r="B363" s="58">
        <v>2.5</v>
      </c>
      <c r="C363" s="58" t="s">
        <v>914</v>
      </c>
      <c r="D363" s="58" t="s">
        <v>1353</v>
      </c>
      <c r="E363" s="58" t="s">
        <v>1353</v>
      </c>
      <c r="F363" s="58" t="s">
        <v>1353</v>
      </c>
      <c r="G363" s="58" t="s">
        <v>1353</v>
      </c>
      <c r="H363" s="58" t="s">
        <v>1353</v>
      </c>
    </row>
    <row r="364" spans="1:8" x14ac:dyDescent="0.2">
      <c r="A364" s="58">
        <v>91786</v>
      </c>
      <c r="B364" s="58">
        <v>2.5</v>
      </c>
      <c r="C364" s="58" t="s">
        <v>914</v>
      </c>
      <c r="D364" s="58" t="s">
        <v>1373</v>
      </c>
      <c r="E364" s="58" t="s">
        <v>1373</v>
      </c>
      <c r="F364" s="58" t="s">
        <v>1373</v>
      </c>
      <c r="G364" s="58" t="s">
        <v>1373</v>
      </c>
      <c r="H364" s="58" t="s">
        <v>1353</v>
      </c>
    </row>
    <row r="365" spans="1:8" x14ac:dyDescent="0.2">
      <c r="A365" s="58" t="s">
        <v>1410</v>
      </c>
      <c r="B365" s="58">
        <v>2.5</v>
      </c>
      <c r="C365" s="58" t="s">
        <v>914</v>
      </c>
      <c r="D365" s="58" t="s">
        <v>1353</v>
      </c>
      <c r="E365" s="58" t="s">
        <v>1353</v>
      </c>
      <c r="F365" s="58" t="s">
        <v>1353</v>
      </c>
      <c r="G365" s="58" t="s">
        <v>1353</v>
      </c>
      <c r="H365" s="58" t="s">
        <v>1353</v>
      </c>
    </row>
    <row r="366" spans="1:8" x14ac:dyDescent="0.2">
      <c r="A366" s="58">
        <v>91763</v>
      </c>
      <c r="B366" s="58">
        <v>2.4</v>
      </c>
      <c r="C366" s="58" t="s">
        <v>914</v>
      </c>
      <c r="D366" s="58" t="s">
        <v>1353</v>
      </c>
      <c r="E366" s="58" t="s">
        <v>1353</v>
      </c>
      <c r="F366" s="58" t="s">
        <v>1353</v>
      </c>
      <c r="G366" s="58" t="s">
        <v>1353</v>
      </c>
      <c r="H366" s="58" t="s">
        <v>1353</v>
      </c>
    </row>
    <row r="367" spans="1:8" x14ac:dyDescent="0.2">
      <c r="A367" s="58">
        <v>91711</v>
      </c>
      <c r="B367" s="58">
        <v>2.2999999999999998</v>
      </c>
      <c r="C367" s="58" t="s">
        <v>914</v>
      </c>
      <c r="D367" s="58" t="s">
        <v>1352</v>
      </c>
      <c r="E367" s="58" t="s">
        <v>1352</v>
      </c>
      <c r="F367" s="58" t="s">
        <v>1352</v>
      </c>
      <c r="G367" s="58" t="s">
        <v>1352</v>
      </c>
      <c r="H367" s="58" t="s">
        <v>1356</v>
      </c>
    </row>
    <row r="368" spans="1:8" x14ac:dyDescent="0.2">
      <c r="A368" s="58">
        <v>91711</v>
      </c>
      <c r="B368" s="58">
        <v>2.2000000000000002</v>
      </c>
      <c r="C368" s="58" t="s">
        <v>914</v>
      </c>
      <c r="D368" s="58" t="s">
        <v>1353</v>
      </c>
      <c r="E368" s="58" t="s">
        <v>1353</v>
      </c>
      <c r="F368" s="58" t="s">
        <v>1353</v>
      </c>
      <c r="G368" s="58" t="s">
        <v>1353</v>
      </c>
      <c r="H368" s="58" t="s">
        <v>1353</v>
      </c>
    </row>
    <row r="369" spans="1:8" x14ac:dyDescent="0.2">
      <c r="A369" s="58">
        <v>91767</v>
      </c>
      <c r="B369" s="58">
        <v>2.1</v>
      </c>
      <c r="C369" s="58" t="s">
        <v>914</v>
      </c>
      <c r="D369" s="58" t="s">
        <v>1352</v>
      </c>
      <c r="E369" s="58" t="s">
        <v>1352</v>
      </c>
      <c r="F369" s="58" t="s">
        <v>1352</v>
      </c>
      <c r="G369" s="58" t="s">
        <v>1352</v>
      </c>
      <c r="H369" s="58" t="s">
        <v>191</v>
      </c>
    </row>
    <row r="370" spans="1:8" x14ac:dyDescent="0.2">
      <c r="A370" s="58">
        <v>91711</v>
      </c>
      <c r="B370" s="58">
        <v>2.1</v>
      </c>
      <c r="C370" s="58" t="s">
        <v>914</v>
      </c>
      <c r="D370" s="58" t="s">
        <v>1353</v>
      </c>
      <c r="E370" s="58" t="s">
        <v>1353</v>
      </c>
      <c r="F370" s="58" t="s">
        <v>1353</v>
      </c>
      <c r="G370" s="58" t="s">
        <v>1353</v>
      </c>
      <c r="H370" s="58" t="s">
        <v>1353</v>
      </c>
    </row>
    <row r="371" spans="1:8" x14ac:dyDescent="0.2">
      <c r="A371" s="58">
        <v>91763</v>
      </c>
      <c r="B371" s="58">
        <v>2</v>
      </c>
      <c r="C371" s="58" t="s">
        <v>1390</v>
      </c>
      <c r="D371" s="58" t="s">
        <v>1353</v>
      </c>
      <c r="E371" s="58" t="s">
        <v>1353</v>
      </c>
      <c r="F371" s="58" t="s">
        <v>1353</v>
      </c>
      <c r="G371" s="58" t="s">
        <v>1353</v>
      </c>
      <c r="H371" s="58" t="s">
        <v>1353</v>
      </c>
    </row>
    <row r="372" spans="1:8" x14ac:dyDescent="0.2">
      <c r="A372" s="58">
        <v>91767</v>
      </c>
      <c r="B372" s="58">
        <v>2</v>
      </c>
      <c r="C372" s="58" t="s">
        <v>1390</v>
      </c>
      <c r="D372" s="58" t="s">
        <v>1373</v>
      </c>
      <c r="E372" s="58" t="s">
        <v>1373</v>
      </c>
      <c r="F372" s="58" t="s">
        <v>1373</v>
      </c>
      <c r="G372" s="58" t="s">
        <v>1372</v>
      </c>
      <c r="H372" s="58" t="s">
        <v>1373</v>
      </c>
    </row>
    <row r="373" spans="1:8" x14ac:dyDescent="0.2">
      <c r="A373" s="58" t="s">
        <v>1424</v>
      </c>
      <c r="B373" s="58">
        <v>2</v>
      </c>
      <c r="C373" s="58" t="s">
        <v>1390</v>
      </c>
      <c r="D373" s="58" t="s">
        <v>1351</v>
      </c>
      <c r="E373" s="58" t="s">
        <v>1353</v>
      </c>
      <c r="F373" s="58" t="s">
        <v>1351</v>
      </c>
      <c r="G373" s="58" t="s">
        <v>1353</v>
      </c>
      <c r="H373" s="58" t="s">
        <v>1351</v>
      </c>
    </row>
    <row r="374" spans="1:8" x14ac:dyDescent="0.2">
      <c r="A374" s="58">
        <v>91711</v>
      </c>
      <c r="B374" s="58">
        <v>2</v>
      </c>
      <c r="C374" s="58" t="s">
        <v>914</v>
      </c>
      <c r="D374" s="58" t="s">
        <v>1372</v>
      </c>
      <c r="E374" s="58" t="s">
        <v>1353</v>
      </c>
      <c r="F374" s="58" t="s">
        <v>1372</v>
      </c>
      <c r="G374" s="58" t="s">
        <v>1353</v>
      </c>
      <c r="H374" s="58" t="s">
        <v>1353</v>
      </c>
    </row>
    <row r="375" spans="1:8" x14ac:dyDescent="0.2">
      <c r="A375" s="58">
        <v>91763</v>
      </c>
      <c r="B375" s="58">
        <v>2</v>
      </c>
      <c r="C375" s="58" t="s">
        <v>914</v>
      </c>
      <c r="D375" s="58" t="s">
        <v>1353</v>
      </c>
      <c r="E375" s="58" t="s">
        <v>1353</v>
      </c>
      <c r="F375" s="58" t="s">
        <v>1353</v>
      </c>
      <c r="G375" s="58" t="s">
        <v>1353</v>
      </c>
      <c r="H375" s="58" t="s">
        <v>1353</v>
      </c>
    </row>
    <row r="376" spans="1:8" x14ac:dyDescent="0.2">
      <c r="A376" s="58">
        <v>91763</v>
      </c>
      <c r="B376" s="58">
        <v>2</v>
      </c>
      <c r="C376" s="58" t="s">
        <v>914</v>
      </c>
      <c r="D376" s="58" t="s">
        <v>1353</v>
      </c>
      <c r="E376" s="58" t="s">
        <v>195</v>
      </c>
      <c r="F376" s="58" t="s">
        <v>1353</v>
      </c>
      <c r="G376" s="58" t="s">
        <v>1353</v>
      </c>
      <c r="H376" s="58" t="s">
        <v>1353</v>
      </c>
    </row>
    <row r="377" spans="1:8" x14ac:dyDescent="0.2">
      <c r="A377" s="58">
        <v>91763</v>
      </c>
      <c r="B377" s="58">
        <v>2</v>
      </c>
      <c r="C377" s="58" t="s">
        <v>914</v>
      </c>
      <c r="D377" s="58" t="s">
        <v>1353</v>
      </c>
      <c r="E377" s="58" t="s">
        <v>1353</v>
      </c>
      <c r="F377" s="58" t="s">
        <v>1353</v>
      </c>
      <c r="G377" s="58" t="s">
        <v>1353</v>
      </c>
      <c r="H377" s="58" t="s">
        <v>1353</v>
      </c>
    </row>
    <row r="378" spans="1:8" x14ac:dyDescent="0.2">
      <c r="A378" s="58">
        <v>91786</v>
      </c>
      <c r="B378" s="58">
        <v>2</v>
      </c>
      <c r="C378" s="58" t="s">
        <v>914</v>
      </c>
      <c r="D378" s="58" t="s">
        <v>1353</v>
      </c>
      <c r="E378" s="58" t="s">
        <v>1353</v>
      </c>
      <c r="F378" s="58" t="s">
        <v>195</v>
      </c>
      <c r="G378" s="58" t="s">
        <v>1353</v>
      </c>
      <c r="H378" s="58" t="s">
        <v>1353</v>
      </c>
    </row>
    <row r="379" spans="1:8" x14ac:dyDescent="0.2">
      <c r="A379" s="58">
        <v>91764</v>
      </c>
      <c r="B379" s="58">
        <v>2</v>
      </c>
      <c r="C379" s="58" t="s">
        <v>914</v>
      </c>
      <c r="D379" s="58" t="s">
        <v>1353</v>
      </c>
      <c r="E379" s="58" t="s">
        <v>1353</v>
      </c>
      <c r="F379" s="58" t="s">
        <v>1353</v>
      </c>
      <c r="G379" s="58" t="s">
        <v>1353</v>
      </c>
      <c r="H379" s="58" t="s">
        <v>1353</v>
      </c>
    </row>
    <row r="380" spans="1:8" x14ac:dyDescent="0.2">
      <c r="A380" s="58">
        <v>91711</v>
      </c>
      <c r="B380" s="58">
        <v>2</v>
      </c>
      <c r="C380" s="58" t="s">
        <v>914</v>
      </c>
      <c r="D380" s="58" t="s">
        <v>1353</v>
      </c>
      <c r="E380" s="58" t="s">
        <v>1353</v>
      </c>
      <c r="F380" s="58" t="s">
        <v>1353</v>
      </c>
      <c r="G380" s="58" t="s">
        <v>1353</v>
      </c>
      <c r="H380" s="58" t="s">
        <v>1353</v>
      </c>
    </row>
    <row r="381" spans="1:8" x14ac:dyDescent="0.2">
      <c r="A381" s="58">
        <v>91711</v>
      </c>
      <c r="B381" s="58">
        <v>2</v>
      </c>
      <c r="C381" s="58" t="s">
        <v>914</v>
      </c>
      <c r="D381" s="58" t="s">
        <v>1353</v>
      </c>
      <c r="E381" s="58" t="s">
        <v>1353</v>
      </c>
      <c r="F381" s="58" t="s">
        <v>1353</v>
      </c>
      <c r="G381" s="58" t="s">
        <v>1353</v>
      </c>
      <c r="H381" s="58" t="s">
        <v>1353</v>
      </c>
    </row>
    <row r="382" spans="1:8" x14ac:dyDescent="0.2">
      <c r="A382" s="58">
        <v>91763</v>
      </c>
      <c r="B382" s="58">
        <v>2</v>
      </c>
      <c r="C382" s="58" t="s">
        <v>914</v>
      </c>
      <c r="D382" s="58" t="s">
        <v>199</v>
      </c>
      <c r="E382" s="58" t="s">
        <v>199</v>
      </c>
      <c r="F382" s="58" t="s">
        <v>1353</v>
      </c>
      <c r="G382" s="58" t="s">
        <v>1353</v>
      </c>
      <c r="H382" s="58" t="s">
        <v>1353</v>
      </c>
    </row>
    <row r="383" spans="1:8" x14ac:dyDescent="0.2">
      <c r="A383" s="58">
        <v>91763</v>
      </c>
      <c r="B383" s="58">
        <v>2</v>
      </c>
      <c r="C383" s="58" t="s">
        <v>914</v>
      </c>
      <c r="D383" s="58" t="s">
        <v>1353</v>
      </c>
      <c r="E383" s="58" t="s">
        <v>1353</v>
      </c>
      <c r="F383" s="58" t="s">
        <v>1353</v>
      </c>
      <c r="G383" s="58" t="s">
        <v>1353</v>
      </c>
      <c r="H383" s="58" t="s">
        <v>1353</v>
      </c>
    </row>
    <row r="384" spans="1:8" x14ac:dyDescent="0.2">
      <c r="A384" s="58">
        <v>91711</v>
      </c>
      <c r="B384" s="58">
        <v>2</v>
      </c>
      <c r="C384" s="58" t="s">
        <v>914</v>
      </c>
      <c r="D384" s="58" t="s">
        <v>1353</v>
      </c>
      <c r="E384" s="58" t="s">
        <v>1353</v>
      </c>
      <c r="F384" s="58" t="s">
        <v>1353</v>
      </c>
      <c r="G384" s="58" t="s">
        <v>1353</v>
      </c>
      <c r="H384" s="58" t="s">
        <v>1353</v>
      </c>
    </row>
    <row r="385" spans="1:8" x14ac:dyDescent="0.2">
      <c r="A385" s="58" t="s">
        <v>1447</v>
      </c>
      <c r="B385" s="58">
        <v>2</v>
      </c>
      <c r="C385" s="58" t="s">
        <v>914</v>
      </c>
      <c r="D385" s="58" t="s">
        <v>1353</v>
      </c>
      <c r="E385" s="58" t="s">
        <v>1353</v>
      </c>
      <c r="F385" s="58" t="s">
        <v>1353</v>
      </c>
      <c r="G385" s="58" t="s">
        <v>1353</v>
      </c>
      <c r="H385" s="58" t="s">
        <v>1353</v>
      </c>
    </row>
    <row r="386" spans="1:8" x14ac:dyDescent="0.2">
      <c r="A386" s="58">
        <v>91767</v>
      </c>
      <c r="B386" s="58">
        <v>2</v>
      </c>
      <c r="C386" s="58" t="s">
        <v>914</v>
      </c>
      <c r="D386" s="58" t="s">
        <v>1353</v>
      </c>
      <c r="E386" s="58" t="s">
        <v>1353</v>
      </c>
      <c r="F386" s="58" t="s">
        <v>1353</v>
      </c>
      <c r="G386" s="58" t="s">
        <v>1353</v>
      </c>
      <c r="H386" s="58" t="s">
        <v>202</v>
      </c>
    </row>
    <row r="387" spans="1:8" x14ac:dyDescent="0.2">
      <c r="A387" s="58">
        <v>91786</v>
      </c>
      <c r="B387" s="58">
        <v>2</v>
      </c>
      <c r="C387" s="58" t="s">
        <v>914</v>
      </c>
      <c r="D387" s="58" t="s">
        <v>1353</v>
      </c>
      <c r="E387" s="58" t="s">
        <v>1352</v>
      </c>
      <c r="F387" s="58" t="s">
        <v>1352</v>
      </c>
      <c r="G387" s="58" t="s">
        <v>1352</v>
      </c>
      <c r="H387" s="58" t="s">
        <v>1352</v>
      </c>
    </row>
    <row r="388" spans="1:8" x14ac:dyDescent="0.2">
      <c r="A388" s="58">
        <v>91711</v>
      </c>
      <c r="B388" s="58">
        <v>2</v>
      </c>
      <c r="C388" s="58" t="s">
        <v>914</v>
      </c>
      <c r="D388" s="58" t="s">
        <v>202</v>
      </c>
      <c r="E388" s="58" t="s">
        <v>199</v>
      </c>
      <c r="F388" s="58" t="s">
        <v>199</v>
      </c>
      <c r="G388" s="58" t="s">
        <v>199</v>
      </c>
      <c r="H388" s="58" t="s">
        <v>191</v>
      </c>
    </row>
    <row r="389" spans="1:8" x14ac:dyDescent="0.2">
      <c r="A389" s="58">
        <v>91763</v>
      </c>
      <c r="B389" s="58">
        <v>2</v>
      </c>
      <c r="C389" s="58" t="s">
        <v>914</v>
      </c>
      <c r="D389" s="58" t="s">
        <v>1353</v>
      </c>
      <c r="E389" s="58" t="s">
        <v>1353</v>
      </c>
      <c r="F389" s="58" t="s">
        <v>1353</v>
      </c>
      <c r="G389" s="58" t="s">
        <v>1353</v>
      </c>
      <c r="H389" s="58" t="s">
        <v>1353</v>
      </c>
    </row>
    <row r="390" spans="1:8" x14ac:dyDescent="0.2">
      <c r="A390" s="58">
        <v>91763</v>
      </c>
      <c r="B390" s="58">
        <v>2</v>
      </c>
      <c r="C390" s="58" t="s">
        <v>914</v>
      </c>
      <c r="D390" s="58" t="s">
        <v>1353</v>
      </c>
      <c r="E390" s="58" t="s">
        <v>1353</v>
      </c>
      <c r="F390" s="58" t="s">
        <v>1353</v>
      </c>
      <c r="G390" s="58" t="s">
        <v>1353</v>
      </c>
      <c r="H390" s="58" t="s">
        <v>1353</v>
      </c>
    </row>
    <row r="391" spans="1:8" x14ac:dyDescent="0.2">
      <c r="A391" s="58">
        <v>91711</v>
      </c>
      <c r="B391" s="58">
        <v>2</v>
      </c>
      <c r="C391" s="58" t="s">
        <v>914</v>
      </c>
      <c r="D391" s="58" t="s">
        <v>1353</v>
      </c>
      <c r="E391" s="58" t="s">
        <v>1353</v>
      </c>
      <c r="F391" s="58" t="s">
        <v>1353</v>
      </c>
      <c r="G391" s="58" t="s">
        <v>1353</v>
      </c>
      <c r="H391" s="58" t="s">
        <v>1353</v>
      </c>
    </row>
    <row r="392" spans="1:8" x14ac:dyDescent="0.2">
      <c r="A392" s="58">
        <v>91763</v>
      </c>
      <c r="B392" s="58">
        <v>2</v>
      </c>
      <c r="C392" s="58" t="s">
        <v>914</v>
      </c>
      <c r="D392" s="58" t="s">
        <v>1353</v>
      </c>
      <c r="E392" s="58" t="s">
        <v>1353</v>
      </c>
      <c r="F392" s="58" t="s">
        <v>1353</v>
      </c>
      <c r="G392" s="58" t="s">
        <v>1353</v>
      </c>
      <c r="H392" s="58" t="s">
        <v>1353</v>
      </c>
    </row>
    <row r="393" spans="1:8" x14ac:dyDescent="0.2">
      <c r="A393" s="58">
        <v>91711</v>
      </c>
      <c r="B393" s="58">
        <v>2</v>
      </c>
      <c r="C393" s="58" t="s">
        <v>914</v>
      </c>
      <c r="D393" s="58" t="s">
        <v>1353</v>
      </c>
      <c r="E393" s="58" t="s">
        <v>1353</v>
      </c>
      <c r="F393" s="58" t="s">
        <v>1353</v>
      </c>
      <c r="G393" s="58" t="s">
        <v>1353</v>
      </c>
      <c r="H393" s="58" t="s">
        <v>1353</v>
      </c>
    </row>
    <row r="394" spans="1:8" x14ac:dyDescent="0.2">
      <c r="A394" s="58">
        <v>91711</v>
      </c>
      <c r="B394" s="58">
        <v>2</v>
      </c>
      <c r="C394" s="58" t="s">
        <v>914</v>
      </c>
      <c r="D394" s="58" t="s">
        <v>1353</v>
      </c>
      <c r="E394" s="58" t="s">
        <v>1353</v>
      </c>
      <c r="F394" s="58" t="s">
        <v>1353</v>
      </c>
      <c r="G394" s="58" t="s">
        <v>1353</v>
      </c>
      <c r="H394" s="58" t="s">
        <v>1353</v>
      </c>
    </row>
    <row r="395" spans="1:8" x14ac:dyDescent="0.2">
      <c r="A395" s="58">
        <v>91711</v>
      </c>
      <c r="B395" s="58">
        <v>2</v>
      </c>
      <c r="C395" s="58" t="s">
        <v>914</v>
      </c>
      <c r="D395" s="58" t="s">
        <v>1353</v>
      </c>
      <c r="E395" s="58" t="s">
        <v>1353</v>
      </c>
      <c r="F395" s="58" t="s">
        <v>1353</v>
      </c>
      <c r="G395" s="58" t="s">
        <v>1353</v>
      </c>
      <c r="H395" s="58" t="s">
        <v>1353</v>
      </c>
    </row>
    <row r="396" spans="1:8" x14ac:dyDescent="0.2">
      <c r="A396" s="58">
        <v>91786</v>
      </c>
      <c r="B396" s="58">
        <v>2</v>
      </c>
      <c r="C396" s="58" t="s">
        <v>914</v>
      </c>
      <c r="D396" s="58" t="s">
        <v>1353</v>
      </c>
      <c r="E396" s="58" t="s">
        <v>1353</v>
      </c>
      <c r="F396" s="58" t="s">
        <v>1353</v>
      </c>
      <c r="G396" s="58" t="s">
        <v>1353</v>
      </c>
      <c r="H396" s="58" t="s">
        <v>1353</v>
      </c>
    </row>
    <row r="397" spans="1:8" x14ac:dyDescent="0.2">
      <c r="A397" s="58">
        <v>91711</v>
      </c>
      <c r="B397" s="58">
        <v>2</v>
      </c>
      <c r="C397" s="58" t="s">
        <v>914</v>
      </c>
      <c r="D397" s="58" t="s">
        <v>1372</v>
      </c>
      <c r="E397" s="58" t="s">
        <v>1372</v>
      </c>
      <c r="F397" s="58" t="s">
        <v>1372</v>
      </c>
      <c r="G397" s="58" t="s">
        <v>1352</v>
      </c>
      <c r="H397" s="58" t="s">
        <v>1353</v>
      </c>
    </row>
    <row r="398" spans="1:8" x14ac:dyDescent="0.2">
      <c r="A398" s="58">
        <v>91711</v>
      </c>
      <c r="B398" s="58">
        <v>2</v>
      </c>
      <c r="C398" s="58" t="s">
        <v>914</v>
      </c>
      <c r="D398" s="58" t="s">
        <v>191</v>
      </c>
      <c r="E398" s="58" t="s">
        <v>1353</v>
      </c>
      <c r="F398" s="58" t="s">
        <v>1353</v>
      </c>
      <c r="G398" s="58" t="s">
        <v>1353</v>
      </c>
      <c r="H398" s="58" t="s">
        <v>1353</v>
      </c>
    </row>
    <row r="399" spans="1:8" x14ac:dyDescent="0.2">
      <c r="A399" s="58">
        <v>91786</v>
      </c>
      <c r="B399" s="58">
        <v>2</v>
      </c>
      <c r="C399" s="58" t="s">
        <v>914</v>
      </c>
      <c r="D399" s="58" t="s">
        <v>1353</v>
      </c>
      <c r="E399" s="58" t="s">
        <v>1353</v>
      </c>
      <c r="F399" s="58" t="s">
        <v>1353</v>
      </c>
      <c r="G399" s="58" t="s">
        <v>1353</v>
      </c>
      <c r="H399" s="58" t="s">
        <v>1353</v>
      </c>
    </row>
    <row r="400" spans="1:8" x14ac:dyDescent="0.2">
      <c r="A400" s="58">
        <v>91767</v>
      </c>
      <c r="B400" s="58">
        <v>2</v>
      </c>
      <c r="C400" s="58" t="s">
        <v>914</v>
      </c>
      <c r="D400" s="58" t="s">
        <v>1353</v>
      </c>
      <c r="E400" s="58" t="s">
        <v>1353</v>
      </c>
      <c r="F400" s="58" t="s">
        <v>1353</v>
      </c>
      <c r="G400" s="58" t="s">
        <v>1353</v>
      </c>
      <c r="H400" s="58" t="s">
        <v>1353</v>
      </c>
    </row>
    <row r="401" spans="1:8" x14ac:dyDescent="0.2">
      <c r="A401" s="58">
        <v>91711</v>
      </c>
      <c r="B401" s="58">
        <v>2</v>
      </c>
      <c r="C401" s="58" t="s">
        <v>914</v>
      </c>
      <c r="D401" s="58" t="s">
        <v>1353</v>
      </c>
      <c r="E401" s="58" t="s">
        <v>1353</v>
      </c>
      <c r="F401" s="58" t="s">
        <v>1353</v>
      </c>
      <c r="G401" s="58" t="s">
        <v>1353</v>
      </c>
      <c r="H401" s="58" t="s">
        <v>1353</v>
      </c>
    </row>
    <row r="402" spans="1:8" x14ac:dyDescent="0.2">
      <c r="A402" s="58">
        <v>91767</v>
      </c>
      <c r="B402" s="58">
        <v>2</v>
      </c>
      <c r="C402" s="58" t="s">
        <v>914</v>
      </c>
      <c r="D402" s="58" t="s">
        <v>1353</v>
      </c>
      <c r="E402" s="58" t="s">
        <v>1353</v>
      </c>
      <c r="F402" s="58" t="s">
        <v>1353</v>
      </c>
      <c r="G402" s="58" t="s">
        <v>1353</v>
      </c>
      <c r="H402" s="58" t="s">
        <v>1353</v>
      </c>
    </row>
    <row r="403" spans="1:8" x14ac:dyDescent="0.2">
      <c r="A403" s="58">
        <v>91711</v>
      </c>
      <c r="B403" s="58">
        <v>2</v>
      </c>
      <c r="C403" s="58" t="s">
        <v>914</v>
      </c>
      <c r="D403" s="58" t="s">
        <v>1353</v>
      </c>
      <c r="E403" s="58" t="s">
        <v>1352</v>
      </c>
      <c r="F403" s="58" t="s">
        <v>1352</v>
      </c>
      <c r="G403" s="58" t="s">
        <v>202</v>
      </c>
      <c r="H403" s="58" t="s">
        <v>202</v>
      </c>
    </row>
    <row r="404" spans="1:8" x14ac:dyDescent="0.2">
      <c r="A404" s="58">
        <v>91711</v>
      </c>
      <c r="B404" s="58">
        <v>2</v>
      </c>
      <c r="C404" s="58" t="s">
        <v>914</v>
      </c>
      <c r="D404" s="58" t="s">
        <v>1353</v>
      </c>
      <c r="E404" s="58" t="s">
        <v>1352</v>
      </c>
      <c r="F404" s="58" t="s">
        <v>1353</v>
      </c>
      <c r="G404" s="58" t="s">
        <v>1352</v>
      </c>
      <c r="H404" s="58" t="s">
        <v>1352</v>
      </c>
    </row>
    <row r="405" spans="1:8" x14ac:dyDescent="0.2">
      <c r="A405" s="58">
        <v>91763</v>
      </c>
      <c r="B405" s="58">
        <v>2</v>
      </c>
      <c r="C405" s="58" t="s">
        <v>914</v>
      </c>
      <c r="D405" s="58" t="s">
        <v>1353</v>
      </c>
      <c r="E405" s="58" t="s">
        <v>1353</v>
      </c>
      <c r="F405" s="58" t="s">
        <v>1353</v>
      </c>
      <c r="G405" s="58" t="s">
        <v>1353</v>
      </c>
      <c r="H405" s="58" t="s">
        <v>1353</v>
      </c>
    </row>
    <row r="406" spans="1:8" x14ac:dyDescent="0.2">
      <c r="A406" s="58">
        <v>91786</v>
      </c>
      <c r="B406" s="58">
        <v>2</v>
      </c>
      <c r="C406" s="58" t="s">
        <v>914</v>
      </c>
      <c r="D406" s="58" t="s">
        <v>1372</v>
      </c>
      <c r="E406" s="58" t="s">
        <v>1372</v>
      </c>
      <c r="F406" s="58" t="s">
        <v>1372</v>
      </c>
      <c r="G406" s="58" t="s">
        <v>1372</v>
      </c>
      <c r="H406" s="58" t="s">
        <v>1372</v>
      </c>
    </row>
    <row r="407" spans="1:8" x14ac:dyDescent="0.2">
      <c r="A407" s="58">
        <v>91711</v>
      </c>
      <c r="B407" s="58">
        <v>2</v>
      </c>
      <c r="C407" s="58" t="s">
        <v>914</v>
      </c>
      <c r="D407" s="58" t="s">
        <v>1372</v>
      </c>
      <c r="E407" s="58" t="s">
        <v>1372</v>
      </c>
      <c r="F407" s="58" t="s">
        <v>1372</v>
      </c>
      <c r="G407" s="58" t="s">
        <v>1372</v>
      </c>
      <c r="H407" s="58" t="s">
        <v>1372</v>
      </c>
    </row>
    <row r="408" spans="1:8" x14ac:dyDescent="0.2">
      <c r="A408" s="58">
        <v>91767</v>
      </c>
      <c r="B408" s="58">
        <v>2</v>
      </c>
      <c r="C408" s="58" t="s">
        <v>914</v>
      </c>
      <c r="D408" s="58" t="s">
        <v>1353</v>
      </c>
      <c r="E408" s="58" t="s">
        <v>1353</v>
      </c>
      <c r="F408" s="58" t="s">
        <v>1353</v>
      </c>
      <c r="G408" s="58" t="s">
        <v>1353</v>
      </c>
      <c r="H408" s="58" t="s">
        <v>1353</v>
      </c>
    </row>
    <row r="409" spans="1:8" x14ac:dyDescent="0.2">
      <c r="A409" s="58">
        <v>91711</v>
      </c>
      <c r="B409" s="58">
        <v>1.8</v>
      </c>
      <c r="C409" s="58" t="s">
        <v>914</v>
      </c>
      <c r="D409" s="58" t="s">
        <v>1353</v>
      </c>
      <c r="E409" s="58" t="s">
        <v>1353</v>
      </c>
      <c r="F409" s="58" t="s">
        <v>1353</v>
      </c>
      <c r="G409" s="58" t="s">
        <v>1353</v>
      </c>
      <c r="H409" s="58" t="s">
        <v>1353</v>
      </c>
    </row>
    <row r="410" spans="1:8" x14ac:dyDescent="0.2">
      <c r="A410" s="58">
        <v>91763</v>
      </c>
      <c r="B410" s="58">
        <v>1.7</v>
      </c>
      <c r="C410" s="58" t="s">
        <v>914</v>
      </c>
      <c r="D410" s="58" t="s">
        <v>1353</v>
      </c>
      <c r="E410" s="58" t="s">
        <v>1353</v>
      </c>
      <c r="F410" s="58" t="s">
        <v>1353</v>
      </c>
      <c r="G410" s="58" t="s">
        <v>1353</v>
      </c>
      <c r="H410" s="58" t="s">
        <v>202</v>
      </c>
    </row>
    <row r="411" spans="1:8" x14ac:dyDescent="0.2">
      <c r="A411" s="58">
        <v>91711</v>
      </c>
      <c r="B411" s="58">
        <v>1.5</v>
      </c>
      <c r="C411" s="58" t="s">
        <v>1390</v>
      </c>
      <c r="D411" s="58" t="s">
        <v>1353</v>
      </c>
      <c r="E411" s="58" t="s">
        <v>1352</v>
      </c>
      <c r="F411" s="58" t="s">
        <v>1353</v>
      </c>
      <c r="G411" s="58" t="s">
        <v>1352</v>
      </c>
      <c r="H411" s="58" t="s">
        <v>1352</v>
      </c>
    </row>
    <row r="412" spans="1:8" x14ac:dyDescent="0.2">
      <c r="A412" s="58">
        <v>91711</v>
      </c>
      <c r="B412" s="58">
        <v>1.5</v>
      </c>
      <c r="C412" s="58" t="s">
        <v>914</v>
      </c>
      <c r="D412" s="58" t="s">
        <v>1353</v>
      </c>
      <c r="E412" s="58" t="s">
        <v>1353</v>
      </c>
      <c r="F412" s="58" t="s">
        <v>1353</v>
      </c>
      <c r="G412" s="58" t="s">
        <v>1353</v>
      </c>
      <c r="H412" s="58" t="s">
        <v>1353</v>
      </c>
    </row>
    <row r="413" spans="1:8" x14ac:dyDescent="0.2">
      <c r="A413" s="58">
        <v>91711</v>
      </c>
      <c r="B413" s="58">
        <v>1.5</v>
      </c>
      <c r="C413" s="58" t="s">
        <v>914</v>
      </c>
      <c r="D413" s="58" t="s">
        <v>1353</v>
      </c>
      <c r="E413" s="58" t="s">
        <v>1372</v>
      </c>
      <c r="F413" s="58" t="s">
        <v>1353</v>
      </c>
      <c r="G413" s="58" t="s">
        <v>1353</v>
      </c>
      <c r="H413" s="58" t="s">
        <v>1353</v>
      </c>
    </row>
    <row r="414" spans="1:8" x14ac:dyDescent="0.2">
      <c r="A414" s="58" t="s">
        <v>1432</v>
      </c>
      <c r="B414" s="58">
        <v>1.5</v>
      </c>
      <c r="C414" s="58" t="s">
        <v>914</v>
      </c>
      <c r="D414" s="58" t="s">
        <v>1352</v>
      </c>
      <c r="E414" s="58" t="s">
        <v>1356</v>
      </c>
      <c r="F414" s="58" t="s">
        <v>1352</v>
      </c>
      <c r="G414" s="58" t="s">
        <v>1352</v>
      </c>
      <c r="H414" s="58" t="s">
        <v>1352</v>
      </c>
    </row>
    <row r="415" spans="1:8" x14ac:dyDescent="0.2">
      <c r="A415" s="58">
        <v>91711</v>
      </c>
      <c r="B415" s="58">
        <v>1.5</v>
      </c>
      <c r="C415" s="58" t="s">
        <v>914</v>
      </c>
      <c r="D415" s="58" t="s">
        <v>1353</v>
      </c>
      <c r="E415" s="58" t="s">
        <v>1353</v>
      </c>
      <c r="F415" s="58" t="s">
        <v>1353</v>
      </c>
      <c r="G415" s="58" t="s">
        <v>191</v>
      </c>
      <c r="H415" s="58" t="s">
        <v>191</v>
      </c>
    </row>
    <row r="416" spans="1:8" x14ac:dyDescent="0.2">
      <c r="A416" s="58">
        <v>91711</v>
      </c>
      <c r="B416" s="58">
        <v>1.5</v>
      </c>
      <c r="C416" s="58" t="s">
        <v>914</v>
      </c>
      <c r="D416" s="58" t="s">
        <v>1353</v>
      </c>
      <c r="E416" s="58" t="s">
        <v>1353</v>
      </c>
      <c r="F416" s="58" t="s">
        <v>1352</v>
      </c>
      <c r="G416" s="58" t="s">
        <v>1353</v>
      </c>
      <c r="H416" s="58" t="s">
        <v>1353</v>
      </c>
    </row>
    <row r="417" spans="1:8" x14ac:dyDescent="0.2">
      <c r="A417" s="58">
        <v>91711</v>
      </c>
      <c r="B417" s="58">
        <v>1.5</v>
      </c>
      <c r="C417" s="58" t="s">
        <v>914</v>
      </c>
      <c r="D417" s="58" t="s">
        <v>1356</v>
      </c>
      <c r="E417" s="58" t="s">
        <v>1356</v>
      </c>
      <c r="F417" s="58" t="s">
        <v>1356</v>
      </c>
      <c r="G417" s="58" t="s">
        <v>1356</v>
      </c>
      <c r="H417" s="58" t="s">
        <v>1356</v>
      </c>
    </row>
    <row r="418" spans="1:8" x14ac:dyDescent="0.2">
      <c r="A418" s="58">
        <v>91786</v>
      </c>
      <c r="B418" s="58">
        <v>1.5</v>
      </c>
      <c r="C418" s="58" t="s">
        <v>914</v>
      </c>
      <c r="D418" s="58" t="s">
        <v>1353</v>
      </c>
      <c r="E418" s="58" t="s">
        <v>1353</v>
      </c>
      <c r="F418" s="58" t="s">
        <v>1353</v>
      </c>
      <c r="G418" s="58" t="s">
        <v>1353</v>
      </c>
      <c r="H418" s="58" t="s">
        <v>1353</v>
      </c>
    </row>
    <row r="419" spans="1:8" x14ac:dyDescent="0.2">
      <c r="A419" s="58">
        <v>91711</v>
      </c>
      <c r="B419" s="58">
        <v>1.5</v>
      </c>
      <c r="C419" s="58" t="s">
        <v>914</v>
      </c>
      <c r="D419" s="58" t="s">
        <v>1372</v>
      </c>
      <c r="E419" s="58" t="s">
        <v>1372</v>
      </c>
      <c r="F419" s="58" t="s">
        <v>1372</v>
      </c>
      <c r="G419" s="58" t="s">
        <v>1372</v>
      </c>
      <c r="H419" s="58" t="s">
        <v>1372</v>
      </c>
    </row>
    <row r="420" spans="1:8" x14ac:dyDescent="0.2">
      <c r="A420" s="58">
        <v>91711</v>
      </c>
      <c r="B420" s="58">
        <v>1.5</v>
      </c>
      <c r="C420" s="58" t="s">
        <v>914</v>
      </c>
      <c r="D420" s="58" t="s">
        <v>1353</v>
      </c>
      <c r="E420" s="58" t="s">
        <v>1353</v>
      </c>
      <c r="F420" s="58" t="s">
        <v>1353</v>
      </c>
      <c r="G420" s="58" t="s">
        <v>1353</v>
      </c>
      <c r="H420" s="58" t="s">
        <v>1353</v>
      </c>
    </row>
    <row r="421" spans="1:8" x14ac:dyDescent="0.2">
      <c r="A421" s="58" t="s">
        <v>1448</v>
      </c>
      <c r="B421" s="58">
        <v>1.5</v>
      </c>
      <c r="C421" s="58" t="s">
        <v>914</v>
      </c>
      <c r="D421" s="58" t="s">
        <v>1373</v>
      </c>
      <c r="E421" s="58" t="s">
        <v>1373</v>
      </c>
      <c r="F421" s="58" t="s">
        <v>1373</v>
      </c>
      <c r="G421" s="58" t="s">
        <v>1373</v>
      </c>
      <c r="H421" s="58" t="s">
        <v>191</v>
      </c>
    </row>
    <row r="422" spans="1:8" x14ac:dyDescent="0.2">
      <c r="A422" s="58">
        <v>91711</v>
      </c>
      <c r="B422" s="58">
        <v>1.2</v>
      </c>
      <c r="C422" s="58" t="s">
        <v>1390</v>
      </c>
      <c r="D422" s="58" t="s">
        <v>1372</v>
      </c>
      <c r="E422" s="58" t="s">
        <v>1372</v>
      </c>
      <c r="F422" s="58" t="s">
        <v>1372</v>
      </c>
      <c r="G422" s="58" t="s">
        <v>1372</v>
      </c>
      <c r="H422" s="58" t="s">
        <v>1372</v>
      </c>
    </row>
    <row r="423" spans="1:8" x14ac:dyDescent="0.2">
      <c r="A423" s="58">
        <v>91711</v>
      </c>
      <c r="B423" s="58">
        <v>1.2</v>
      </c>
      <c r="C423" s="58" t="s">
        <v>914</v>
      </c>
      <c r="D423" s="58" t="s">
        <v>1373</v>
      </c>
      <c r="E423" s="58" t="s">
        <v>1353</v>
      </c>
      <c r="F423" s="58" t="s">
        <v>1373</v>
      </c>
      <c r="G423" s="58" t="s">
        <v>1373</v>
      </c>
      <c r="H423" s="58" t="s">
        <v>1352</v>
      </c>
    </row>
    <row r="424" spans="1:8" x14ac:dyDescent="0.2">
      <c r="A424" s="58">
        <v>91711</v>
      </c>
      <c r="B424" s="58">
        <v>1.1000000000000001</v>
      </c>
      <c r="C424" s="58" t="s">
        <v>1390</v>
      </c>
      <c r="D424" s="58" t="s">
        <v>1372</v>
      </c>
      <c r="E424" s="58" t="s">
        <v>202</v>
      </c>
      <c r="F424" s="58" t="s">
        <v>199</v>
      </c>
      <c r="G424" s="58" t="s">
        <v>202</v>
      </c>
      <c r="H424" s="58" t="s">
        <v>1372</v>
      </c>
    </row>
    <row r="425" spans="1:8" x14ac:dyDescent="0.2">
      <c r="A425" s="58">
        <v>91711</v>
      </c>
      <c r="B425" s="58">
        <v>1</v>
      </c>
      <c r="C425" s="58" t="s">
        <v>1390</v>
      </c>
      <c r="D425" s="58" t="s">
        <v>202</v>
      </c>
      <c r="E425" s="58" t="s">
        <v>1353</v>
      </c>
      <c r="F425" s="58" t="s">
        <v>202</v>
      </c>
      <c r="G425" s="58" t="s">
        <v>1353</v>
      </c>
      <c r="H425" s="58" t="s">
        <v>1353</v>
      </c>
    </row>
    <row r="426" spans="1:8" x14ac:dyDescent="0.2">
      <c r="A426" s="58" t="s">
        <v>1424</v>
      </c>
      <c r="B426" s="58">
        <v>1</v>
      </c>
      <c r="C426" s="58" t="s">
        <v>1390</v>
      </c>
      <c r="D426" s="58" t="s">
        <v>1372</v>
      </c>
      <c r="E426" s="58" t="s">
        <v>1372</v>
      </c>
      <c r="F426" s="58" t="s">
        <v>1372</v>
      </c>
      <c r="G426" s="58" t="s">
        <v>1372</v>
      </c>
      <c r="H426" s="58" t="s">
        <v>1372</v>
      </c>
    </row>
    <row r="427" spans="1:8" x14ac:dyDescent="0.2">
      <c r="A427" s="58">
        <v>91711</v>
      </c>
      <c r="B427" s="58">
        <v>1</v>
      </c>
      <c r="C427" s="58" t="s">
        <v>1390</v>
      </c>
      <c r="D427" s="58" t="s">
        <v>1372</v>
      </c>
      <c r="E427" s="58" t="s">
        <v>1372</v>
      </c>
      <c r="F427" s="58" t="s">
        <v>1373</v>
      </c>
      <c r="G427" s="58" t="s">
        <v>1373</v>
      </c>
      <c r="H427" s="58" t="s">
        <v>1372</v>
      </c>
    </row>
    <row r="428" spans="1:8" x14ac:dyDescent="0.2">
      <c r="A428" s="58">
        <v>91711</v>
      </c>
      <c r="B428" s="58">
        <v>1</v>
      </c>
      <c r="C428" s="58" t="s">
        <v>1390</v>
      </c>
      <c r="D428" s="58" t="s">
        <v>1373</v>
      </c>
      <c r="E428" s="58" t="s">
        <v>1372</v>
      </c>
      <c r="F428" s="58" t="s">
        <v>1372</v>
      </c>
      <c r="G428" s="58" t="s">
        <v>1373</v>
      </c>
      <c r="H428" s="58" t="s">
        <v>1372</v>
      </c>
    </row>
    <row r="429" spans="1:8" x14ac:dyDescent="0.2">
      <c r="A429" s="58">
        <v>91767</v>
      </c>
      <c r="B429" s="58">
        <v>1</v>
      </c>
      <c r="C429" s="58" t="s">
        <v>1390</v>
      </c>
      <c r="D429" s="58" t="s">
        <v>199</v>
      </c>
      <c r="E429" s="58" t="s">
        <v>1372</v>
      </c>
      <c r="F429" s="58" t="s">
        <v>199</v>
      </c>
      <c r="G429" s="58" t="s">
        <v>199</v>
      </c>
      <c r="H429" s="58" t="s">
        <v>199</v>
      </c>
    </row>
    <row r="430" spans="1:8" x14ac:dyDescent="0.2">
      <c r="A430" s="58">
        <v>91711</v>
      </c>
      <c r="B430" s="58">
        <v>1</v>
      </c>
      <c r="C430" s="58" t="s">
        <v>1390</v>
      </c>
      <c r="D430" s="58" t="s">
        <v>199</v>
      </c>
      <c r="E430" s="58" t="s">
        <v>1353</v>
      </c>
      <c r="F430" s="58" t="s">
        <v>1353</v>
      </c>
      <c r="G430" s="58" t="s">
        <v>199</v>
      </c>
      <c r="H430" s="58" t="s">
        <v>199</v>
      </c>
    </row>
    <row r="431" spans="1:8" x14ac:dyDescent="0.2">
      <c r="A431" s="58">
        <v>91711</v>
      </c>
      <c r="B431" s="58">
        <v>1</v>
      </c>
      <c r="C431" s="58" t="s">
        <v>1390</v>
      </c>
      <c r="D431" s="58" t="s">
        <v>199</v>
      </c>
      <c r="E431" s="58" t="s">
        <v>1373</v>
      </c>
      <c r="F431" s="58" t="s">
        <v>1372</v>
      </c>
      <c r="G431" s="58" t="s">
        <v>199</v>
      </c>
      <c r="H431" s="58" t="s">
        <v>199</v>
      </c>
    </row>
    <row r="432" spans="1:8" x14ac:dyDescent="0.2">
      <c r="A432" s="58">
        <v>91711</v>
      </c>
      <c r="B432" s="58">
        <v>1</v>
      </c>
      <c r="C432" s="58" t="s">
        <v>1390</v>
      </c>
      <c r="D432" s="58" t="s">
        <v>202</v>
      </c>
      <c r="E432" s="58" t="s">
        <v>202</v>
      </c>
      <c r="F432" s="58" t="s">
        <v>202</v>
      </c>
      <c r="G432" s="58" t="s">
        <v>1374</v>
      </c>
      <c r="H432" s="58" t="s">
        <v>1352</v>
      </c>
    </row>
    <row r="433" spans="1:8" x14ac:dyDescent="0.2">
      <c r="A433" s="58" t="s">
        <v>1449</v>
      </c>
      <c r="B433" s="58">
        <v>1</v>
      </c>
      <c r="C433" s="58" t="s">
        <v>1390</v>
      </c>
      <c r="D433" s="58" t="s">
        <v>1353</v>
      </c>
      <c r="E433" s="58" t="s">
        <v>1353</v>
      </c>
      <c r="F433" s="58" t="s">
        <v>1353</v>
      </c>
      <c r="G433" s="58" t="s">
        <v>1353</v>
      </c>
      <c r="H433" s="58" t="s">
        <v>1353</v>
      </c>
    </row>
    <row r="434" spans="1:8" x14ac:dyDescent="0.2">
      <c r="A434" s="58">
        <v>91711</v>
      </c>
      <c r="B434" s="58">
        <v>1</v>
      </c>
      <c r="C434" s="58" t="s">
        <v>914</v>
      </c>
      <c r="D434" s="58" t="s">
        <v>1372</v>
      </c>
      <c r="E434" s="58" t="s">
        <v>1372</v>
      </c>
      <c r="F434" s="58" t="s">
        <v>1372</v>
      </c>
      <c r="G434" s="58" t="s">
        <v>1372</v>
      </c>
      <c r="H434" s="58" t="s">
        <v>1372</v>
      </c>
    </row>
    <row r="435" spans="1:8" x14ac:dyDescent="0.2">
      <c r="A435" s="58">
        <v>91763</v>
      </c>
      <c r="B435" s="58">
        <v>1</v>
      </c>
      <c r="C435" s="58" t="s">
        <v>914</v>
      </c>
      <c r="D435" s="58" t="s">
        <v>1352</v>
      </c>
      <c r="E435" s="58" t="s">
        <v>1352</v>
      </c>
      <c r="F435" s="58" t="s">
        <v>1352</v>
      </c>
      <c r="G435" s="58" t="s">
        <v>1352</v>
      </c>
      <c r="H435" s="58" t="s">
        <v>1352</v>
      </c>
    </row>
    <row r="436" spans="1:8" x14ac:dyDescent="0.2">
      <c r="A436" s="58">
        <v>91711</v>
      </c>
      <c r="B436" s="58">
        <v>1</v>
      </c>
      <c r="C436" s="58" t="s">
        <v>914</v>
      </c>
      <c r="D436" s="58" t="s">
        <v>199</v>
      </c>
      <c r="E436" s="58" t="s">
        <v>1352</v>
      </c>
      <c r="F436" s="58" t="s">
        <v>1352</v>
      </c>
      <c r="G436" s="58" t="s">
        <v>1352</v>
      </c>
      <c r="H436" s="58" t="s">
        <v>1352</v>
      </c>
    </row>
    <row r="437" spans="1:8" x14ac:dyDescent="0.2">
      <c r="A437" s="58">
        <v>91711</v>
      </c>
      <c r="B437" s="58">
        <v>1</v>
      </c>
      <c r="C437" s="58" t="s">
        <v>914</v>
      </c>
      <c r="D437" s="58" t="s">
        <v>202</v>
      </c>
      <c r="E437" s="58" t="s">
        <v>202</v>
      </c>
      <c r="F437" s="58" t="s">
        <v>202</v>
      </c>
      <c r="G437" s="58" t="s">
        <v>202</v>
      </c>
      <c r="H437" s="58" t="s">
        <v>202</v>
      </c>
    </row>
    <row r="438" spans="1:8" x14ac:dyDescent="0.2">
      <c r="A438" s="58">
        <v>91711</v>
      </c>
      <c r="B438" s="58">
        <v>1</v>
      </c>
      <c r="C438" s="58" t="s">
        <v>914</v>
      </c>
      <c r="D438" s="58" t="s">
        <v>1372</v>
      </c>
      <c r="E438" s="58" t="s">
        <v>1372</v>
      </c>
      <c r="F438" s="58" t="s">
        <v>1372</v>
      </c>
      <c r="G438" s="58" t="s">
        <v>1372</v>
      </c>
      <c r="H438" s="58" t="s">
        <v>1372</v>
      </c>
    </row>
    <row r="439" spans="1:8" x14ac:dyDescent="0.2">
      <c r="A439" s="58">
        <v>91711</v>
      </c>
      <c r="B439" s="58">
        <v>1</v>
      </c>
      <c r="C439" s="58" t="s">
        <v>914</v>
      </c>
      <c r="D439" s="58" t="s">
        <v>1353</v>
      </c>
      <c r="E439" s="58" t="s">
        <v>1353</v>
      </c>
      <c r="F439" s="58" t="s">
        <v>1353</v>
      </c>
      <c r="G439" s="58" t="s">
        <v>1353</v>
      </c>
      <c r="H439" s="58" t="s">
        <v>1353</v>
      </c>
    </row>
    <row r="440" spans="1:8" x14ac:dyDescent="0.2">
      <c r="A440" s="58">
        <v>91763</v>
      </c>
      <c r="B440" s="58">
        <v>1</v>
      </c>
      <c r="C440" s="58" t="s">
        <v>914</v>
      </c>
      <c r="D440" s="58" t="s">
        <v>1353</v>
      </c>
      <c r="E440" s="58" t="s">
        <v>1353</v>
      </c>
      <c r="F440" s="58" t="s">
        <v>1353</v>
      </c>
      <c r="G440" s="58" t="s">
        <v>1353</v>
      </c>
      <c r="H440" s="58" t="s">
        <v>1353</v>
      </c>
    </row>
    <row r="441" spans="1:8" x14ac:dyDescent="0.2">
      <c r="A441" s="58">
        <v>91711</v>
      </c>
      <c r="B441" s="58">
        <v>1</v>
      </c>
      <c r="C441" s="58" t="s">
        <v>914</v>
      </c>
      <c r="D441" s="58" t="s">
        <v>202</v>
      </c>
      <c r="E441" s="58" t="s">
        <v>202</v>
      </c>
      <c r="F441" s="58" t="s">
        <v>1353</v>
      </c>
      <c r="G441" s="58" t="s">
        <v>202</v>
      </c>
      <c r="H441" s="58" t="s">
        <v>202</v>
      </c>
    </row>
    <row r="442" spans="1:8" x14ac:dyDescent="0.2">
      <c r="A442" s="58">
        <v>91711</v>
      </c>
      <c r="B442" s="58">
        <v>1</v>
      </c>
      <c r="C442" s="58" t="s">
        <v>914</v>
      </c>
      <c r="D442" s="58" t="s">
        <v>1353</v>
      </c>
      <c r="E442" s="58" t="s">
        <v>1353</v>
      </c>
      <c r="F442" s="58" t="s">
        <v>1353</v>
      </c>
      <c r="G442" s="58" t="s">
        <v>1353</v>
      </c>
      <c r="H442" s="58" t="s">
        <v>1353</v>
      </c>
    </row>
    <row r="443" spans="1:8" x14ac:dyDescent="0.2">
      <c r="A443" s="58">
        <v>91711</v>
      </c>
      <c r="B443" s="58">
        <v>1</v>
      </c>
      <c r="C443" s="58" t="s">
        <v>914</v>
      </c>
      <c r="D443" s="58" t="s">
        <v>1353</v>
      </c>
      <c r="E443" s="58" t="s">
        <v>191</v>
      </c>
      <c r="F443" s="58" t="s">
        <v>1353</v>
      </c>
      <c r="G443" s="58" t="s">
        <v>1353</v>
      </c>
      <c r="H443" s="58" t="s">
        <v>1353</v>
      </c>
    </row>
    <row r="444" spans="1:8" x14ac:dyDescent="0.2">
      <c r="A444" s="58">
        <v>91711</v>
      </c>
      <c r="B444" s="58">
        <v>1</v>
      </c>
      <c r="C444" s="58" t="s">
        <v>914</v>
      </c>
      <c r="D444" s="58" t="s">
        <v>1372</v>
      </c>
      <c r="E444" s="58" t="s">
        <v>1372</v>
      </c>
      <c r="F444" s="58" t="s">
        <v>1372</v>
      </c>
      <c r="G444" s="58" t="s">
        <v>1373</v>
      </c>
      <c r="H444" s="58" t="s">
        <v>1373</v>
      </c>
    </row>
    <row r="445" spans="1:8" x14ac:dyDescent="0.2">
      <c r="A445" s="58">
        <v>91711</v>
      </c>
      <c r="B445" s="58">
        <v>1</v>
      </c>
      <c r="C445" s="58" t="s">
        <v>914</v>
      </c>
      <c r="D445" s="58" t="s">
        <v>1372</v>
      </c>
      <c r="E445" s="58" t="s">
        <v>1372</v>
      </c>
      <c r="F445" s="58" t="s">
        <v>1372</v>
      </c>
      <c r="G445" s="58" t="s">
        <v>1372</v>
      </c>
      <c r="H445" s="58" t="s">
        <v>1372</v>
      </c>
    </row>
    <row r="446" spans="1:8" x14ac:dyDescent="0.2">
      <c r="A446" s="58">
        <v>91711</v>
      </c>
      <c r="B446" s="58">
        <v>1</v>
      </c>
      <c r="C446" s="58" t="s">
        <v>914</v>
      </c>
      <c r="D446" s="58" t="s">
        <v>1353</v>
      </c>
      <c r="E446" s="58" t="s">
        <v>1353</v>
      </c>
      <c r="F446" s="58" t="s">
        <v>1353</v>
      </c>
      <c r="G446" s="58" t="s">
        <v>1353</v>
      </c>
      <c r="H446" s="58" t="s">
        <v>1353</v>
      </c>
    </row>
    <row r="447" spans="1:8" x14ac:dyDescent="0.2">
      <c r="A447" s="58">
        <v>91711</v>
      </c>
      <c r="B447" s="58">
        <v>1</v>
      </c>
      <c r="C447" s="58" t="s">
        <v>914</v>
      </c>
      <c r="D447" s="58" t="s">
        <v>1353</v>
      </c>
      <c r="E447" s="58" t="s">
        <v>1353</v>
      </c>
      <c r="F447" s="58" t="s">
        <v>1353</v>
      </c>
      <c r="G447" s="58" t="s">
        <v>1353</v>
      </c>
      <c r="H447" s="58" t="s">
        <v>1353</v>
      </c>
    </row>
    <row r="448" spans="1:8" x14ac:dyDescent="0.2">
      <c r="A448" s="58">
        <v>91763</v>
      </c>
      <c r="B448" s="58">
        <v>1</v>
      </c>
      <c r="C448" s="58" t="s">
        <v>914</v>
      </c>
      <c r="D448" s="58" t="s">
        <v>1353</v>
      </c>
      <c r="E448" s="58" t="s">
        <v>1353</v>
      </c>
      <c r="F448" s="58" t="s">
        <v>1353</v>
      </c>
      <c r="G448" s="58" t="s">
        <v>202</v>
      </c>
      <c r="H448" s="58" t="s">
        <v>202</v>
      </c>
    </row>
    <row r="449" spans="1:8" x14ac:dyDescent="0.2">
      <c r="A449" s="58">
        <v>91711</v>
      </c>
      <c r="B449" s="58">
        <v>1</v>
      </c>
      <c r="C449" s="58" t="s">
        <v>914</v>
      </c>
      <c r="D449" s="58" t="s">
        <v>1353</v>
      </c>
      <c r="E449" s="58" t="s">
        <v>1352</v>
      </c>
      <c r="F449" s="58" t="s">
        <v>1353</v>
      </c>
      <c r="G449" s="58" t="s">
        <v>1353</v>
      </c>
      <c r="H449" s="58" t="s">
        <v>1353</v>
      </c>
    </row>
    <row r="450" spans="1:8" x14ac:dyDescent="0.2">
      <c r="A450" s="58">
        <v>91763</v>
      </c>
      <c r="B450" s="58">
        <v>1</v>
      </c>
      <c r="C450" s="58" t="s">
        <v>914</v>
      </c>
      <c r="D450" s="58" t="s">
        <v>1353</v>
      </c>
      <c r="E450" s="58" t="s">
        <v>1353</v>
      </c>
      <c r="F450" s="58" t="s">
        <v>1353</v>
      </c>
      <c r="G450" s="58" t="s">
        <v>1353</v>
      </c>
      <c r="H450" s="58" t="s">
        <v>1353</v>
      </c>
    </row>
    <row r="451" spans="1:8" x14ac:dyDescent="0.2">
      <c r="A451" s="58">
        <v>91711</v>
      </c>
      <c r="B451" s="58">
        <v>1</v>
      </c>
      <c r="C451" s="58" t="s">
        <v>914</v>
      </c>
      <c r="D451" s="58" t="s">
        <v>1353</v>
      </c>
      <c r="E451" s="58" t="s">
        <v>1353</v>
      </c>
      <c r="F451" s="58" t="s">
        <v>1353</v>
      </c>
      <c r="G451" s="58" t="s">
        <v>1353</v>
      </c>
      <c r="H451" s="58" t="s">
        <v>1353</v>
      </c>
    </row>
    <row r="452" spans="1:8" x14ac:dyDescent="0.2">
      <c r="A452" s="58" t="s">
        <v>1450</v>
      </c>
      <c r="B452" s="58">
        <v>1</v>
      </c>
      <c r="C452" s="58" t="s">
        <v>914</v>
      </c>
      <c r="D452" s="58" t="s">
        <v>1353</v>
      </c>
      <c r="E452" s="58" t="s">
        <v>1353</v>
      </c>
      <c r="F452" s="58" t="s">
        <v>1353</v>
      </c>
      <c r="G452" s="58" t="s">
        <v>191</v>
      </c>
      <c r="H452" s="58" t="s">
        <v>191</v>
      </c>
    </row>
    <row r="453" spans="1:8" x14ac:dyDescent="0.2">
      <c r="A453" s="58">
        <v>91711</v>
      </c>
      <c r="B453" s="58">
        <v>1</v>
      </c>
      <c r="C453" s="58" t="s">
        <v>914</v>
      </c>
      <c r="D453" s="58" t="s">
        <v>1373</v>
      </c>
      <c r="E453" s="58" t="s">
        <v>1373</v>
      </c>
      <c r="F453" s="58" t="s">
        <v>1373</v>
      </c>
      <c r="G453" s="58" t="s">
        <v>1373</v>
      </c>
      <c r="H453" s="58" t="s">
        <v>191</v>
      </c>
    </row>
    <row r="454" spans="1:8" x14ac:dyDescent="0.2">
      <c r="A454" s="58">
        <v>91711</v>
      </c>
      <c r="B454" s="58">
        <v>1</v>
      </c>
      <c r="C454" s="58" t="s">
        <v>914</v>
      </c>
      <c r="D454" s="58" t="s">
        <v>1353</v>
      </c>
      <c r="E454" s="58" t="s">
        <v>1353</v>
      </c>
      <c r="F454" s="58" t="s">
        <v>1353</v>
      </c>
      <c r="G454" s="58" t="s">
        <v>202</v>
      </c>
      <c r="H454" s="58" t="s">
        <v>202</v>
      </c>
    </row>
    <row r="455" spans="1:8" x14ac:dyDescent="0.2">
      <c r="A455" s="58">
        <v>91711</v>
      </c>
      <c r="B455" s="58">
        <v>1</v>
      </c>
      <c r="C455" s="58" t="s">
        <v>914</v>
      </c>
      <c r="D455" s="58" t="s">
        <v>1358</v>
      </c>
      <c r="E455" s="58" t="s">
        <v>1358</v>
      </c>
      <c r="F455" s="58" t="s">
        <v>1358</v>
      </c>
      <c r="G455" s="58" t="s">
        <v>1358</v>
      </c>
      <c r="H455" s="58" t="s">
        <v>1358</v>
      </c>
    </row>
    <row r="456" spans="1:8" x14ac:dyDescent="0.2">
      <c r="A456" s="58">
        <v>91711</v>
      </c>
      <c r="B456" s="58">
        <v>1</v>
      </c>
      <c r="C456" s="58" t="s">
        <v>914</v>
      </c>
      <c r="D456" s="58" t="s">
        <v>1371</v>
      </c>
      <c r="E456" s="58" t="s">
        <v>1372</v>
      </c>
      <c r="F456" s="58" t="s">
        <v>1371</v>
      </c>
      <c r="G456" s="58" t="s">
        <v>1372</v>
      </c>
      <c r="H456" s="58" t="s">
        <v>1372</v>
      </c>
    </row>
    <row r="457" spans="1:8" x14ac:dyDescent="0.2">
      <c r="A457" s="58">
        <v>97186</v>
      </c>
      <c r="B457" s="58">
        <v>1</v>
      </c>
      <c r="C457" s="58" t="s">
        <v>914</v>
      </c>
      <c r="D457" s="58" t="s">
        <v>1372</v>
      </c>
      <c r="E457" s="58" t="s">
        <v>1372</v>
      </c>
      <c r="F457" s="58" t="s">
        <v>1372</v>
      </c>
      <c r="G457" s="58" t="s">
        <v>1353</v>
      </c>
      <c r="H457" s="58" t="s">
        <v>1353</v>
      </c>
    </row>
    <row r="458" spans="1:8" x14ac:dyDescent="0.2">
      <c r="A458" s="58">
        <v>91711</v>
      </c>
      <c r="B458" s="58">
        <v>1</v>
      </c>
      <c r="C458" s="58" t="s">
        <v>914</v>
      </c>
      <c r="D458" s="58" t="s">
        <v>1372</v>
      </c>
      <c r="E458" s="58" t="s">
        <v>1372</v>
      </c>
      <c r="F458" s="58" t="s">
        <v>1353</v>
      </c>
      <c r="G458" s="58" t="s">
        <v>1373</v>
      </c>
      <c r="H458" s="58" t="s">
        <v>1353</v>
      </c>
    </row>
    <row r="459" spans="1:8" x14ac:dyDescent="0.2">
      <c r="A459" s="58">
        <v>91711</v>
      </c>
      <c r="B459" s="58">
        <v>1</v>
      </c>
      <c r="C459" s="58" t="s">
        <v>914</v>
      </c>
      <c r="D459" s="58" t="s">
        <v>1372</v>
      </c>
      <c r="E459" s="58" t="s">
        <v>1372</v>
      </c>
      <c r="F459" s="58" t="s">
        <v>1372</v>
      </c>
      <c r="G459" s="58" t="s">
        <v>199</v>
      </c>
      <c r="H459" s="58" t="s">
        <v>1372</v>
      </c>
    </row>
    <row r="460" spans="1:8" x14ac:dyDescent="0.2">
      <c r="A460" s="58">
        <v>91711</v>
      </c>
      <c r="B460" s="58">
        <v>1</v>
      </c>
      <c r="C460" s="58" t="s">
        <v>914</v>
      </c>
      <c r="D460" s="58" t="s">
        <v>1353</v>
      </c>
      <c r="E460" s="58" t="s">
        <v>1353</v>
      </c>
      <c r="F460" s="58" t="s">
        <v>1353</v>
      </c>
      <c r="G460" s="58" t="s">
        <v>1353</v>
      </c>
      <c r="H460" s="58" t="s">
        <v>1353</v>
      </c>
    </row>
    <row r="461" spans="1:8" x14ac:dyDescent="0.2">
      <c r="A461" s="58" t="s">
        <v>1424</v>
      </c>
      <c r="B461" s="58">
        <v>1</v>
      </c>
      <c r="C461" s="58" t="s">
        <v>914</v>
      </c>
      <c r="D461" s="58" t="s">
        <v>1373</v>
      </c>
      <c r="E461" s="58" t="s">
        <v>1373</v>
      </c>
      <c r="F461" s="58" t="s">
        <v>1373</v>
      </c>
      <c r="G461" s="58" t="s">
        <v>1373</v>
      </c>
      <c r="H461" s="58" t="s">
        <v>1373</v>
      </c>
    </row>
    <row r="462" spans="1:8" x14ac:dyDescent="0.2">
      <c r="A462" s="58">
        <v>91786</v>
      </c>
      <c r="B462" s="58">
        <v>1</v>
      </c>
      <c r="C462" s="58" t="s">
        <v>914</v>
      </c>
      <c r="D462" s="58" t="s">
        <v>1353</v>
      </c>
      <c r="E462" s="58" t="s">
        <v>1353</v>
      </c>
      <c r="F462" s="58" t="s">
        <v>1353</v>
      </c>
      <c r="G462" s="58" t="s">
        <v>1353</v>
      </c>
      <c r="H462" s="58" t="s">
        <v>1353</v>
      </c>
    </row>
    <row r="463" spans="1:8" x14ac:dyDescent="0.2">
      <c r="A463" s="58">
        <v>91786</v>
      </c>
      <c r="B463" s="58">
        <v>0.9</v>
      </c>
      <c r="C463" s="58" t="s">
        <v>1390</v>
      </c>
      <c r="D463" s="58" t="s">
        <v>1373</v>
      </c>
      <c r="E463" s="58" t="s">
        <v>202</v>
      </c>
      <c r="F463" s="58" t="s">
        <v>1373</v>
      </c>
      <c r="G463" s="58" t="s">
        <v>1353</v>
      </c>
      <c r="H463" s="58" t="s">
        <v>202</v>
      </c>
    </row>
    <row r="464" spans="1:8" x14ac:dyDescent="0.2">
      <c r="A464" s="58">
        <v>91711</v>
      </c>
      <c r="B464" s="58">
        <v>0.8</v>
      </c>
      <c r="C464" s="58" t="s">
        <v>914</v>
      </c>
      <c r="D464" s="58" t="s">
        <v>1373</v>
      </c>
      <c r="E464" s="58" t="s">
        <v>1372</v>
      </c>
      <c r="F464" s="58" t="s">
        <v>191</v>
      </c>
      <c r="G464" s="58" t="s">
        <v>191</v>
      </c>
      <c r="H464" s="58" t="s">
        <v>191</v>
      </c>
    </row>
    <row r="465" spans="1:8" x14ac:dyDescent="0.2">
      <c r="A465" s="58">
        <v>91711</v>
      </c>
      <c r="B465" s="58">
        <v>0.75</v>
      </c>
      <c r="C465" s="58" t="s">
        <v>914</v>
      </c>
      <c r="D465" s="58" t="s">
        <v>1372</v>
      </c>
      <c r="E465" s="58" t="s">
        <v>1373</v>
      </c>
      <c r="F465" s="58" t="s">
        <v>1373</v>
      </c>
      <c r="G465" s="58" t="s">
        <v>1372</v>
      </c>
      <c r="H465" s="58" t="s">
        <v>1372</v>
      </c>
    </row>
    <row r="466" spans="1:8" x14ac:dyDescent="0.2">
      <c r="A466" s="58">
        <v>91711</v>
      </c>
      <c r="B466" s="58">
        <v>0.7</v>
      </c>
      <c r="C466" s="58" t="s">
        <v>914</v>
      </c>
      <c r="D466" s="58" t="s">
        <v>1352</v>
      </c>
      <c r="E466" s="58" t="s">
        <v>1352</v>
      </c>
      <c r="F466" s="58" t="s">
        <v>1352</v>
      </c>
      <c r="G466" s="58" t="s">
        <v>1352</v>
      </c>
      <c r="H466" s="58" t="s">
        <v>1352</v>
      </c>
    </row>
    <row r="467" spans="1:8" x14ac:dyDescent="0.2">
      <c r="A467" s="58" t="s">
        <v>1424</v>
      </c>
      <c r="B467" s="58">
        <v>0.6</v>
      </c>
      <c r="C467" s="58" t="s">
        <v>914</v>
      </c>
      <c r="D467" s="58" t="s">
        <v>1352</v>
      </c>
      <c r="E467" s="58" t="s">
        <v>1352</v>
      </c>
      <c r="F467" s="58" t="s">
        <v>1352</v>
      </c>
      <c r="G467" s="58" t="s">
        <v>1352</v>
      </c>
      <c r="H467" s="58" t="s">
        <v>1352</v>
      </c>
    </row>
    <row r="468" spans="1:8" x14ac:dyDescent="0.2">
      <c r="A468" s="58">
        <v>91711</v>
      </c>
      <c r="B468" s="58">
        <v>0.5</v>
      </c>
      <c r="C468" s="58" t="s">
        <v>1390</v>
      </c>
      <c r="D468" s="58" t="s">
        <v>1372</v>
      </c>
      <c r="E468" s="58" t="s">
        <v>1372</v>
      </c>
      <c r="F468" s="58" t="s">
        <v>1372</v>
      </c>
      <c r="G468" s="58" t="s">
        <v>1372</v>
      </c>
      <c r="H468" s="58" t="s">
        <v>1372</v>
      </c>
    </row>
    <row r="469" spans="1:8" x14ac:dyDescent="0.2">
      <c r="A469" s="58">
        <v>91711</v>
      </c>
      <c r="B469" s="58">
        <v>0.5</v>
      </c>
      <c r="C469" s="58" t="s">
        <v>1390</v>
      </c>
      <c r="D469" s="58" t="s">
        <v>1353</v>
      </c>
      <c r="E469" s="58" t="s">
        <v>202</v>
      </c>
      <c r="F469" s="58" t="s">
        <v>1353</v>
      </c>
      <c r="G469" s="58" t="s">
        <v>202</v>
      </c>
      <c r="H469" s="58" t="s">
        <v>202</v>
      </c>
    </row>
    <row r="470" spans="1:8" x14ac:dyDescent="0.2">
      <c r="A470" s="58">
        <v>91711</v>
      </c>
      <c r="B470" s="58">
        <v>0.5</v>
      </c>
      <c r="C470" s="58" t="s">
        <v>914</v>
      </c>
      <c r="D470" s="58" t="s">
        <v>1372</v>
      </c>
      <c r="E470" s="58" t="s">
        <v>1372</v>
      </c>
      <c r="F470" s="58" t="s">
        <v>1372</v>
      </c>
      <c r="G470" s="58" t="s">
        <v>1372</v>
      </c>
      <c r="H470" s="58" t="s">
        <v>1372</v>
      </c>
    </row>
    <row r="471" spans="1:8" x14ac:dyDescent="0.2">
      <c r="A471" s="58">
        <v>91711</v>
      </c>
      <c r="B471" s="58">
        <v>0.5</v>
      </c>
      <c r="C471" s="58" t="s">
        <v>914</v>
      </c>
      <c r="D471" s="58" t="s">
        <v>1372</v>
      </c>
      <c r="E471" s="58" t="s">
        <v>1372</v>
      </c>
      <c r="F471" s="58" t="s">
        <v>1372</v>
      </c>
      <c r="G471" s="58" t="s">
        <v>1372</v>
      </c>
      <c r="H471" s="58" t="s">
        <v>1372</v>
      </c>
    </row>
    <row r="472" spans="1:8" x14ac:dyDescent="0.2">
      <c r="A472" s="58">
        <v>91711</v>
      </c>
      <c r="B472" s="58">
        <v>0.5</v>
      </c>
      <c r="C472" s="58" t="s">
        <v>914</v>
      </c>
      <c r="D472" s="58" t="s">
        <v>1372</v>
      </c>
      <c r="E472" s="58" t="s">
        <v>1372</v>
      </c>
      <c r="F472" s="58" t="s">
        <v>1372</v>
      </c>
      <c r="G472" s="58" t="s">
        <v>1372</v>
      </c>
      <c r="H472" s="58" t="s">
        <v>1372</v>
      </c>
    </row>
    <row r="473" spans="1:8" x14ac:dyDescent="0.2">
      <c r="A473" s="58">
        <v>91711</v>
      </c>
      <c r="B473" s="58">
        <v>0.5</v>
      </c>
      <c r="C473" s="58" t="s">
        <v>914</v>
      </c>
      <c r="D473" s="58" t="s">
        <v>1367</v>
      </c>
      <c r="E473" s="58" t="s">
        <v>1367</v>
      </c>
      <c r="F473" s="58" t="s">
        <v>1367</v>
      </c>
      <c r="G473" s="58" t="s">
        <v>1367</v>
      </c>
      <c r="H473" s="58" t="s">
        <v>202</v>
      </c>
    </row>
    <row r="474" spans="1:8" x14ac:dyDescent="0.2">
      <c r="A474" s="58" t="s">
        <v>1451</v>
      </c>
      <c r="B474" s="58">
        <v>0.5</v>
      </c>
      <c r="C474" s="58" t="s">
        <v>914</v>
      </c>
      <c r="D474" s="58" t="s">
        <v>1372</v>
      </c>
      <c r="E474" s="58" t="s">
        <v>1372</v>
      </c>
      <c r="F474" s="58" t="s">
        <v>1372</v>
      </c>
      <c r="G474" s="58" t="s">
        <v>1372</v>
      </c>
      <c r="H474" s="58" t="s">
        <v>1372</v>
      </c>
    </row>
    <row r="475" spans="1:8" x14ac:dyDescent="0.2">
      <c r="A475" s="58">
        <v>91711</v>
      </c>
      <c r="B475" s="58">
        <v>0.5</v>
      </c>
      <c r="C475" s="58" t="s">
        <v>914</v>
      </c>
      <c r="D475" s="58" t="s">
        <v>1372</v>
      </c>
      <c r="E475" s="58" t="s">
        <v>1372</v>
      </c>
      <c r="F475" s="58" t="s">
        <v>1372</v>
      </c>
      <c r="G475" s="58" t="s">
        <v>1372</v>
      </c>
      <c r="H475" s="58" t="s">
        <v>1372</v>
      </c>
    </row>
    <row r="476" spans="1:8" x14ac:dyDescent="0.2">
      <c r="A476" s="58">
        <v>91711</v>
      </c>
      <c r="B476" s="58">
        <v>0.5</v>
      </c>
      <c r="C476" s="58" t="s">
        <v>914</v>
      </c>
      <c r="D476" s="58" t="s">
        <v>1353</v>
      </c>
      <c r="E476" s="58" t="s">
        <v>1353</v>
      </c>
      <c r="F476" s="58" t="s">
        <v>1353</v>
      </c>
      <c r="G476" s="58" t="s">
        <v>1353</v>
      </c>
      <c r="H476" s="58" t="s">
        <v>1353</v>
      </c>
    </row>
    <row r="477" spans="1:8" x14ac:dyDescent="0.2">
      <c r="A477" s="58" t="s">
        <v>1452</v>
      </c>
      <c r="B477" s="58">
        <v>0.5</v>
      </c>
      <c r="C477" s="58" t="s">
        <v>914</v>
      </c>
      <c r="D477" s="58" t="s">
        <v>1353</v>
      </c>
      <c r="E477" s="58" t="s">
        <v>1353</v>
      </c>
      <c r="F477" s="58" t="s">
        <v>1353</v>
      </c>
      <c r="G477" s="58" t="s">
        <v>1353</v>
      </c>
      <c r="H477" s="58" t="s">
        <v>1353</v>
      </c>
    </row>
    <row r="478" spans="1:8" x14ac:dyDescent="0.2">
      <c r="A478" s="58">
        <v>91711</v>
      </c>
      <c r="B478" s="58">
        <v>0.5</v>
      </c>
      <c r="C478" s="58" t="s">
        <v>914</v>
      </c>
      <c r="D478" s="58" t="s">
        <v>1372</v>
      </c>
      <c r="E478" s="58" t="s">
        <v>1372</v>
      </c>
      <c r="F478" s="58" t="s">
        <v>1353</v>
      </c>
      <c r="G478" s="58" t="s">
        <v>1353</v>
      </c>
      <c r="H478" s="58" t="s">
        <v>1372</v>
      </c>
    </row>
    <row r="479" spans="1:8" x14ac:dyDescent="0.2">
      <c r="A479" s="58">
        <v>91711</v>
      </c>
      <c r="B479" s="58">
        <v>0.5</v>
      </c>
      <c r="C479" s="58" t="s">
        <v>914</v>
      </c>
      <c r="D479" s="58" t="s">
        <v>1372</v>
      </c>
      <c r="E479" s="58" t="s">
        <v>1372</v>
      </c>
      <c r="F479" s="58" t="s">
        <v>1372</v>
      </c>
      <c r="G479" s="58" t="s">
        <v>1372</v>
      </c>
      <c r="H479" s="58" t="s">
        <v>1372</v>
      </c>
    </row>
    <row r="480" spans="1:8" x14ac:dyDescent="0.2">
      <c r="A480" s="58">
        <v>91711</v>
      </c>
      <c r="B480" s="58">
        <v>0.3</v>
      </c>
      <c r="C480" s="58" t="s">
        <v>1390</v>
      </c>
      <c r="D480" s="58" t="s">
        <v>1372</v>
      </c>
      <c r="E480" s="58" t="s">
        <v>1372</v>
      </c>
      <c r="F480" s="58" t="s">
        <v>1372</v>
      </c>
      <c r="G480" s="58" t="s">
        <v>1372</v>
      </c>
      <c r="H480" s="58" t="s">
        <v>1372</v>
      </c>
    </row>
    <row r="481" spans="1:8" x14ac:dyDescent="0.2">
      <c r="A481" s="58">
        <v>91711</v>
      </c>
      <c r="B481" s="58">
        <v>0.3</v>
      </c>
      <c r="C481" s="58" t="s">
        <v>914</v>
      </c>
      <c r="D481" s="58" t="s">
        <v>1372</v>
      </c>
      <c r="E481" s="58" t="s">
        <v>1353</v>
      </c>
      <c r="F481" s="58" t="s">
        <v>1372</v>
      </c>
      <c r="G481" s="58" t="s">
        <v>1372</v>
      </c>
      <c r="H481" s="58" t="s">
        <v>1353</v>
      </c>
    </row>
    <row r="482" spans="1:8" x14ac:dyDescent="0.2">
      <c r="A482" s="58">
        <v>91711</v>
      </c>
      <c r="B482" s="58">
        <v>0.25</v>
      </c>
      <c r="C482" s="58" t="s">
        <v>914</v>
      </c>
      <c r="D482" s="58" t="s">
        <v>1372</v>
      </c>
      <c r="E482" s="58" t="s">
        <v>1372</v>
      </c>
      <c r="F482" s="58" t="s">
        <v>1372</v>
      </c>
      <c r="G482" s="58" t="s">
        <v>1372</v>
      </c>
      <c r="H482" s="58" t="s">
        <v>1372</v>
      </c>
    </row>
    <row r="483" spans="1:8" x14ac:dyDescent="0.2">
      <c r="A483" s="58">
        <v>91711</v>
      </c>
      <c r="B483" s="58">
        <v>0.2</v>
      </c>
      <c r="C483" s="58" t="s">
        <v>1390</v>
      </c>
      <c r="D483" s="58" t="s">
        <v>1373</v>
      </c>
      <c r="E483" s="58" t="s">
        <v>1373</v>
      </c>
      <c r="F483" s="58" t="s">
        <v>1373</v>
      </c>
      <c r="G483" s="58" t="s">
        <v>1373</v>
      </c>
      <c r="H483" s="58" t="s">
        <v>1373</v>
      </c>
    </row>
    <row r="484" spans="1:8" x14ac:dyDescent="0.2">
      <c r="A484" s="58">
        <v>91711</v>
      </c>
      <c r="B484" s="58">
        <v>0.2</v>
      </c>
      <c r="C484" s="58" t="s">
        <v>914</v>
      </c>
      <c r="D484" s="58" t="s">
        <v>1372</v>
      </c>
      <c r="E484" s="58" t="s">
        <v>1372</v>
      </c>
      <c r="F484" s="58" t="s">
        <v>1372</v>
      </c>
      <c r="G484" s="58" t="s">
        <v>1372</v>
      </c>
      <c r="H484" s="58" t="s">
        <v>1372</v>
      </c>
    </row>
    <row r="485" spans="1:8" x14ac:dyDescent="0.2">
      <c r="A485" s="58">
        <v>91711</v>
      </c>
      <c r="B485" s="58">
        <v>0.2</v>
      </c>
      <c r="C485" s="58" t="s">
        <v>914</v>
      </c>
      <c r="D485" s="58" t="s">
        <v>1374</v>
      </c>
      <c r="E485" s="58" t="s">
        <v>1372</v>
      </c>
      <c r="F485" s="58" t="s">
        <v>1372</v>
      </c>
      <c r="G485" s="58" t="s">
        <v>1372</v>
      </c>
      <c r="H485" s="58" t="s">
        <v>1372</v>
      </c>
    </row>
    <row r="486" spans="1:8" x14ac:dyDescent="0.2">
      <c r="A486" s="58">
        <v>91711</v>
      </c>
      <c r="B486" s="58">
        <v>0.05</v>
      </c>
      <c r="C486" s="58" t="s">
        <v>914</v>
      </c>
      <c r="D486" s="58" t="s">
        <v>1373</v>
      </c>
      <c r="E486" s="58" t="s">
        <v>1373</v>
      </c>
      <c r="F486" s="58" t="s">
        <v>1373</v>
      </c>
      <c r="G486" s="58" t="s">
        <v>1373</v>
      </c>
      <c r="H486" s="58" t="s">
        <v>1373</v>
      </c>
    </row>
    <row r="487" spans="1:8" x14ac:dyDescent="0.2">
      <c r="A487" s="58">
        <v>91711</v>
      </c>
      <c r="B487" s="58">
        <v>0.01</v>
      </c>
      <c r="C487" s="58" t="s">
        <v>914</v>
      </c>
      <c r="D487" s="58" t="s">
        <v>1372</v>
      </c>
      <c r="E487" s="58" t="s">
        <v>1372</v>
      </c>
      <c r="F487" s="58" t="s">
        <v>1372</v>
      </c>
      <c r="G487" s="58" t="s">
        <v>1372</v>
      </c>
      <c r="H487" s="58" t="s">
        <v>1372</v>
      </c>
    </row>
    <row r="488" spans="1:8" x14ac:dyDescent="0.2">
      <c r="A488" s="58">
        <v>95963</v>
      </c>
      <c r="B488" s="58">
        <v>0</v>
      </c>
      <c r="C488" s="58" t="s">
        <v>914</v>
      </c>
      <c r="D488" s="58" t="s">
        <v>1372</v>
      </c>
      <c r="E488" s="58" t="s">
        <v>202</v>
      </c>
      <c r="F488" s="58" t="s">
        <v>202</v>
      </c>
      <c r="G488" s="58" t="s">
        <v>202</v>
      </c>
      <c r="H488" s="58" t="s">
        <v>202</v>
      </c>
    </row>
  </sheetData>
  <mergeCells count="12">
    <mergeCell ref="J1:T1"/>
    <mergeCell ref="J8:U8"/>
    <mergeCell ref="L12:N12"/>
    <mergeCell ref="L13:M13"/>
    <mergeCell ref="L14:M14"/>
    <mergeCell ref="L20:M20"/>
    <mergeCell ref="L21:M21"/>
    <mergeCell ref="L15:M15"/>
    <mergeCell ref="L16:M16"/>
    <mergeCell ref="L17:M17"/>
    <mergeCell ref="L18:M18"/>
    <mergeCell ref="L19:M19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1E3A-4F9E-4B91-8EA8-73756FCDFCFB}">
  <dimension ref="A1:S434"/>
  <sheetViews>
    <sheetView workbookViewId="0">
      <selection activeCell="I2" sqref="I2:Q3"/>
    </sheetView>
  </sheetViews>
  <sheetFormatPr baseColWidth="10" defaultColWidth="8.83203125" defaultRowHeight="15" x14ac:dyDescent="0.2"/>
  <cols>
    <col min="1" max="1" width="26.1640625" bestFit="1" customWidth="1"/>
    <col min="2" max="5" width="34.6640625" customWidth="1"/>
    <col min="6" max="6" width="32.5" customWidth="1"/>
    <col min="8" max="8" width="34.83203125" customWidth="1"/>
    <col min="9" max="9" width="14.6640625" customWidth="1"/>
    <col min="10" max="10" width="9.1640625" bestFit="1" customWidth="1"/>
    <col min="11" max="11" width="12.6640625" customWidth="1"/>
    <col min="12" max="12" width="16.33203125" customWidth="1"/>
    <col min="13" max="13" width="17.33203125" customWidth="1"/>
    <col min="14" max="14" width="13.6640625" customWidth="1"/>
    <col min="15" max="15" width="13.83203125" customWidth="1"/>
    <col min="16" max="16" width="18.5" customWidth="1"/>
    <col min="17" max="17" width="15" customWidth="1"/>
    <col min="18" max="18" width="9.1640625" bestFit="1" customWidth="1"/>
    <col min="19" max="19" width="17.1640625" customWidth="1"/>
  </cols>
  <sheetData>
    <row r="1" spans="1:19" x14ac:dyDescent="0.2">
      <c r="A1" s="8" t="s">
        <v>3</v>
      </c>
      <c r="B1" s="8" t="s">
        <v>6</v>
      </c>
      <c r="C1" s="8" t="s">
        <v>7</v>
      </c>
      <c r="D1" s="8" t="s">
        <v>8</v>
      </c>
      <c r="E1" s="8" t="s">
        <v>9</v>
      </c>
      <c r="F1" s="44" t="s">
        <v>10</v>
      </c>
      <c r="H1" s="79" t="s">
        <v>11</v>
      </c>
      <c r="I1" s="80"/>
      <c r="J1" s="80"/>
      <c r="K1" s="80"/>
      <c r="L1" s="80"/>
      <c r="M1" s="80"/>
      <c r="N1" s="80"/>
      <c r="O1" s="80"/>
      <c r="P1" s="80"/>
      <c r="Q1" s="80"/>
      <c r="R1" s="81"/>
    </row>
    <row r="2" spans="1:19" x14ac:dyDescent="0.2">
      <c r="A2">
        <v>0.1</v>
      </c>
      <c r="B2" t="s">
        <v>1372</v>
      </c>
      <c r="C2" t="s">
        <v>199</v>
      </c>
      <c r="D2" t="s">
        <v>1372</v>
      </c>
      <c r="E2" t="s">
        <v>1373</v>
      </c>
      <c r="F2" t="s">
        <v>1372</v>
      </c>
      <c r="H2" s="18"/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21</v>
      </c>
      <c r="N2" s="18" t="s">
        <v>22</v>
      </c>
      <c r="O2" s="18" t="s">
        <v>23</v>
      </c>
      <c r="P2" s="18" t="s">
        <v>24</v>
      </c>
      <c r="Q2" s="19" t="s">
        <v>25</v>
      </c>
      <c r="R2" s="20" t="s">
        <v>26</v>
      </c>
    </row>
    <row r="3" spans="1:19" x14ac:dyDescent="0.2">
      <c r="A3">
        <v>0.1</v>
      </c>
      <c r="B3" t="s">
        <v>1372</v>
      </c>
      <c r="C3" t="s">
        <v>1372</v>
      </c>
      <c r="D3" t="s">
        <v>1372</v>
      </c>
      <c r="E3" t="s">
        <v>1372</v>
      </c>
      <c r="F3" t="s">
        <v>1372</v>
      </c>
      <c r="H3" s="10" t="s">
        <v>32</v>
      </c>
      <c r="I3" s="24" cm="1">
        <f t="array" ref="I3">SUM(COUNTIF(B:F,{"A.*","B.*"}))/R10</f>
        <v>0.73803526448362722</v>
      </c>
      <c r="J3" s="21">
        <f>COUNTIF(B:F,"T.*")/R10</f>
        <v>2.1158690176322419E-2</v>
      </c>
      <c r="K3" s="21" cm="1">
        <f t="array" ref="K3">SUM(COUNTIF(B:F,{"C.*","D.*","E.*","F.*","G.*","H.*","I.*","J.*","K.*","L.*","M.*","N.*","O.*","P.*"})/R10)</f>
        <v>0.13853904282115867</v>
      </c>
      <c r="L3" s="21">
        <f>COUNTIF(B:F,"R.*")/R10</f>
        <v>1.9143576826196475E-2</v>
      </c>
      <c r="M3" s="21">
        <f>COUNTIF(B:F,"U.*")/R10</f>
        <v>2.5188916876574307E-3</v>
      </c>
      <c r="N3" s="21">
        <v>0</v>
      </c>
      <c r="O3" s="21">
        <f>COUNTIF(B:F,"Q.*")/R10</f>
        <v>9.5717884130982374E-3</v>
      </c>
      <c r="P3" s="21">
        <f>COUNTIF(B:F,"V.*")/R10</f>
        <v>5.0377833753148613E-4</v>
      </c>
      <c r="Q3" s="21">
        <f>COUNTIF(B:F,"S.*")/R10</f>
        <v>7.0528967254408062E-2</v>
      </c>
      <c r="R3" s="21">
        <f>SUM(I3:Q3)</f>
        <v>1</v>
      </c>
    </row>
    <row r="4" spans="1:19" ht="16" x14ac:dyDescent="0.2">
      <c r="A4">
        <v>0.1</v>
      </c>
      <c r="B4" t="s">
        <v>202</v>
      </c>
      <c r="C4" t="s">
        <v>202</v>
      </c>
      <c r="D4" t="s">
        <v>1372</v>
      </c>
      <c r="E4" t="s">
        <v>1372</v>
      </c>
      <c r="F4" t="s">
        <v>202</v>
      </c>
      <c r="H4" s="29" t="s">
        <v>38</v>
      </c>
      <c r="I4" s="30" cm="1">
        <f t="array" ref="I4">SUM(_xlfn.BYCOL(B:F,_xlfn.LAMBDA(_xlpm.col,SUMIF(_xlpm.col,"A.*",A:A)+SUMIF(_xlpm.col,"B.*",A:A))))/I10</f>
        <v>13.047235494880546</v>
      </c>
      <c r="J4" s="31" cm="1">
        <f t="array" ref="J4">SUM(_xlfn.BYCOL(B:F,_xlfn.LAMBDA(_xlpm.col,SUMIF(_xlpm.col,"T.*",A:A))))/J10</f>
        <v>2.15</v>
      </c>
      <c r="K4" s="32" cm="1">
        <f t="array" ref="K4">SUM(_xlfn.BYCOL(B:F,_xlfn.LAMBDA(_xlpm.col,SUMIF(_xlpm.col,"C.*",A:A)+SUMIF(_xlpm.col,"D.*",A:A)+SUMIF(_xlpm.col,"E.*",A:A)+SUMIF(_xlpm.col,"F.*",A:A)+SUMIF(_xlpm.col,"G.*",A:A)+SUMIF(_xlpm.col,"H.*",A:A)+SUMIF(_xlpm.col,"I.*",A:A)+SUMIF(_xlpm.col,"J.*",A:A)+SUMIF(_xlpm.col,"K.*",A:A)+SUMIF(_xlpm.col,"L.*",A:A)+SUMIF(_xlpm.col,"M.*",A:A)+SUMIF(_xlpm.col,"N.*",A:A)+SUMIF(_xlpm.col,"O.*",A:A)+SUMIF(_xlpm.col,"P.*",A:A))))/K10</f>
        <v>14.114545454545455</v>
      </c>
      <c r="L4" s="32" cm="1">
        <f t="array" ref="L4">SUM(_xlfn.BYCOL(B:F,_xlfn.LAMBDA(_xlpm.col,SUMIF(_xlpm.col,"R.*",A:A))))/L10</f>
        <v>25.526315789473685</v>
      </c>
      <c r="M4" s="32" cm="1">
        <f t="array" ref="M4">SUM(_xlfn.BYCOL(B:F,_xlfn.LAMBDA(_xlpm.col,SUMIF(_xlpm.col,"U.*",A:A))))/M10</f>
        <v>4.04</v>
      </c>
      <c r="N4" s="32"/>
      <c r="O4" s="32" cm="1">
        <f t="array" ref="O4">SUM(_xlfn.BYCOL(B:F,_xlfn.LAMBDA(_xlpm.col,SUMIF(_xlpm.col,"Q.*",A:A))))/O10</f>
        <v>11.5</v>
      </c>
      <c r="P4" s="32"/>
      <c r="Q4" s="32" cm="1">
        <f t="array" ref="Q4">SUM(_xlfn.BYCOL(B:F,_xlfn.LAMBDA(_xlpm.col,SUMIF(_xlpm.col,"S.*",A:A))))/R10</f>
        <v>5.8085642317380358E-2</v>
      </c>
      <c r="R4" s="30">
        <f>AVERAGE(I4:Q4)</f>
        <v>10.062311768745294</v>
      </c>
    </row>
    <row r="5" spans="1:19" x14ac:dyDescent="0.2">
      <c r="A5">
        <v>0.2</v>
      </c>
      <c r="B5" t="s">
        <v>1372</v>
      </c>
      <c r="C5" t="s">
        <v>1372</v>
      </c>
      <c r="D5" t="s">
        <v>1372</v>
      </c>
      <c r="E5" t="s">
        <v>1372</v>
      </c>
      <c r="F5" t="s">
        <v>1372</v>
      </c>
      <c r="H5" s="33" t="s">
        <v>44</v>
      </c>
      <c r="I5" s="33"/>
      <c r="J5" s="33"/>
      <c r="K5" s="39" cm="1">
        <f t="array" ref="K5">SUM(_xlfn.BYCOL(B:F,_xlfn.LAMBDA(_xlpm.col,SUMIF(_xlpm.col,"C.*",A:A)*2+SUMIF(_xlpm.col,"D.*",A:A)*3+SUMIF(_xlpm.col,"E.*",A:A)*4+SUMIF(_xlpm.col,"F.*",A:A)*5+SUMIF(_xlpm.col,"G.*",A:A)*6+SUMIF(_xlpm.col,"H.*",A:A)*7+SUMIF(_xlpm.col,"I.*",A:A)*8+SUMIF(_xlpm.col,"J.*",A:A)*9+SUMIF(_xlpm.col,"K.*",A:A)*10+SUMIF(_xlpm.col,"L.*",A:A)*11+SUMIF(_xlpm.col,"M.*",A:A)*12+SUMIF(_xlpm.col,"N.*",A:A)*13+SUMIF(_xlpm.col,"O.*",A:A)*14+SUMIF(_xlpm.col,"P.*",A:A)*15)))/K10</f>
        <v>32.987272727272725</v>
      </c>
      <c r="L5" s="33"/>
      <c r="M5" s="33"/>
      <c r="N5" s="33"/>
      <c r="O5" s="33"/>
      <c r="P5" s="33"/>
      <c r="Q5" s="33"/>
      <c r="R5" s="33"/>
    </row>
    <row r="6" spans="1:19" x14ac:dyDescent="0.2">
      <c r="A6">
        <v>0.2</v>
      </c>
      <c r="B6" t="s">
        <v>1372</v>
      </c>
      <c r="C6" t="s">
        <v>1372</v>
      </c>
      <c r="D6" t="s">
        <v>1372</v>
      </c>
      <c r="E6" t="s">
        <v>1353</v>
      </c>
      <c r="F6" t="s">
        <v>1353</v>
      </c>
      <c r="H6" s="40" t="s">
        <v>47</v>
      </c>
      <c r="I6" s="40"/>
      <c r="J6" s="40"/>
      <c r="K6" s="41">
        <f>K5/K4</f>
        <v>2.3371119412598218</v>
      </c>
      <c r="L6" s="40"/>
      <c r="M6" s="40"/>
      <c r="N6" s="40"/>
      <c r="O6" s="40"/>
      <c r="P6" s="40"/>
      <c r="Q6" s="40"/>
      <c r="R6" s="40"/>
    </row>
    <row r="7" spans="1:19" x14ac:dyDescent="0.2">
      <c r="A7">
        <v>0.2</v>
      </c>
      <c r="B7" t="s">
        <v>1372</v>
      </c>
      <c r="C7" t="s">
        <v>1372</v>
      </c>
      <c r="D7" t="s">
        <v>1372</v>
      </c>
      <c r="E7" t="s">
        <v>1372</v>
      </c>
      <c r="F7" t="s">
        <v>1372</v>
      </c>
      <c r="K7" s="35"/>
    </row>
    <row r="8" spans="1:19" x14ac:dyDescent="0.2">
      <c r="A8">
        <v>0.3</v>
      </c>
      <c r="B8" t="s">
        <v>1372</v>
      </c>
      <c r="C8" t="s">
        <v>1372</v>
      </c>
      <c r="D8" t="s">
        <v>1353</v>
      </c>
      <c r="E8" t="s">
        <v>1372</v>
      </c>
      <c r="F8" t="s">
        <v>1353</v>
      </c>
      <c r="H8" s="69" t="s">
        <v>54</v>
      </c>
      <c r="I8" s="73"/>
      <c r="J8" s="73"/>
      <c r="K8" s="73"/>
      <c r="L8" s="73"/>
      <c r="M8" s="73"/>
      <c r="N8" s="73"/>
      <c r="O8" s="73"/>
      <c r="P8" s="73"/>
      <c r="Q8" s="73"/>
      <c r="R8" s="73"/>
      <c r="S8" s="70"/>
    </row>
    <row r="9" spans="1:19" x14ac:dyDescent="0.2">
      <c r="A9">
        <v>0.3</v>
      </c>
      <c r="B9" t="s">
        <v>1372</v>
      </c>
      <c r="C9" t="s">
        <v>1372</v>
      </c>
      <c r="D9" t="s">
        <v>1372</v>
      </c>
      <c r="E9" t="s">
        <v>1372</v>
      </c>
      <c r="F9" t="s">
        <v>1372</v>
      </c>
      <c r="H9" s="36"/>
      <c r="I9" s="36" t="s">
        <v>17</v>
      </c>
      <c r="J9" s="36" t="s">
        <v>18</v>
      </c>
      <c r="K9" s="36" t="s">
        <v>19</v>
      </c>
      <c r="L9" s="36" t="s">
        <v>20</v>
      </c>
      <c r="M9" s="36" t="s">
        <v>21</v>
      </c>
      <c r="N9" s="36" t="s">
        <v>22</v>
      </c>
      <c r="O9" s="36" t="s">
        <v>23</v>
      </c>
      <c r="P9" s="36" t="s">
        <v>24</v>
      </c>
      <c r="Q9" s="36" t="s">
        <v>25</v>
      </c>
      <c r="R9" s="37" t="s">
        <v>26</v>
      </c>
      <c r="S9" s="36" t="s">
        <v>59</v>
      </c>
    </row>
    <row r="10" spans="1:19" x14ac:dyDescent="0.2">
      <c r="A10">
        <v>0.3</v>
      </c>
      <c r="B10" t="s">
        <v>1372</v>
      </c>
      <c r="C10" t="s">
        <v>1372</v>
      </c>
      <c r="D10" t="s">
        <v>1374</v>
      </c>
      <c r="E10" t="s">
        <v>1374</v>
      </c>
      <c r="F10" t="s">
        <v>1374</v>
      </c>
      <c r="H10" s="4" t="s">
        <v>63</v>
      </c>
      <c r="I10" s="4" cm="1">
        <f t="array" ref="I10">SUM(COUNTIF(B:F,{"A.*","B.*"}))</f>
        <v>1465</v>
      </c>
      <c r="J10" s="4">
        <f>COUNTIF(B:F,"T.*")</f>
        <v>42</v>
      </c>
      <c r="K10" s="4" cm="1">
        <f t="array" ref="K10">SUM(COUNTIF(B:F,{"C.*","D.*","E.*","F.*","G.*","H.*","I.*","J.*","K.*","L.*","M.*","N.*","O.*","P.*"}))</f>
        <v>275</v>
      </c>
      <c r="L10" s="23">
        <f>COUNTIF(B:F,"R.*")</f>
        <v>38</v>
      </c>
      <c r="M10" s="4">
        <f>COUNTIF(B:F,"U.*")</f>
        <v>5</v>
      </c>
      <c r="N10" s="4">
        <v>0</v>
      </c>
      <c r="O10" s="4">
        <f>COUNTIF(B:F,"Q.*")</f>
        <v>19</v>
      </c>
      <c r="P10" s="4">
        <f>COUNTIF(B:F,"V.*")</f>
        <v>1</v>
      </c>
      <c r="Q10" s="4">
        <f>COUNTIF(B:F,"S.*")</f>
        <v>140</v>
      </c>
      <c r="R10" s="14">
        <f>SUM(I10:Q10)</f>
        <v>1985</v>
      </c>
      <c r="S10" s="4">
        <f>COUNTIFS(B2:F1000,"&lt;&gt;",B2:F1000,"&lt;&gt;OFF.*",B2:F1000,"&lt;&gt;AA.*",B2:F1000,"&lt;&gt;BB.*",B2:F1000,"&lt;&gt;W.*",B2:F1000,"&lt;&gt;X.*",B2:F1000,"&lt;&gt;CC.*")</f>
        <v>1985</v>
      </c>
    </row>
    <row r="11" spans="1:19" x14ac:dyDescent="0.2">
      <c r="A11">
        <v>0.4</v>
      </c>
      <c r="B11" t="s">
        <v>1372</v>
      </c>
      <c r="C11" t="s">
        <v>1372</v>
      </c>
      <c r="D11" t="s">
        <v>1353</v>
      </c>
      <c r="E11" t="s">
        <v>1372</v>
      </c>
      <c r="F11" t="s">
        <v>1372</v>
      </c>
    </row>
    <row r="12" spans="1:19" ht="16" x14ac:dyDescent="0.2">
      <c r="A12">
        <v>0.5</v>
      </c>
      <c r="B12" t="s">
        <v>1373</v>
      </c>
      <c r="C12" t="s">
        <v>1373</v>
      </c>
      <c r="D12" t="s">
        <v>1373</v>
      </c>
      <c r="E12" t="s">
        <v>1373</v>
      </c>
      <c r="F12" t="s">
        <v>1373</v>
      </c>
      <c r="H12" s="82" t="s">
        <v>1453</v>
      </c>
      <c r="I12" s="82"/>
      <c r="K12" s="69" t="s">
        <v>69</v>
      </c>
      <c r="L12" s="73"/>
      <c r="M12" s="70"/>
      <c r="R12" t="s">
        <v>75</v>
      </c>
    </row>
    <row r="13" spans="1:19" ht="16" x14ac:dyDescent="0.2">
      <c r="A13">
        <v>0.5</v>
      </c>
      <c r="B13" t="s">
        <v>1353</v>
      </c>
      <c r="C13" t="s">
        <v>1353</v>
      </c>
      <c r="D13" t="s">
        <v>1353</v>
      </c>
      <c r="E13" t="s">
        <v>1353</v>
      </c>
      <c r="F13" t="s">
        <v>1353</v>
      </c>
      <c r="H13" s="5" t="s">
        <v>1353</v>
      </c>
      <c r="K13" s="74" t="s">
        <v>75</v>
      </c>
      <c r="L13" s="74"/>
      <c r="M13" s="36">
        <f>2*R10/COUNTIF(A2:A1000,"&lt;&gt;")</f>
        <v>9.1685912240184759</v>
      </c>
      <c r="R13">
        <f>2*R10/COUNTIF(A2:A1000,"&lt;&gt;")</f>
        <v>9.1685912240184759</v>
      </c>
    </row>
    <row r="14" spans="1:19" ht="16" x14ac:dyDescent="0.2">
      <c r="A14">
        <v>0.5</v>
      </c>
      <c r="B14" t="s">
        <v>1372</v>
      </c>
      <c r="C14" t="s">
        <v>1372</v>
      </c>
      <c r="D14" t="s">
        <v>1372</v>
      </c>
      <c r="E14" t="s">
        <v>1372</v>
      </c>
      <c r="F14" t="s">
        <v>1372</v>
      </c>
      <c r="H14" s="5" t="s">
        <v>1355</v>
      </c>
      <c r="K14" s="72" t="s">
        <v>82</v>
      </c>
      <c r="L14" s="72"/>
      <c r="M14" s="4">
        <v>730</v>
      </c>
    </row>
    <row r="15" spans="1:19" ht="16" x14ac:dyDescent="0.2">
      <c r="A15">
        <v>0.5</v>
      </c>
      <c r="B15" t="s">
        <v>1353</v>
      </c>
      <c r="C15" t="s">
        <v>1353</v>
      </c>
      <c r="D15" t="s">
        <v>1353</v>
      </c>
      <c r="E15" t="s">
        <v>1353</v>
      </c>
      <c r="F15" t="s">
        <v>1353</v>
      </c>
      <c r="H15" s="5" t="s">
        <v>1352</v>
      </c>
      <c r="K15" s="75" t="s">
        <v>86</v>
      </c>
      <c r="L15" s="75"/>
      <c r="M15" s="59">
        <f>COUNTIF(A2:A1000,"&lt;&gt;")</f>
        <v>433</v>
      </c>
    </row>
    <row r="16" spans="1:19" ht="16" x14ac:dyDescent="0.2">
      <c r="A16">
        <v>0.5</v>
      </c>
      <c r="B16" t="s">
        <v>1372</v>
      </c>
      <c r="C16" t="s">
        <v>1372</v>
      </c>
      <c r="D16" t="s">
        <v>1372</v>
      </c>
      <c r="E16" t="s">
        <v>1372</v>
      </c>
      <c r="F16" t="s">
        <v>1372</v>
      </c>
      <c r="H16" s="5" t="s">
        <v>1356</v>
      </c>
      <c r="K16" s="72" t="s">
        <v>93</v>
      </c>
      <c r="L16" s="69"/>
      <c r="M16" s="61">
        <f>M15/M14</f>
        <v>0.5931506849315068</v>
      </c>
    </row>
    <row r="17" spans="1:13" ht="16" x14ac:dyDescent="0.2">
      <c r="A17">
        <v>0.5</v>
      </c>
      <c r="B17" t="s">
        <v>1372</v>
      </c>
      <c r="C17" t="s">
        <v>1372</v>
      </c>
      <c r="D17" t="s">
        <v>1372</v>
      </c>
      <c r="E17" t="s">
        <v>1353</v>
      </c>
      <c r="F17" t="s">
        <v>1353</v>
      </c>
      <c r="H17" s="5" t="s">
        <v>1357</v>
      </c>
      <c r="K17" s="77" t="s">
        <v>99</v>
      </c>
      <c r="L17" s="78"/>
      <c r="M17" s="60">
        <v>49</v>
      </c>
    </row>
    <row r="18" spans="1:13" ht="16" x14ac:dyDescent="0.2">
      <c r="A18">
        <v>0.5</v>
      </c>
      <c r="B18" t="s">
        <v>1372</v>
      </c>
      <c r="C18" t="s">
        <v>1372</v>
      </c>
      <c r="D18" t="s">
        <v>1372</v>
      </c>
      <c r="E18" t="s">
        <v>1372</v>
      </c>
      <c r="F18" t="s">
        <v>1372</v>
      </c>
      <c r="H18" s="5" t="s">
        <v>1359</v>
      </c>
      <c r="K18" s="69" t="s">
        <v>104</v>
      </c>
      <c r="L18" s="70"/>
      <c r="M18" s="4">
        <f>AVERAGE(A2:A1000)</f>
        <v>12.31108545034642</v>
      </c>
    </row>
    <row r="19" spans="1:13" ht="16" x14ac:dyDescent="0.2">
      <c r="A19">
        <v>0.5</v>
      </c>
      <c r="B19" t="s">
        <v>1372</v>
      </c>
      <c r="C19" t="s">
        <v>1372</v>
      </c>
      <c r="D19" t="s">
        <v>1372</v>
      </c>
      <c r="E19" t="s">
        <v>1372</v>
      </c>
      <c r="F19" t="s">
        <v>1372</v>
      </c>
      <c r="H19" s="5" t="s">
        <v>1360</v>
      </c>
      <c r="K19" s="69" t="s">
        <v>109</v>
      </c>
      <c r="L19" s="70"/>
      <c r="M19" s="4">
        <f>MEDIAN(A2:A1000)</f>
        <v>8</v>
      </c>
    </row>
    <row r="20" spans="1:13" ht="16" x14ac:dyDescent="0.2">
      <c r="A20">
        <v>0.6</v>
      </c>
      <c r="B20" t="s">
        <v>1372</v>
      </c>
      <c r="C20" t="s">
        <v>1353</v>
      </c>
      <c r="D20" t="s">
        <v>1353</v>
      </c>
      <c r="E20" t="s">
        <v>1372</v>
      </c>
      <c r="F20" t="s">
        <v>1353</v>
      </c>
      <c r="H20" s="5" t="s">
        <v>1361</v>
      </c>
      <c r="K20" s="69" t="s">
        <v>114</v>
      </c>
      <c r="L20" s="70"/>
      <c r="M20" s="4">
        <f>SUM(A2:A1000)</f>
        <v>5330.7</v>
      </c>
    </row>
    <row r="21" spans="1:13" ht="16" x14ac:dyDescent="0.2">
      <c r="A21">
        <v>0.7</v>
      </c>
      <c r="B21" t="s">
        <v>1372</v>
      </c>
      <c r="C21" t="s">
        <v>1372</v>
      </c>
      <c r="D21" t="s">
        <v>1372</v>
      </c>
      <c r="E21" t="s">
        <v>1372</v>
      </c>
      <c r="F21" t="s">
        <v>1372</v>
      </c>
      <c r="H21" s="5" t="s">
        <v>1362</v>
      </c>
      <c r="K21" s="69" t="s">
        <v>119</v>
      </c>
      <c r="L21" s="70"/>
      <c r="M21" s="61">
        <f>COUNTIF(A:A,"&lt;=5")/M15</f>
        <v>0.40646651270207851</v>
      </c>
    </row>
    <row r="22" spans="1:13" ht="16" x14ac:dyDescent="0.2">
      <c r="A22">
        <v>0.7</v>
      </c>
      <c r="B22" t="s">
        <v>1353</v>
      </c>
      <c r="C22" t="s">
        <v>199</v>
      </c>
      <c r="D22" t="s">
        <v>199</v>
      </c>
      <c r="E22" t="s">
        <v>199</v>
      </c>
      <c r="F22" t="s">
        <v>199</v>
      </c>
      <c r="H22" s="5" t="s">
        <v>1363</v>
      </c>
    </row>
    <row r="23" spans="1:13" ht="16" x14ac:dyDescent="0.2">
      <c r="A23">
        <v>0.7</v>
      </c>
      <c r="B23" t="s">
        <v>1372</v>
      </c>
      <c r="C23" t="s">
        <v>1353</v>
      </c>
      <c r="D23" t="s">
        <v>1372</v>
      </c>
      <c r="E23" t="s">
        <v>1372</v>
      </c>
      <c r="F23" t="s">
        <v>1353</v>
      </c>
      <c r="H23" s="5" t="s">
        <v>1364</v>
      </c>
    </row>
    <row r="24" spans="1:13" ht="16" x14ac:dyDescent="0.2">
      <c r="A24">
        <v>0.7</v>
      </c>
      <c r="B24" t="s">
        <v>1372</v>
      </c>
      <c r="C24" t="s">
        <v>1372</v>
      </c>
      <c r="D24" t="s">
        <v>1353</v>
      </c>
      <c r="E24" t="s">
        <v>1372</v>
      </c>
      <c r="F24" t="s">
        <v>1372</v>
      </c>
      <c r="H24" s="5" t="s">
        <v>1365</v>
      </c>
    </row>
    <row r="25" spans="1:13" ht="16" x14ac:dyDescent="0.2">
      <c r="A25">
        <v>0.9</v>
      </c>
      <c r="B25" t="s">
        <v>1353</v>
      </c>
      <c r="C25" t="s">
        <v>1353</v>
      </c>
      <c r="D25" t="s">
        <v>1353</v>
      </c>
      <c r="E25" t="s">
        <v>1353</v>
      </c>
      <c r="F25" t="s">
        <v>1353</v>
      </c>
      <c r="H25" s="5" t="s">
        <v>1366</v>
      </c>
    </row>
    <row r="26" spans="1:13" ht="16" x14ac:dyDescent="0.2">
      <c r="A26">
        <v>1</v>
      </c>
      <c r="B26" t="s">
        <v>1372</v>
      </c>
      <c r="C26" t="s">
        <v>1372</v>
      </c>
      <c r="D26" t="s">
        <v>1372</v>
      </c>
      <c r="E26" t="s">
        <v>1372</v>
      </c>
      <c r="F26" t="s">
        <v>1372</v>
      </c>
      <c r="H26" s="5" t="s">
        <v>1368</v>
      </c>
    </row>
    <row r="27" spans="1:13" ht="16" x14ac:dyDescent="0.2">
      <c r="A27">
        <v>1</v>
      </c>
      <c r="B27" t="s">
        <v>1353</v>
      </c>
      <c r="C27" t="s">
        <v>202</v>
      </c>
      <c r="D27" t="s">
        <v>202</v>
      </c>
      <c r="E27" t="s">
        <v>1353</v>
      </c>
      <c r="F27" t="s">
        <v>1353</v>
      </c>
      <c r="H27" s="5" t="s">
        <v>1369</v>
      </c>
    </row>
    <row r="28" spans="1:13" ht="16" x14ac:dyDescent="0.2">
      <c r="A28">
        <v>1</v>
      </c>
      <c r="B28" t="s">
        <v>1372</v>
      </c>
      <c r="C28" t="s">
        <v>1372</v>
      </c>
      <c r="D28" t="s">
        <v>1372</v>
      </c>
      <c r="E28" t="s">
        <v>1372</v>
      </c>
      <c r="F28" t="s">
        <v>1372</v>
      </c>
      <c r="H28" s="5" t="s">
        <v>1370</v>
      </c>
    </row>
    <row r="29" spans="1:13" ht="16" x14ac:dyDescent="0.2">
      <c r="A29">
        <v>1</v>
      </c>
      <c r="B29" t="s">
        <v>202</v>
      </c>
      <c r="C29" t="s">
        <v>202</v>
      </c>
      <c r="D29" t="s">
        <v>1372</v>
      </c>
      <c r="E29" t="s">
        <v>202</v>
      </c>
      <c r="F29" t="s">
        <v>1372</v>
      </c>
      <c r="H29" s="5" t="s">
        <v>1371</v>
      </c>
    </row>
    <row r="30" spans="1:13" ht="16" x14ac:dyDescent="0.2">
      <c r="A30">
        <v>1</v>
      </c>
      <c r="B30" t="s">
        <v>1353</v>
      </c>
      <c r="C30" t="s">
        <v>202</v>
      </c>
      <c r="D30" t="s">
        <v>1353</v>
      </c>
      <c r="E30" t="s">
        <v>202</v>
      </c>
      <c r="F30" t="s">
        <v>202</v>
      </c>
      <c r="H30" s="5" t="s">
        <v>1367</v>
      </c>
    </row>
    <row r="31" spans="1:13" ht="16" x14ac:dyDescent="0.2">
      <c r="A31">
        <v>1</v>
      </c>
      <c r="B31" t="s">
        <v>1353</v>
      </c>
      <c r="C31" t="s">
        <v>1372</v>
      </c>
      <c r="D31" t="s">
        <v>1373</v>
      </c>
      <c r="E31" t="s">
        <v>1353</v>
      </c>
      <c r="F31" t="s">
        <v>1353</v>
      </c>
      <c r="H31" s="5" t="s">
        <v>1372</v>
      </c>
    </row>
    <row r="32" spans="1:13" ht="16" x14ac:dyDescent="0.2">
      <c r="A32">
        <v>1</v>
      </c>
      <c r="B32" t="s">
        <v>1373</v>
      </c>
      <c r="C32" t="s">
        <v>1373</v>
      </c>
      <c r="D32" t="s">
        <v>1373</v>
      </c>
      <c r="E32" t="s">
        <v>1373</v>
      </c>
      <c r="F32" t="s">
        <v>1372</v>
      </c>
      <c r="H32" s="5" t="s">
        <v>1373</v>
      </c>
    </row>
    <row r="33" spans="1:8" ht="16" x14ac:dyDescent="0.2">
      <c r="A33">
        <v>1</v>
      </c>
      <c r="B33" t="s">
        <v>1372</v>
      </c>
      <c r="C33" t="s">
        <v>1372</v>
      </c>
      <c r="D33" t="s">
        <v>1372</v>
      </c>
      <c r="E33" t="s">
        <v>1372</v>
      </c>
      <c r="F33" t="s">
        <v>1372</v>
      </c>
      <c r="H33" s="5" t="s">
        <v>1358</v>
      </c>
    </row>
    <row r="34" spans="1:8" ht="16" x14ac:dyDescent="0.2">
      <c r="A34">
        <v>1</v>
      </c>
      <c r="B34" t="s">
        <v>1372</v>
      </c>
      <c r="C34" t="s">
        <v>1372</v>
      </c>
      <c r="D34" t="s">
        <v>1372</v>
      </c>
      <c r="E34" t="s">
        <v>1372</v>
      </c>
      <c r="F34" t="s">
        <v>1372</v>
      </c>
      <c r="H34" s="5" t="s">
        <v>1351</v>
      </c>
    </row>
    <row r="35" spans="1:8" ht="16" x14ac:dyDescent="0.2">
      <c r="A35">
        <v>1</v>
      </c>
      <c r="B35" t="s">
        <v>1372</v>
      </c>
      <c r="C35" t="s">
        <v>1372</v>
      </c>
      <c r="D35" t="s">
        <v>1372</v>
      </c>
      <c r="E35" t="s">
        <v>1372</v>
      </c>
      <c r="F35" t="s">
        <v>1372</v>
      </c>
      <c r="H35" s="5" t="s">
        <v>1374</v>
      </c>
    </row>
    <row r="36" spans="1:8" ht="16" x14ac:dyDescent="0.2">
      <c r="A36">
        <v>1</v>
      </c>
      <c r="B36" t="s">
        <v>1352</v>
      </c>
      <c r="C36" t="s">
        <v>1352</v>
      </c>
      <c r="D36" t="s">
        <v>1352</v>
      </c>
      <c r="E36" t="s">
        <v>1352</v>
      </c>
      <c r="F36" t="s">
        <v>1352</v>
      </c>
      <c r="H36" s="5" t="s">
        <v>191</v>
      </c>
    </row>
    <row r="37" spans="1:8" ht="16" x14ac:dyDescent="0.2">
      <c r="A37">
        <v>1</v>
      </c>
      <c r="B37" t="s">
        <v>202</v>
      </c>
      <c r="C37" t="s">
        <v>1353</v>
      </c>
      <c r="D37" t="s">
        <v>1353</v>
      </c>
      <c r="E37" t="s">
        <v>202</v>
      </c>
      <c r="F37" t="s">
        <v>202</v>
      </c>
      <c r="H37" s="5" t="s">
        <v>195</v>
      </c>
    </row>
    <row r="38" spans="1:8" ht="16" x14ac:dyDescent="0.2">
      <c r="A38">
        <v>1</v>
      </c>
      <c r="B38" t="s">
        <v>202</v>
      </c>
      <c r="C38" t="s">
        <v>202</v>
      </c>
      <c r="D38" t="s">
        <v>202</v>
      </c>
      <c r="E38" t="s">
        <v>1358</v>
      </c>
      <c r="F38" t="s">
        <v>1351</v>
      </c>
      <c r="H38" s="5" t="s">
        <v>199</v>
      </c>
    </row>
    <row r="39" spans="1:8" ht="16" x14ac:dyDescent="0.2">
      <c r="A39">
        <v>1</v>
      </c>
      <c r="B39" t="s">
        <v>1353</v>
      </c>
      <c r="C39" t="s">
        <v>1353</v>
      </c>
      <c r="D39" t="s">
        <v>1353</v>
      </c>
      <c r="E39" t="s">
        <v>1353</v>
      </c>
      <c r="F39" t="s">
        <v>1353</v>
      </c>
      <c r="H39" s="6" t="s">
        <v>202</v>
      </c>
    </row>
    <row r="40" spans="1:8" x14ac:dyDescent="0.2">
      <c r="A40">
        <v>1</v>
      </c>
      <c r="B40" t="s">
        <v>1353</v>
      </c>
      <c r="C40" t="s">
        <v>195</v>
      </c>
      <c r="D40" t="s">
        <v>195</v>
      </c>
      <c r="E40" t="s">
        <v>1353</v>
      </c>
      <c r="F40" t="s">
        <v>1353</v>
      </c>
    </row>
    <row r="41" spans="1:8" x14ac:dyDescent="0.2">
      <c r="A41">
        <v>1</v>
      </c>
      <c r="B41" t="s">
        <v>1353</v>
      </c>
      <c r="C41" t="s">
        <v>1353</v>
      </c>
      <c r="D41" t="s">
        <v>1353</v>
      </c>
      <c r="E41" t="s">
        <v>1353</v>
      </c>
      <c r="F41" t="s">
        <v>1353</v>
      </c>
    </row>
    <row r="42" spans="1:8" x14ac:dyDescent="0.2">
      <c r="A42">
        <v>1</v>
      </c>
      <c r="B42" t="s">
        <v>1353</v>
      </c>
      <c r="C42" t="s">
        <v>1353</v>
      </c>
      <c r="D42" t="s">
        <v>1353</v>
      </c>
      <c r="E42" t="s">
        <v>1353</v>
      </c>
      <c r="F42" t="s">
        <v>1353</v>
      </c>
    </row>
    <row r="43" spans="1:8" x14ac:dyDescent="0.2">
      <c r="A43">
        <v>1</v>
      </c>
      <c r="B43" t="s">
        <v>1353</v>
      </c>
      <c r="C43" t="s">
        <v>1353</v>
      </c>
      <c r="D43" t="s">
        <v>1353</v>
      </c>
      <c r="E43" t="s">
        <v>1353</v>
      </c>
      <c r="F43" t="s">
        <v>1353</v>
      </c>
    </row>
    <row r="44" spans="1:8" x14ac:dyDescent="0.2">
      <c r="A44">
        <v>1</v>
      </c>
      <c r="B44" t="s">
        <v>1353</v>
      </c>
      <c r="C44" t="s">
        <v>1353</v>
      </c>
      <c r="D44" t="s">
        <v>1353</v>
      </c>
      <c r="E44" t="s">
        <v>1353</v>
      </c>
      <c r="F44" t="s">
        <v>1353</v>
      </c>
    </row>
    <row r="45" spans="1:8" x14ac:dyDescent="0.2">
      <c r="A45">
        <v>1</v>
      </c>
      <c r="B45" t="s">
        <v>1353</v>
      </c>
      <c r="C45" t="s">
        <v>1353</v>
      </c>
      <c r="D45" t="s">
        <v>1353</v>
      </c>
      <c r="E45" t="s">
        <v>1353</v>
      </c>
      <c r="F45" t="s">
        <v>1353</v>
      </c>
    </row>
    <row r="46" spans="1:8" x14ac:dyDescent="0.2">
      <c r="A46">
        <v>1</v>
      </c>
      <c r="B46" t="s">
        <v>1352</v>
      </c>
      <c r="C46" t="s">
        <v>1352</v>
      </c>
      <c r="D46" t="s">
        <v>1352</v>
      </c>
      <c r="E46" t="s">
        <v>1352</v>
      </c>
      <c r="F46" t="s">
        <v>1352</v>
      </c>
    </row>
    <row r="47" spans="1:8" x14ac:dyDescent="0.2">
      <c r="A47">
        <v>1</v>
      </c>
      <c r="B47" t="s">
        <v>1353</v>
      </c>
      <c r="C47" t="s">
        <v>1353</v>
      </c>
      <c r="D47" t="s">
        <v>1353</v>
      </c>
      <c r="E47" t="s">
        <v>1353</v>
      </c>
      <c r="F47" t="s">
        <v>1353</v>
      </c>
    </row>
    <row r="48" spans="1:8" x14ac:dyDescent="0.2">
      <c r="A48">
        <v>1</v>
      </c>
      <c r="B48" t="s">
        <v>1352</v>
      </c>
      <c r="C48" t="s">
        <v>1352</v>
      </c>
      <c r="D48" t="s">
        <v>1352</v>
      </c>
      <c r="E48" t="s">
        <v>1352</v>
      </c>
      <c r="F48" t="s">
        <v>1352</v>
      </c>
    </row>
    <row r="49" spans="1:6" x14ac:dyDescent="0.2">
      <c r="A49">
        <v>1</v>
      </c>
      <c r="B49" t="s">
        <v>1352</v>
      </c>
      <c r="C49" t="s">
        <v>1372</v>
      </c>
      <c r="D49" t="s">
        <v>1352</v>
      </c>
      <c r="E49" t="s">
        <v>1353</v>
      </c>
      <c r="F49" t="s">
        <v>1352</v>
      </c>
    </row>
    <row r="50" spans="1:6" x14ac:dyDescent="0.2">
      <c r="A50">
        <v>1</v>
      </c>
      <c r="B50" t="s">
        <v>1372</v>
      </c>
      <c r="C50" t="s">
        <v>1372</v>
      </c>
      <c r="D50" t="s">
        <v>1372</v>
      </c>
      <c r="E50" t="s">
        <v>1372</v>
      </c>
      <c r="F50" t="s">
        <v>1372</v>
      </c>
    </row>
    <row r="51" spans="1:6" x14ac:dyDescent="0.2">
      <c r="A51">
        <v>1</v>
      </c>
      <c r="B51" t="s">
        <v>1353</v>
      </c>
      <c r="C51" t="s">
        <v>1353</v>
      </c>
      <c r="D51" t="s">
        <v>1353</v>
      </c>
      <c r="E51" t="s">
        <v>1353</v>
      </c>
      <c r="F51" t="s">
        <v>1353</v>
      </c>
    </row>
    <row r="52" spans="1:6" x14ac:dyDescent="0.2">
      <c r="A52">
        <v>1</v>
      </c>
      <c r="B52" t="s">
        <v>1353</v>
      </c>
      <c r="C52" t="s">
        <v>1353</v>
      </c>
      <c r="D52" t="s">
        <v>1353</v>
      </c>
      <c r="E52" t="s">
        <v>1353</v>
      </c>
      <c r="F52" t="s">
        <v>1353</v>
      </c>
    </row>
    <row r="53" spans="1:6" x14ac:dyDescent="0.2">
      <c r="A53">
        <v>1</v>
      </c>
      <c r="B53" t="s">
        <v>1353</v>
      </c>
      <c r="C53" t="s">
        <v>1353</v>
      </c>
      <c r="D53" t="s">
        <v>1353</v>
      </c>
      <c r="E53" t="s">
        <v>1353</v>
      </c>
      <c r="F53" t="s">
        <v>1353</v>
      </c>
    </row>
    <row r="54" spans="1:6" x14ac:dyDescent="0.2">
      <c r="A54">
        <v>1</v>
      </c>
      <c r="B54" t="s">
        <v>202</v>
      </c>
      <c r="C54" t="s">
        <v>202</v>
      </c>
      <c r="D54" t="s">
        <v>1353</v>
      </c>
      <c r="E54" t="s">
        <v>202</v>
      </c>
      <c r="F54" t="s">
        <v>202</v>
      </c>
    </row>
    <row r="55" spans="1:6" x14ac:dyDescent="0.2">
      <c r="A55">
        <v>1</v>
      </c>
      <c r="B55" t="s">
        <v>1373</v>
      </c>
      <c r="C55" t="s">
        <v>1372</v>
      </c>
      <c r="D55" t="s">
        <v>1372</v>
      </c>
      <c r="E55" t="s">
        <v>1372</v>
      </c>
      <c r="F55" t="s">
        <v>1373</v>
      </c>
    </row>
    <row r="56" spans="1:6" x14ac:dyDescent="0.2">
      <c r="A56">
        <v>1</v>
      </c>
      <c r="B56" t="s">
        <v>1353</v>
      </c>
      <c r="C56" t="s">
        <v>1353</v>
      </c>
      <c r="D56" t="s">
        <v>1353</v>
      </c>
      <c r="E56" t="s">
        <v>1353</v>
      </c>
      <c r="F56" t="s">
        <v>1353</v>
      </c>
    </row>
    <row r="57" spans="1:6" x14ac:dyDescent="0.2">
      <c r="A57">
        <v>1</v>
      </c>
      <c r="B57" t="s">
        <v>1352</v>
      </c>
      <c r="C57" t="s">
        <v>1352</v>
      </c>
      <c r="D57" t="s">
        <v>1352</v>
      </c>
      <c r="E57" t="s">
        <v>1352</v>
      </c>
      <c r="F57" t="s">
        <v>1352</v>
      </c>
    </row>
    <row r="58" spans="1:6" x14ac:dyDescent="0.2">
      <c r="A58">
        <v>1</v>
      </c>
      <c r="B58" t="s">
        <v>1372</v>
      </c>
      <c r="C58" t="s">
        <v>1372</v>
      </c>
      <c r="D58" t="s">
        <v>1372</v>
      </c>
      <c r="E58" t="s">
        <v>1372</v>
      </c>
      <c r="F58" t="s">
        <v>1372</v>
      </c>
    </row>
    <row r="59" spans="1:6" x14ac:dyDescent="0.2">
      <c r="A59">
        <v>1</v>
      </c>
      <c r="B59" t="s">
        <v>1373</v>
      </c>
      <c r="C59" t="s">
        <v>1372</v>
      </c>
      <c r="D59" t="s">
        <v>1373</v>
      </c>
      <c r="E59" t="s">
        <v>1373</v>
      </c>
      <c r="F59" t="s">
        <v>1373</v>
      </c>
    </row>
    <row r="60" spans="1:6" x14ac:dyDescent="0.2">
      <c r="A60">
        <v>1</v>
      </c>
      <c r="B60" t="s">
        <v>1353</v>
      </c>
      <c r="C60" t="s">
        <v>1372</v>
      </c>
      <c r="D60" t="s">
        <v>1372</v>
      </c>
      <c r="E60" t="s">
        <v>1353</v>
      </c>
      <c r="F60" t="s">
        <v>1353</v>
      </c>
    </row>
    <row r="61" spans="1:6" x14ac:dyDescent="0.2">
      <c r="A61">
        <v>1</v>
      </c>
      <c r="B61" t="s">
        <v>1356</v>
      </c>
      <c r="C61" t="s">
        <v>1356</v>
      </c>
      <c r="D61" t="s">
        <v>1356</v>
      </c>
      <c r="E61" t="s">
        <v>1372</v>
      </c>
      <c r="F61" t="s">
        <v>1372</v>
      </c>
    </row>
    <row r="62" spans="1:6" x14ac:dyDescent="0.2">
      <c r="A62">
        <v>1</v>
      </c>
      <c r="B62" t="s">
        <v>1353</v>
      </c>
      <c r="C62" t="s">
        <v>1353</v>
      </c>
      <c r="D62" t="s">
        <v>1353</v>
      </c>
      <c r="E62" t="s">
        <v>1353</v>
      </c>
      <c r="F62" t="s">
        <v>202</v>
      </c>
    </row>
    <row r="63" spans="1:6" x14ac:dyDescent="0.2">
      <c r="A63">
        <v>1</v>
      </c>
      <c r="B63" t="s">
        <v>1353</v>
      </c>
      <c r="C63" t="s">
        <v>1353</v>
      </c>
      <c r="D63" t="s">
        <v>1353</v>
      </c>
      <c r="E63" t="s">
        <v>1353</v>
      </c>
      <c r="F63" t="s">
        <v>1353</v>
      </c>
    </row>
    <row r="64" spans="1:6" x14ac:dyDescent="0.2">
      <c r="A64">
        <v>1</v>
      </c>
      <c r="B64" t="s">
        <v>1352</v>
      </c>
      <c r="C64" t="s">
        <v>1352</v>
      </c>
      <c r="D64" t="s">
        <v>1352</v>
      </c>
      <c r="E64" t="s">
        <v>1352</v>
      </c>
      <c r="F64" t="s">
        <v>1352</v>
      </c>
    </row>
    <row r="65" spans="1:6" x14ac:dyDescent="0.2">
      <c r="A65">
        <v>1</v>
      </c>
      <c r="B65" t="s">
        <v>1373</v>
      </c>
      <c r="C65" t="s">
        <v>1373</v>
      </c>
      <c r="D65" t="s">
        <v>1373</v>
      </c>
      <c r="E65" t="s">
        <v>1373</v>
      </c>
      <c r="F65" t="s">
        <v>202</v>
      </c>
    </row>
    <row r="66" spans="1:6" x14ac:dyDescent="0.2">
      <c r="A66">
        <v>1</v>
      </c>
      <c r="B66" t="s">
        <v>199</v>
      </c>
      <c r="C66" t="s">
        <v>199</v>
      </c>
      <c r="D66" t="s">
        <v>199</v>
      </c>
      <c r="E66" t="s">
        <v>199</v>
      </c>
      <c r="F66" t="s">
        <v>199</v>
      </c>
    </row>
    <row r="67" spans="1:6" x14ac:dyDescent="0.2">
      <c r="A67">
        <v>1</v>
      </c>
      <c r="B67" t="s">
        <v>1353</v>
      </c>
      <c r="C67" t="s">
        <v>1353</v>
      </c>
      <c r="D67" t="s">
        <v>1353</v>
      </c>
      <c r="E67" t="s">
        <v>202</v>
      </c>
      <c r="F67" t="s">
        <v>202</v>
      </c>
    </row>
    <row r="68" spans="1:6" x14ac:dyDescent="0.2">
      <c r="A68">
        <v>1</v>
      </c>
      <c r="B68" t="s">
        <v>202</v>
      </c>
      <c r="C68" t="s">
        <v>202</v>
      </c>
      <c r="D68" t="s">
        <v>202</v>
      </c>
      <c r="E68" t="s">
        <v>202</v>
      </c>
      <c r="F68" t="s">
        <v>202</v>
      </c>
    </row>
    <row r="69" spans="1:6" x14ac:dyDescent="0.2">
      <c r="A69">
        <v>1.2</v>
      </c>
      <c r="B69" t="s">
        <v>1352</v>
      </c>
      <c r="C69" t="s">
        <v>1352</v>
      </c>
      <c r="D69" t="s">
        <v>1353</v>
      </c>
      <c r="E69" t="s">
        <v>1353</v>
      </c>
      <c r="F69" t="s">
        <v>1353</v>
      </c>
    </row>
    <row r="70" spans="1:6" x14ac:dyDescent="0.2">
      <c r="A70">
        <v>1.2</v>
      </c>
      <c r="B70" t="s">
        <v>1352</v>
      </c>
      <c r="C70" t="s">
        <v>1352</v>
      </c>
      <c r="D70" t="s">
        <v>1352</v>
      </c>
      <c r="E70" t="s">
        <v>1352</v>
      </c>
      <c r="F70" t="s">
        <v>1352</v>
      </c>
    </row>
    <row r="71" spans="1:6" x14ac:dyDescent="0.2">
      <c r="A71">
        <v>1.5</v>
      </c>
      <c r="B71" t="s">
        <v>1372</v>
      </c>
      <c r="C71" t="s">
        <v>1372</v>
      </c>
      <c r="D71" t="s">
        <v>1372</v>
      </c>
      <c r="E71" t="s">
        <v>1372</v>
      </c>
      <c r="F71" t="s">
        <v>1372</v>
      </c>
    </row>
    <row r="72" spans="1:6" x14ac:dyDescent="0.2">
      <c r="A72">
        <v>1.5</v>
      </c>
      <c r="B72" t="s">
        <v>1353</v>
      </c>
      <c r="C72" t="s">
        <v>1353</v>
      </c>
      <c r="D72" t="s">
        <v>1372</v>
      </c>
      <c r="E72" t="s">
        <v>1353</v>
      </c>
      <c r="F72" t="s">
        <v>1353</v>
      </c>
    </row>
    <row r="73" spans="1:6" x14ac:dyDescent="0.2">
      <c r="A73">
        <v>1.5</v>
      </c>
      <c r="B73" t="s">
        <v>1353</v>
      </c>
      <c r="C73" t="s">
        <v>1353</v>
      </c>
      <c r="D73" t="s">
        <v>1353</v>
      </c>
      <c r="E73" t="s">
        <v>1353</v>
      </c>
      <c r="F73" t="s">
        <v>1353</v>
      </c>
    </row>
    <row r="74" spans="1:6" x14ac:dyDescent="0.2">
      <c r="A74">
        <v>1.5</v>
      </c>
      <c r="B74" t="s">
        <v>1353</v>
      </c>
      <c r="C74" t="s">
        <v>1372</v>
      </c>
      <c r="D74" t="s">
        <v>1353</v>
      </c>
      <c r="E74" t="s">
        <v>1372</v>
      </c>
      <c r="F74" t="s">
        <v>191</v>
      </c>
    </row>
    <row r="75" spans="1:6" x14ac:dyDescent="0.2">
      <c r="A75">
        <v>1.5</v>
      </c>
      <c r="B75" t="s">
        <v>1373</v>
      </c>
      <c r="C75" t="s">
        <v>1353</v>
      </c>
      <c r="D75" t="s">
        <v>1353</v>
      </c>
      <c r="E75" t="s">
        <v>1373</v>
      </c>
      <c r="F75" t="s">
        <v>1373</v>
      </c>
    </row>
    <row r="76" spans="1:6" x14ac:dyDescent="0.2">
      <c r="A76">
        <v>1.5</v>
      </c>
      <c r="B76" t="s">
        <v>1353</v>
      </c>
      <c r="C76" t="s">
        <v>1353</v>
      </c>
      <c r="D76" t="s">
        <v>1353</v>
      </c>
      <c r="E76" t="s">
        <v>1353</v>
      </c>
      <c r="F76" t="s">
        <v>1353</v>
      </c>
    </row>
    <row r="77" spans="1:6" x14ac:dyDescent="0.2">
      <c r="A77">
        <v>1.5</v>
      </c>
      <c r="B77" t="s">
        <v>1353</v>
      </c>
      <c r="C77" t="s">
        <v>1353</v>
      </c>
      <c r="D77" t="s">
        <v>1353</v>
      </c>
      <c r="E77" t="s">
        <v>1353</v>
      </c>
      <c r="F77" t="s">
        <v>1353</v>
      </c>
    </row>
    <row r="78" spans="1:6" x14ac:dyDescent="0.2">
      <c r="A78">
        <v>1.6</v>
      </c>
      <c r="B78" t="s">
        <v>1353</v>
      </c>
      <c r="C78" t="s">
        <v>1353</v>
      </c>
      <c r="D78" t="s">
        <v>1353</v>
      </c>
      <c r="E78" t="s">
        <v>1353</v>
      </c>
      <c r="F78" t="s">
        <v>1353</v>
      </c>
    </row>
    <row r="79" spans="1:6" x14ac:dyDescent="0.2">
      <c r="A79">
        <v>1.7</v>
      </c>
      <c r="B79" t="s">
        <v>1352</v>
      </c>
      <c r="C79" t="s">
        <v>1352</v>
      </c>
      <c r="D79" t="s">
        <v>1352</v>
      </c>
      <c r="E79" t="s">
        <v>202</v>
      </c>
      <c r="F79" t="s">
        <v>1352</v>
      </c>
    </row>
    <row r="80" spans="1:6" x14ac:dyDescent="0.2">
      <c r="A80">
        <v>1.7</v>
      </c>
      <c r="B80" t="s">
        <v>1353</v>
      </c>
      <c r="C80" t="s">
        <v>1353</v>
      </c>
      <c r="D80" t="s">
        <v>1353</v>
      </c>
      <c r="E80" t="s">
        <v>1353</v>
      </c>
      <c r="F80" t="s">
        <v>1353</v>
      </c>
    </row>
    <row r="81" spans="1:6" x14ac:dyDescent="0.2">
      <c r="A81">
        <v>1.8</v>
      </c>
      <c r="B81" t="s">
        <v>1373</v>
      </c>
      <c r="C81" t="s">
        <v>1373</v>
      </c>
      <c r="D81" t="s">
        <v>202</v>
      </c>
      <c r="E81" t="s">
        <v>1373</v>
      </c>
      <c r="F81" t="s">
        <v>1373</v>
      </c>
    </row>
    <row r="82" spans="1:6" x14ac:dyDescent="0.2">
      <c r="A82">
        <v>2</v>
      </c>
      <c r="B82" t="s">
        <v>1353</v>
      </c>
      <c r="C82" t="s">
        <v>1353</v>
      </c>
      <c r="D82" t="s">
        <v>1353</v>
      </c>
      <c r="E82" t="s">
        <v>1353</v>
      </c>
      <c r="F82" t="s">
        <v>1353</v>
      </c>
    </row>
    <row r="83" spans="1:6" x14ac:dyDescent="0.2">
      <c r="A83">
        <v>2</v>
      </c>
      <c r="B83" t="s">
        <v>1353</v>
      </c>
      <c r="C83" t="s">
        <v>1353</v>
      </c>
      <c r="D83" t="s">
        <v>1353</v>
      </c>
      <c r="E83" t="s">
        <v>1353</v>
      </c>
      <c r="F83" t="s">
        <v>1353</v>
      </c>
    </row>
    <row r="84" spans="1:6" x14ac:dyDescent="0.2">
      <c r="A84">
        <v>2</v>
      </c>
      <c r="B84" t="s">
        <v>1353</v>
      </c>
      <c r="C84" t="s">
        <v>1353</v>
      </c>
      <c r="D84" t="s">
        <v>1352</v>
      </c>
      <c r="E84" t="s">
        <v>1353</v>
      </c>
      <c r="F84" t="s">
        <v>1353</v>
      </c>
    </row>
    <row r="85" spans="1:6" x14ac:dyDescent="0.2">
      <c r="A85">
        <v>2</v>
      </c>
      <c r="B85" t="s">
        <v>1353</v>
      </c>
      <c r="C85" t="s">
        <v>1353</v>
      </c>
      <c r="D85" t="s">
        <v>1353</v>
      </c>
      <c r="E85" t="s">
        <v>1353</v>
      </c>
      <c r="F85" t="s">
        <v>1353</v>
      </c>
    </row>
    <row r="86" spans="1:6" x14ac:dyDescent="0.2">
      <c r="A86">
        <v>2</v>
      </c>
      <c r="B86" t="s">
        <v>1353</v>
      </c>
      <c r="C86" t="s">
        <v>1353</v>
      </c>
      <c r="D86" t="s">
        <v>1353</v>
      </c>
      <c r="E86" t="s">
        <v>1353</v>
      </c>
      <c r="F86" t="s">
        <v>1353</v>
      </c>
    </row>
    <row r="87" spans="1:6" x14ac:dyDescent="0.2">
      <c r="A87">
        <v>2</v>
      </c>
      <c r="B87" t="s">
        <v>1353</v>
      </c>
      <c r="C87" t="s">
        <v>1353</v>
      </c>
      <c r="D87" t="s">
        <v>1353</v>
      </c>
      <c r="E87" t="s">
        <v>1353</v>
      </c>
      <c r="F87" t="s">
        <v>1353</v>
      </c>
    </row>
    <row r="88" spans="1:6" x14ac:dyDescent="0.2">
      <c r="A88">
        <v>2</v>
      </c>
      <c r="B88" t="s">
        <v>1353</v>
      </c>
      <c r="C88" t="s">
        <v>1353</v>
      </c>
      <c r="D88" t="s">
        <v>1353</v>
      </c>
      <c r="E88" t="s">
        <v>1353</v>
      </c>
      <c r="F88" t="s">
        <v>1353</v>
      </c>
    </row>
    <row r="89" spans="1:6" x14ac:dyDescent="0.2">
      <c r="A89">
        <v>2</v>
      </c>
      <c r="B89" t="s">
        <v>1353</v>
      </c>
      <c r="C89" t="s">
        <v>1353</v>
      </c>
      <c r="D89" t="s">
        <v>1353</v>
      </c>
      <c r="E89" t="s">
        <v>1353</v>
      </c>
      <c r="F89" t="s">
        <v>1353</v>
      </c>
    </row>
    <row r="90" spans="1:6" x14ac:dyDescent="0.2">
      <c r="A90">
        <v>2</v>
      </c>
      <c r="B90" t="s">
        <v>1353</v>
      </c>
      <c r="C90" t="s">
        <v>1373</v>
      </c>
      <c r="D90" t="s">
        <v>1373</v>
      </c>
      <c r="E90" t="s">
        <v>1373</v>
      </c>
      <c r="F90" t="s">
        <v>1373</v>
      </c>
    </row>
    <row r="91" spans="1:6" x14ac:dyDescent="0.2">
      <c r="A91">
        <v>2</v>
      </c>
      <c r="B91" t="s">
        <v>1372</v>
      </c>
      <c r="C91" t="s">
        <v>1372</v>
      </c>
      <c r="D91" t="s">
        <v>1372</v>
      </c>
      <c r="E91" t="s">
        <v>1372</v>
      </c>
      <c r="F91" t="s">
        <v>1372</v>
      </c>
    </row>
    <row r="92" spans="1:6" x14ac:dyDescent="0.2">
      <c r="A92">
        <v>2</v>
      </c>
      <c r="B92" t="s">
        <v>191</v>
      </c>
      <c r="C92" t="s">
        <v>191</v>
      </c>
      <c r="D92" t="s">
        <v>191</v>
      </c>
      <c r="E92" t="s">
        <v>191</v>
      </c>
      <c r="F92" t="s">
        <v>191</v>
      </c>
    </row>
    <row r="93" spans="1:6" x14ac:dyDescent="0.2">
      <c r="A93">
        <v>2</v>
      </c>
      <c r="B93" t="s">
        <v>202</v>
      </c>
      <c r="C93" t="s">
        <v>1353</v>
      </c>
      <c r="D93" t="s">
        <v>1353</v>
      </c>
      <c r="E93" t="s">
        <v>1353</v>
      </c>
      <c r="F93" t="s">
        <v>1353</v>
      </c>
    </row>
    <row r="94" spans="1:6" x14ac:dyDescent="0.2">
      <c r="A94">
        <v>2</v>
      </c>
      <c r="B94" t="s">
        <v>1353</v>
      </c>
      <c r="C94" t="s">
        <v>1353</v>
      </c>
      <c r="D94" t="s">
        <v>1353</v>
      </c>
      <c r="E94" t="s">
        <v>1353</v>
      </c>
      <c r="F94" t="s">
        <v>199</v>
      </c>
    </row>
    <row r="95" spans="1:6" x14ac:dyDescent="0.2">
      <c r="A95">
        <v>2</v>
      </c>
      <c r="B95" t="s">
        <v>1353</v>
      </c>
      <c r="C95" t="s">
        <v>1353</v>
      </c>
      <c r="D95" t="s">
        <v>1353</v>
      </c>
      <c r="E95" t="s">
        <v>1353</v>
      </c>
      <c r="F95" t="s">
        <v>1353</v>
      </c>
    </row>
    <row r="96" spans="1:6" x14ac:dyDescent="0.2">
      <c r="A96">
        <v>2</v>
      </c>
      <c r="B96" t="s">
        <v>1353</v>
      </c>
      <c r="C96" t="s">
        <v>1353</v>
      </c>
      <c r="D96" t="s">
        <v>1353</v>
      </c>
      <c r="E96" t="s">
        <v>1353</v>
      </c>
      <c r="F96" t="s">
        <v>1353</v>
      </c>
    </row>
    <row r="97" spans="1:6" x14ac:dyDescent="0.2">
      <c r="A97">
        <v>2</v>
      </c>
      <c r="B97" t="s">
        <v>195</v>
      </c>
      <c r="C97" t="s">
        <v>195</v>
      </c>
      <c r="D97" t="s">
        <v>195</v>
      </c>
      <c r="E97" t="s">
        <v>195</v>
      </c>
      <c r="F97" t="s">
        <v>195</v>
      </c>
    </row>
    <row r="98" spans="1:6" x14ac:dyDescent="0.2">
      <c r="A98">
        <v>2</v>
      </c>
      <c r="B98" t="s">
        <v>1352</v>
      </c>
      <c r="C98" t="s">
        <v>1352</v>
      </c>
      <c r="D98" t="s">
        <v>1352</v>
      </c>
      <c r="E98" t="s">
        <v>1352</v>
      </c>
      <c r="F98" t="s">
        <v>1352</v>
      </c>
    </row>
    <row r="99" spans="1:6" x14ac:dyDescent="0.2">
      <c r="A99">
        <v>2</v>
      </c>
      <c r="B99" t="s">
        <v>1353</v>
      </c>
      <c r="C99" t="s">
        <v>1353</v>
      </c>
      <c r="D99" t="s">
        <v>1353</v>
      </c>
      <c r="E99" t="s">
        <v>1353</v>
      </c>
      <c r="F99" t="s">
        <v>1353</v>
      </c>
    </row>
    <row r="100" spans="1:6" x14ac:dyDescent="0.2">
      <c r="A100">
        <v>2</v>
      </c>
      <c r="B100" t="s">
        <v>1353</v>
      </c>
      <c r="C100" t="s">
        <v>1353</v>
      </c>
      <c r="D100" t="s">
        <v>199</v>
      </c>
      <c r="E100" t="s">
        <v>199</v>
      </c>
      <c r="F100" t="s">
        <v>199</v>
      </c>
    </row>
    <row r="101" spans="1:6" x14ac:dyDescent="0.2">
      <c r="A101">
        <v>2</v>
      </c>
      <c r="B101" t="s">
        <v>1353</v>
      </c>
      <c r="C101" t="s">
        <v>1353</v>
      </c>
      <c r="D101" t="s">
        <v>1353</v>
      </c>
      <c r="E101" t="s">
        <v>1353</v>
      </c>
      <c r="F101" t="s">
        <v>1353</v>
      </c>
    </row>
    <row r="102" spans="1:6" x14ac:dyDescent="0.2">
      <c r="A102">
        <v>2</v>
      </c>
      <c r="B102" t="s">
        <v>1353</v>
      </c>
      <c r="C102" t="s">
        <v>1353</v>
      </c>
      <c r="D102" t="s">
        <v>1353</v>
      </c>
      <c r="E102" t="s">
        <v>1353</v>
      </c>
      <c r="F102" t="s">
        <v>1353</v>
      </c>
    </row>
    <row r="103" spans="1:6" x14ac:dyDescent="0.2">
      <c r="A103">
        <v>2</v>
      </c>
      <c r="B103" t="s">
        <v>1353</v>
      </c>
      <c r="C103" t="s">
        <v>1353</v>
      </c>
      <c r="D103" t="s">
        <v>1353</v>
      </c>
      <c r="E103" t="s">
        <v>1353</v>
      </c>
      <c r="F103" t="s">
        <v>1353</v>
      </c>
    </row>
    <row r="104" spans="1:6" x14ac:dyDescent="0.2">
      <c r="A104">
        <v>2</v>
      </c>
      <c r="B104" t="s">
        <v>1353</v>
      </c>
      <c r="C104" t="s">
        <v>1353</v>
      </c>
      <c r="D104" t="s">
        <v>1353</v>
      </c>
      <c r="E104" t="s">
        <v>1353</v>
      </c>
      <c r="F104" t="s">
        <v>1353</v>
      </c>
    </row>
    <row r="105" spans="1:6" x14ac:dyDescent="0.2">
      <c r="A105">
        <v>2</v>
      </c>
      <c r="B105" t="s">
        <v>1353</v>
      </c>
      <c r="C105" t="s">
        <v>1353</v>
      </c>
      <c r="D105" t="s">
        <v>1353</v>
      </c>
      <c r="E105" t="s">
        <v>1353</v>
      </c>
      <c r="F105" t="s">
        <v>199</v>
      </c>
    </row>
    <row r="106" spans="1:6" x14ac:dyDescent="0.2">
      <c r="A106">
        <v>2</v>
      </c>
      <c r="B106" t="s">
        <v>1353</v>
      </c>
      <c r="C106" t="s">
        <v>1353</v>
      </c>
      <c r="D106" t="s">
        <v>1353</v>
      </c>
      <c r="E106" t="s">
        <v>1353</v>
      </c>
      <c r="F106" t="s">
        <v>1353</v>
      </c>
    </row>
    <row r="107" spans="1:6" x14ac:dyDescent="0.2">
      <c r="A107">
        <v>2</v>
      </c>
      <c r="B107" t="s">
        <v>1372</v>
      </c>
      <c r="C107" t="s">
        <v>1372</v>
      </c>
      <c r="D107" t="s">
        <v>1372</v>
      </c>
      <c r="E107" t="s">
        <v>1372</v>
      </c>
      <c r="F107" t="s">
        <v>1352</v>
      </c>
    </row>
    <row r="108" spans="1:6" x14ac:dyDescent="0.2">
      <c r="A108">
        <v>2.5</v>
      </c>
      <c r="B108" t="s">
        <v>1353</v>
      </c>
      <c r="C108" t="s">
        <v>1353</v>
      </c>
      <c r="D108" t="s">
        <v>1353</v>
      </c>
      <c r="E108" t="s">
        <v>1353</v>
      </c>
      <c r="F108" t="s">
        <v>1353</v>
      </c>
    </row>
    <row r="109" spans="1:6" x14ac:dyDescent="0.2">
      <c r="A109">
        <v>2.5</v>
      </c>
      <c r="B109" t="s">
        <v>1353</v>
      </c>
      <c r="C109" t="s">
        <v>1353</v>
      </c>
      <c r="D109" t="s">
        <v>1353</v>
      </c>
      <c r="E109" t="s">
        <v>1353</v>
      </c>
      <c r="F109" t="s">
        <v>1353</v>
      </c>
    </row>
    <row r="110" spans="1:6" x14ac:dyDescent="0.2">
      <c r="A110">
        <v>2.5</v>
      </c>
      <c r="B110" t="s">
        <v>1353</v>
      </c>
      <c r="C110" t="s">
        <v>1353</v>
      </c>
      <c r="D110" t="s">
        <v>1353</v>
      </c>
      <c r="E110" t="s">
        <v>1353</v>
      </c>
      <c r="F110" t="s">
        <v>1352</v>
      </c>
    </row>
    <row r="111" spans="1:6" x14ac:dyDescent="0.2">
      <c r="A111">
        <v>2.5</v>
      </c>
      <c r="B111" t="s">
        <v>1353</v>
      </c>
      <c r="C111" t="s">
        <v>1353</v>
      </c>
      <c r="D111" t="s">
        <v>1353</v>
      </c>
      <c r="E111" t="s">
        <v>1353</v>
      </c>
      <c r="F111" t="s">
        <v>1353</v>
      </c>
    </row>
    <row r="112" spans="1:6" x14ac:dyDescent="0.2">
      <c r="A112">
        <v>2.6</v>
      </c>
      <c r="B112" t="s">
        <v>1353</v>
      </c>
      <c r="C112" t="s">
        <v>1353</v>
      </c>
      <c r="D112" t="s">
        <v>1353</v>
      </c>
      <c r="E112" t="s">
        <v>1353</v>
      </c>
      <c r="F112" t="s">
        <v>1353</v>
      </c>
    </row>
    <row r="113" spans="1:6" x14ac:dyDescent="0.2">
      <c r="A113">
        <v>2.7</v>
      </c>
      <c r="B113" t="s">
        <v>1353</v>
      </c>
      <c r="C113" t="s">
        <v>1353</v>
      </c>
      <c r="D113" t="s">
        <v>1353</v>
      </c>
      <c r="E113" t="s">
        <v>1353</v>
      </c>
      <c r="F113" t="s">
        <v>1353</v>
      </c>
    </row>
    <row r="114" spans="1:6" x14ac:dyDescent="0.2">
      <c r="A114">
        <v>2.7</v>
      </c>
      <c r="B114" t="s">
        <v>1353</v>
      </c>
      <c r="C114" t="s">
        <v>1353</v>
      </c>
      <c r="D114" t="s">
        <v>1353</v>
      </c>
      <c r="E114" t="s">
        <v>1353</v>
      </c>
      <c r="F114" t="s">
        <v>1353</v>
      </c>
    </row>
    <row r="115" spans="1:6" x14ac:dyDescent="0.2">
      <c r="A115">
        <v>2.8</v>
      </c>
      <c r="B115" t="s">
        <v>1353</v>
      </c>
      <c r="C115" t="s">
        <v>1352</v>
      </c>
      <c r="D115" t="s">
        <v>1353</v>
      </c>
      <c r="E115" t="s">
        <v>1352</v>
      </c>
      <c r="F115" t="s">
        <v>1352</v>
      </c>
    </row>
    <row r="116" spans="1:6" x14ac:dyDescent="0.2">
      <c r="A116">
        <v>3</v>
      </c>
      <c r="B116" t="s">
        <v>1353</v>
      </c>
      <c r="C116" t="s">
        <v>1353</v>
      </c>
      <c r="D116" t="s">
        <v>1353</v>
      </c>
      <c r="E116" t="s">
        <v>1353</v>
      </c>
      <c r="F116" t="s">
        <v>1353</v>
      </c>
    </row>
    <row r="117" spans="1:6" x14ac:dyDescent="0.2">
      <c r="A117">
        <v>3</v>
      </c>
      <c r="B117" t="s">
        <v>1353</v>
      </c>
      <c r="C117" t="s">
        <v>1353</v>
      </c>
      <c r="D117" t="s">
        <v>1353</v>
      </c>
      <c r="E117" t="s">
        <v>1353</v>
      </c>
      <c r="F117" t="s">
        <v>1353</v>
      </c>
    </row>
    <row r="118" spans="1:6" x14ac:dyDescent="0.2">
      <c r="A118">
        <v>3</v>
      </c>
      <c r="B118" t="s">
        <v>1353</v>
      </c>
      <c r="C118" t="s">
        <v>1353</v>
      </c>
      <c r="D118" t="s">
        <v>1353</v>
      </c>
      <c r="E118" t="s">
        <v>1353</v>
      </c>
      <c r="F118" t="s">
        <v>1353</v>
      </c>
    </row>
    <row r="119" spans="1:6" x14ac:dyDescent="0.2">
      <c r="A119">
        <v>3</v>
      </c>
      <c r="B119" t="s">
        <v>1353</v>
      </c>
      <c r="C119" t="s">
        <v>202</v>
      </c>
      <c r="D119" t="s">
        <v>202</v>
      </c>
      <c r="E119" t="s">
        <v>202</v>
      </c>
      <c r="F119" t="s">
        <v>1353</v>
      </c>
    </row>
    <row r="120" spans="1:6" x14ac:dyDescent="0.2">
      <c r="A120">
        <v>3</v>
      </c>
      <c r="B120" t="s">
        <v>1371</v>
      </c>
      <c r="C120" t="s">
        <v>1371</v>
      </c>
      <c r="D120" t="s">
        <v>1371</v>
      </c>
      <c r="E120" t="s">
        <v>1371</v>
      </c>
      <c r="F120" t="s">
        <v>191</v>
      </c>
    </row>
    <row r="121" spans="1:6" x14ac:dyDescent="0.2">
      <c r="A121">
        <v>3</v>
      </c>
      <c r="B121" t="s">
        <v>1353</v>
      </c>
      <c r="C121" t="s">
        <v>1353</v>
      </c>
      <c r="D121" t="s">
        <v>1353</v>
      </c>
      <c r="E121" t="s">
        <v>1353</v>
      </c>
      <c r="F121" t="s">
        <v>1353</v>
      </c>
    </row>
    <row r="122" spans="1:6" x14ac:dyDescent="0.2">
      <c r="A122">
        <v>3</v>
      </c>
      <c r="B122" t="s">
        <v>195</v>
      </c>
      <c r="C122" t="s">
        <v>1353</v>
      </c>
      <c r="D122" t="s">
        <v>1353</v>
      </c>
      <c r="E122" t="s">
        <v>1353</v>
      </c>
      <c r="F122" t="s">
        <v>1353</v>
      </c>
    </row>
    <row r="123" spans="1:6" x14ac:dyDescent="0.2">
      <c r="A123">
        <v>3</v>
      </c>
      <c r="B123" t="s">
        <v>1352</v>
      </c>
      <c r="C123" t="s">
        <v>1353</v>
      </c>
      <c r="D123" t="s">
        <v>1352</v>
      </c>
      <c r="E123" t="s">
        <v>1353</v>
      </c>
      <c r="F123" t="s">
        <v>1352</v>
      </c>
    </row>
    <row r="124" spans="1:6" x14ac:dyDescent="0.2">
      <c r="A124">
        <v>3</v>
      </c>
      <c r="B124" t="s">
        <v>1371</v>
      </c>
      <c r="C124" t="s">
        <v>1371</v>
      </c>
      <c r="D124" t="s">
        <v>1371</v>
      </c>
      <c r="E124" t="s">
        <v>1371</v>
      </c>
      <c r="F124" t="s">
        <v>1371</v>
      </c>
    </row>
    <row r="125" spans="1:6" x14ac:dyDescent="0.2">
      <c r="A125">
        <v>3</v>
      </c>
      <c r="B125" t="s">
        <v>1353</v>
      </c>
      <c r="C125" t="s">
        <v>1353</v>
      </c>
      <c r="D125" t="s">
        <v>1353</v>
      </c>
      <c r="E125" t="s">
        <v>1353</v>
      </c>
      <c r="F125" t="s">
        <v>1353</v>
      </c>
    </row>
    <row r="126" spans="1:6" x14ac:dyDescent="0.2">
      <c r="A126">
        <v>3</v>
      </c>
      <c r="B126" t="s">
        <v>1353</v>
      </c>
      <c r="C126" t="s">
        <v>1353</v>
      </c>
      <c r="D126" t="s">
        <v>1353</v>
      </c>
      <c r="E126" t="s">
        <v>1353</v>
      </c>
      <c r="F126" t="s">
        <v>1353</v>
      </c>
    </row>
    <row r="127" spans="1:6" x14ac:dyDescent="0.2">
      <c r="A127">
        <v>3</v>
      </c>
      <c r="B127" t="s">
        <v>1353</v>
      </c>
      <c r="C127" t="s">
        <v>1353</v>
      </c>
      <c r="D127" t="s">
        <v>1353</v>
      </c>
      <c r="E127" t="s">
        <v>1353</v>
      </c>
      <c r="F127" t="s">
        <v>1353</v>
      </c>
    </row>
    <row r="128" spans="1:6" x14ac:dyDescent="0.2">
      <c r="A128">
        <v>3</v>
      </c>
      <c r="B128" t="s">
        <v>1353</v>
      </c>
      <c r="C128" t="s">
        <v>1353</v>
      </c>
      <c r="D128" t="s">
        <v>1353</v>
      </c>
      <c r="E128" t="s">
        <v>1353</v>
      </c>
      <c r="F128" t="s">
        <v>199</v>
      </c>
    </row>
    <row r="129" spans="1:6" x14ac:dyDescent="0.2">
      <c r="A129">
        <v>3</v>
      </c>
      <c r="B129" t="s">
        <v>1352</v>
      </c>
      <c r="C129" t="s">
        <v>1352</v>
      </c>
      <c r="D129" t="s">
        <v>1352</v>
      </c>
      <c r="E129" t="s">
        <v>1352</v>
      </c>
      <c r="F129" t="s">
        <v>1352</v>
      </c>
    </row>
    <row r="130" spans="1:6" x14ac:dyDescent="0.2">
      <c r="A130">
        <v>3</v>
      </c>
      <c r="B130" t="s">
        <v>1353</v>
      </c>
      <c r="C130" t="s">
        <v>1353</v>
      </c>
      <c r="D130" t="s">
        <v>1353</v>
      </c>
      <c r="E130" t="s">
        <v>1353</v>
      </c>
      <c r="F130" t="s">
        <v>1353</v>
      </c>
    </row>
    <row r="131" spans="1:6" x14ac:dyDescent="0.2">
      <c r="A131">
        <v>3</v>
      </c>
      <c r="B131" t="s">
        <v>1353</v>
      </c>
      <c r="C131" t="s">
        <v>1353</v>
      </c>
      <c r="D131" t="s">
        <v>1353</v>
      </c>
      <c r="E131" t="s">
        <v>1353</v>
      </c>
      <c r="F131" t="s">
        <v>1353</v>
      </c>
    </row>
    <row r="132" spans="1:6" x14ac:dyDescent="0.2">
      <c r="A132">
        <v>3.5</v>
      </c>
      <c r="B132" t="s">
        <v>1353</v>
      </c>
      <c r="C132" t="s">
        <v>1353</v>
      </c>
      <c r="D132" t="s">
        <v>1353</v>
      </c>
      <c r="E132" t="s">
        <v>1353</v>
      </c>
      <c r="F132" t="s">
        <v>1353</v>
      </c>
    </row>
    <row r="133" spans="1:6" x14ac:dyDescent="0.2">
      <c r="A133">
        <v>3.8</v>
      </c>
      <c r="B133" t="s">
        <v>1353</v>
      </c>
      <c r="C133" t="s">
        <v>1353</v>
      </c>
      <c r="D133" t="s">
        <v>1353</v>
      </c>
      <c r="E133" t="s">
        <v>1353</v>
      </c>
      <c r="F133" t="s">
        <v>1353</v>
      </c>
    </row>
    <row r="134" spans="1:6" x14ac:dyDescent="0.2">
      <c r="A134">
        <v>3.9</v>
      </c>
      <c r="B134" t="s">
        <v>1353</v>
      </c>
      <c r="C134" t="s">
        <v>1353</v>
      </c>
      <c r="D134" t="s">
        <v>1353</v>
      </c>
      <c r="E134" t="s">
        <v>195</v>
      </c>
      <c r="F134" t="s">
        <v>1353</v>
      </c>
    </row>
    <row r="135" spans="1:6" x14ac:dyDescent="0.2">
      <c r="A135">
        <v>4</v>
      </c>
      <c r="B135" t="s">
        <v>1353</v>
      </c>
      <c r="C135" t="s">
        <v>1353</v>
      </c>
      <c r="D135" t="s">
        <v>1353</v>
      </c>
      <c r="E135" t="s">
        <v>1353</v>
      </c>
      <c r="F135" t="s">
        <v>1353</v>
      </c>
    </row>
    <row r="136" spans="1:6" x14ac:dyDescent="0.2">
      <c r="A136">
        <v>4</v>
      </c>
      <c r="B136" t="s">
        <v>1353</v>
      </c>
      <c r="C136" t="s">
        <v>1353</v>
      </c>
      <c r="D136" t="s">
        <v>1353</v>
      </c>
      <c r="E136" t="s">
        <v>1353</v>
      </c>
      <c r="F136" t="s">
        <v>1353</v>
      </c>
    </row>
    <row r="137" spans="1:6" x14ac:dyDescent="0.2">
      <c r="A137">
        <v>4</v>
      </c>
      <c r="B137" t="s">
        <v>1353</v>
      </c>
      <c r="C137" t="s">
        <v>1353</v>
      </c>
      <c r="D137" t="s">
        <v>1353</v>
      </c>
      <c r="E137" t="s">
        <v>1353</v>
      </c>
      <c r="F137" t="s">
        <v>1353</v>
      </c>
    </row>
    <row r="138" spans="1:6" x14ac:dyDescent="0.2">
      <c r="A138">
        <v>4</v>
      </c>
      <c r="B138" t="s">
        <v>1352</v>
      </c>
      <c r="C138" t="s">
        <v>1352</v>
      </c>
      <c r="D138" t="s">
        <v>1352</v>
      </c>
      <c r="E138" t="s">
        <v>1352</v>
      </c>
      <c r="F138" t="s">
        <v>1352</v>
      </c>
    </row>
    <row r="139" spans="1:6" x14ac:dyDescent="0.2">
      <c r="A139">
        <v>4</v>
      </c>
      <c r="B139" t="s">
        <v>1373</v>
      </c>
      <c r="C139" t="s">
        <v>1373</v>
      </c>
      <c r="D139" t="s">
        <v>1373</v>
      </c>
      <c r="E139" t="s">
        <v>1373</v>
      </c>
      <c r="F139" t="s">
        <v>1373</v>
      </c>
    </row>
    <row r="140" spans="1:6" x14ac:dyDescent="0.2">
      <c r="A140">
        <v>4</v>
      </c>
      <c r="B140" t="s">
        <v>1353</v>
      </c>
      <c r="C140" t="s">
        <v>1353</v>
      </c>
      <c r="D140" t="s">
        <v>1353</v>
      </c>
      <c r="E140" t="s">
        <v>1353</v>
      </c>
      <c r="F140" t="s">
        <v>1353</v>
      </c>
    </row>
    <row r="141" spans="1:6" x14ac:dyDescent="0.2">
      <c r="A141">
        <v>4</v>
      </c>
      <c r="B141" t="s">
        <v>1352</v>
      </c>
      <c r="C141" t="s">
        <v>1353</v>
      </c>
      <c r="D141" t="s">
        <v>1353</v>
      </c>
      <c r="E141" t="s">
        <v>1353</v>
      </c>
      <c r="F141" t="s">
        <v>1353</v>
      </c>
    </row>
    <row r="142" spans="1:6" x14ac:dyDescent="0.2">
      <c r="A142">
        <v>4</v>
      </c>
      <c r="B142" t="s">
        <v>1353</v>
      </c>
      <c r="C142" t="s">
        <v>1353</v>
      </c>
      <c r="D142" t="s">
        <v>195</v>
      </c>
      <c r="E142" t="s">
        <v>195</v>
      </c>
      <c r="F142" t="s">
        <v>1353</v>
      </c>
    </row>
    <row r="143" spans="1:6" x14ac:dyDescent="0.2">
      <c r="A143">
        <v>4</v>
      </c>
      <c r="B143" t="s">
        <v>1353</v>
      </c>
      <c r="C143" t="s">
        <v>1353</v>
      </c>
      <c r="D143" t="s">
        <v>1353</v>
      </c>
      <c r="E143" t="s">
        <v>1353</v>
      </c>
      <c r="F143" t="s">
        <v>1353</v>
      </c>
    </row>
    <row r="144" spans="1:6" x14ac:dyDescent="0.2">
      <c r="A144">
        <v>4</v>
      </c>
      <c r="B144" t="s">
        <v>1353</v>
      </c>
      <c r="C144" t="s">
        <v>1353</v>
      </c>
      <c r="D144" t="s">
        <v>1353</v>
      </c>
      <c r="E144" t="s">
        <v>1353</v>
      </c>
      <c r="F144" t="s">
        <v>1353</v>
      </c>
    </row>
    <row r="145" spans="1:6" x14ac:dyDescent="0.2">
      <c r="A145">
        <v>4</v>
      </c>
      <c r="B145" t="s">
        <v>1353</v>
      </c>
      <c r="C145" t="s">
        <v>1353</v>
      </c>
      <c r="D145" t="s">
        <v>1353</v>
      </c>
      <c r="E145" t="s">
        <v>1353</v>
      </c>
      <c r="F145" t="s">
        <v>1353</v>
      </c>
    </row>
    <row r="146" spans="1:6" x14ac:dyDescent="0.2">
      <c r="A146">
        <v>4</v>
      </c>
      <c r="B146" t="s">
        <v>1353</v>
      </c>
      <c r="C146" t="s">
        <v>1352</v>
      </c>
      <c r="D146" t="s">
        <v>1353</v>
      </c>
      <c r="E146" t="s">
        <v>1352</v>
      </c>
      <c r="F146" t="s">
        <v>1353</v>
      </c>
    </row>
    <row r="147" spans="1:6" x14ac:dyDescent="0.2">
      <c r="A147">
        <v>4</v>
      </c>
      <c r="B147" t="s">
        <v>1353</v>
      </c>
      <c r="C147" t="s">
        <v>1353</v>
      </c>
      <c r="D147" t="s">
        <v>1353</v>
      </c>
      <c r="E147" t="s">
        <v>1353</v>
      </c>
      <c r="F147" t="s">
        <v>1353</v>
      </c>
    </row>
    <row r="148" spans="1:6" x14ac:dyDescent="0.2">
      <c r="A148">
        <v>4</v>
      </c>
      <c r="B148" t="s">
        <v>1353</v>
      </c>
      <c r="C148" t="s">
        <v>1353</v>
      </c>
      <c r="D148" t="s">
        <v>1353</v>
      </c>
      <c r="E148" t="s">
        <v>1353</v>
      </c>
      <c r="F148" t="s">
        <v>1353</v>
      </c>
    </row>
    <row r="149" spans="1:6" x14ac:dyDescent="0.2">
      <c r="A149">
        <v>4</v>
      </c>
      <c r="B149" t="s">
        <v>1353</v>
      </c>
      <c r="C149" t="s">
        <v>1353</v>
      </c>
      <c r="D149" t="s">
        <v>1353</v>
      </c>
      <c r="E149" t="s">
        <v>1353</v>
      </c>
      <c r="F149" t="s">
        <v>202</v>
      </c>
    </row>
    <row r="150" spans="1:6" x14ac:dyDescent="0.2">
      <c r="A150">
        <v>4.8</v>
      </c>
      <c r="B150" t="s">
        <v>1358</v>
      </c>
      <c r="C150" t="s">
        <v>1358</v>
      </c>
      <c r="D150" t="s">
        <v>1358</v>
      </c>
      <c r="E150" t="s">
        <v>1358</v>
      </c>
      <c r="F150" t="s">
        <v>195</v>
      </c>
    </row>
    <row r="151" spans="1:6" x14ac:dyDescent="0.2">
      <c r="A151">
        <v>5</v>
      </c>
      <c r="B151" t="s">
        <v>1352</v>
      </c>
      <c r="C151" t="s">
        <v>1352</v>
      </c>
      <c r="D151" t="s">
        <v>1352</v>
      </c>
      <c r="E151" t="s">
        <v>1352</v>
      </c>
      <c r="F151" t="s">
        <v>1352</v>
      </c>
    </row>
    <row r="152" spans="1:6" x14ac:dyDescent="0.2">
      <c r="A152">
        <v>5</v>
      </c>
      <c r="B152" t="s">
        <v>1353</v>
      </c>
      <c r="C152" t="s">
        <v>1353</v>
      </c>
      <c r="D152" t="s">
        <v>1353</v>
      </c>
      <c r="E152" t="s">
        <v>1353</v>
      </c>
      <c r="F152" t="s">
        <v>1353</v>
      </c>
    </row>
    <row r="153" spans="1:6" x14ac:dyDescent="0.2">
      <c r="A153">
        <v>5</v>
      </c>
      <c r="B153" t="s">
        <v>1355</v>
      </c>
      <c r="C153" t="s">
        <v>1355</v>
      </c>
      <c r="D153" t="s">
        <v>1355</v>
      </c>
      <c r="E153" t="s">
        <v>1355</v>
      </c>
      <c r="F153" t="s">
        <v>1355</v>
      </c>
    </row>
    <row r="154" spans="1:6" x14ac:dyDescent="0.2">
      <c r="A154">
        <v>5</v>
      </c>
      <c r="B154" t="s">
        <v>1352</v>
      </c>
      <c r="C154" t="s">
        <v>1352</v>
      </c>
      <c r="D154" t="s">
        <v>1352</v>
      </c>
      <c r="E154" t="s">
        <v>1352</v>
      </c>
      <c r="F154" t="s">
        <v>1352</v>
      </c>
    </row>
    <row r="155" spans="1:6" x14ac:dyDescent="0.2">
      <c r="A155">
        <v>5</v>
      </c>
      <c r="B155" t="s">
        <v>1353</v>
      </c>
      <c r="C155" t="s">
        <v>1353</v>
      </c>
      <c r="D155" t="s">
        <v>1353</v>
      </c>
      <c r="E155" t="s">
        <v>1353</v>
      </c>
      <c r="F155" t="s">
        <v>1353</v>
      </c>
    </row>
    <row r="156" spans="1:6" x14ac:dyDescent="0.2">
      <c r="A156">
        <v>5</v>
      </c>
      <c r="B156" t="s">
        <v>1353</v>
      </c>
      <c r="C156" t="s">
        <v>1353</v>
      </c>
      <c r="D156" t="s">
        <v>1353</v>
      </c>
      <c r="E156" t="s">
        <v>1353</v>
      </c>
      <c r="F156" t="s">
        <v>1353</v>
      </c>
    </row>
    <row r="157" spans="1:6" x14ac:dyDescent="0.2">
      <c r="A157">
        <v>5</v>
      </c>
      <c r="B157" t="s">
        <v>1353</v>
      </c>
      <c r="C157" t="s">
        <v>1353</v>
      </c>
      <c r="D157" t="s">
        <v>1353</v>
      </c>
      <c r="E157" t="s">
        <v>1353</v>
      </c>
      <c r="F157" t="s">
        <v>1353</v>
      </c>
    </row>
    <row r="158" spans="1:6" x14ac:dyDescent="0.2">
      <c r="A158">
        <v>5</v>
      </c>
      <c r="B158" t="s">
        <v>1353</v>
      </c>
      <c r="C158" t="s">
        <v>1353</v>
      </c>
      <c r="D158" t="s">
        <v>1353</v>
      </c>
      <c r="E158" t="s">
        <v>1353</v>
      </c>
      <c r="F158" t="s">
        <v>1353</v>
      </c>
    </row>
    <row r="159" spans="1:6" x14ac:dyDescent="0.2">
      <c r="A159">
        <v>5</v>
      </c>
      <c r="B159" t="s">
        <v>1352</v>
      </c>
      <c r="C159" t="s">
        <v>1352</v>
      </c>
      <c r="D159" t="s">
        <v>1352</v>
      </c>
      <c r="E159" t="s">
        <v>1352</v>
      </c>
      <c r="F159" t="s">
        <v>1352</v>
      </c>
    </row>
    <row r="160" spans="1:6" x14ac:dyDescent="0.2">
      <c r="A160">
        <v>5</v>
      </c>
      <c r="B160" t="s">
        <v>1353</v>
      </c>
      <c r="C160" t="s">
        <v>1353</v>
      </c>
      <c r="D160" t="s">
        <v>1353</v>
      </c>
      <c r="E160" t="s">
        <v>1353</v>
      </c>
      <c r="F160" t="s">
        <v>1353</v>
      </c>
    </row>
    <row r="161" spans="1:6" x14ac:dyDescent="0.2">
      <c r="A161">
        <v>5</v>
      </c>
      <c r="B161" t="s">
        <v>1353</v>
      </c>
      <c r="C161" t="s">
        <v>1353</v>
      </c>
      <c r="D161" t="s">
        <v>1353</v>
      </c>
      <c r="E161" t="s">
        <v>1353</v>
      </c>
      <c r="F161" t="s">
        <v>1353</v>
      </c>
    </row>
    <row r="162" spans="1:6" x14ac:dyDescent="0.2">
      <c r="A162">
        <v>5</v>
      </c>
      <c r="B162" t="s">
        <v>1353</v>
      </c>
      <c r="C162" t="s">
        <v>1353</v>
      </c>
      <c r="D162" t="s">
        <v>1353</v>
      </c>
      <c r="E162" t="s">
        <v>1353</v>
      </c>
      <c r="F162" t="s">
        <v>1353</v>
      </c>
    </row>
    <row r="163" spans="1:6" x14ac:dyDescent="0.2">
      <c r="A163">
        <v>5</v>
      </c>
      <c r="B163" t="s">
        <v>1353</v>
      </c>
      <c r="C163" t="s">
        <v>1353</v>
      </c>
      <c r="D163" t="s">
        <v>1353</v>
      </c>
      <c r="E163" t="s">
        <v>1353</v>
      </c>
      <c r="F163" t="s">
        <v>1353</v>
      </c>
    </row>
    <row r="164" spans="1:6" x14ac:dyDescent="0.2">
      <c r="A164">
        <v>5</v>
      </c>
      <c r="B164" t="s">
        <v>1353</v>
      </c>
      <c r="C164" t="s">
        <v>1353</v>
      </c>
      <c r="D164" t="s">
        <v>1353</v>
      </c>
      <c r="E164" t="s">
        <v>1353</v>
      </c>
      <c r="F164" t="s">
        <v>199</v>
      </c>
    </row>
    <row r="165" spans="1:6" x14ac:dyDescent="0.2">
      <c r="A165">
        <v>5</v>
      </c>
      <c r="B165" t="s">
        <v>1353</v>
      </c>
      <c r="C165" t="s">
        <v>1353</v>
      </c>
      <c r="D165" t="s">
        <v>1353</v>
      </c>
      <c r="E165" t="s">
        <v>1353</v>
      </c>
      <c r="F165" t="s">
        <v>1353</v>
      </c>
    </row>
    <row r="166" spans="1:6" x14ac:dyDescent="0.2">
      <c r="A166">
        <v>5</v>
      </c>
      <c r="B166" t="s">
        <v>1353</v>
      </c>
      <c r="C166" t="s">
        <v>1353</v>
      </c>
      <c r="D166" t="s">
        <v>1353</v>
      </c>
      <c r="E166" t="s">
        <v>1353</v>
      </c>
      <c r="F166" t="s">
        <v>1353</v>
      </c>
    </row>
    <row r="167" spans="1:6" x14ac:dyDescent="0.2">
      <c r="A167">
        <v>5</v>
      </c>
      <c r="B167" t="s">
        <v>1353</v>
      </c>
      <c r="C167" t="s">
        <v>1353</v>
      </c>
      <c r="D167" t="s">
        <v>1353</v>
      </c>
      <c r="E167" t="s">
        <v>1353</v>
      </c>
      <c r="F167" t="s">
        <v>202</v>
      </c>
    </row>
    <row r="168" spans="1:6" x14ac:dyDescent="0.2">
      <c r="A168">
        <v>5</v>
      </c>
      <c r="B168" t="s">
        <v>1353</v>
      </c>
      <c r="C168" t="s">
        <v>1353</v>
      </c>
      <c r="D168" t="s">
        <v>1353</v>
      </c>
      <c r="E168" t="s">
        <v>191</v>
      </c>
      <c r="F168" t="s">
        <v>202</v>
      </c>
    </row>
    <row r="169" spans="1:6" x14ac:dyDescent="0.2">
      <c r="A169">
        <v>5</v>
      </c>
      <c r="B169" t="s">
        <v>1353</v>
      </c>
      <c r="C169" t="s">
        <v>1353</v>
      </c>
      <c r="D169" t="s">
        <v>1353</v>
      </c>
      <c r="E169" t="s">
        <v>1353</v>
      </c>
      <c r="F169" t="s">
        <v>199</v>
      </c>
    </row>
    <row r="170" spans="1:6" x14ac:dyDescent="0.2">
      <c r="A170">
        <v>5</v>
      </c>
      <c r="B170" t="s">
        <v>1353</v>
      </c>
      <c r="C170" t="s">
        <v>1353</v>
      </c>
      <c r="D170" t="s">
        <v>1353</v>
      </c>
      <c r="E170" t="s">
        <v>1353</v>
      </c>
      <c r="F170" t="s">
        <v>1353</v>
      </c>
    </row>
    <row r="171" spans="1:6" x14ac:dyDescent="0.2">
      <c r="A171">
        <v>5</v>
      </c>
      <c r="B171" t="s">
        <v>1353</v>
      </c>
      <c r="C171" t="s">
        <v>1353</v>
      </c>
      <c r="D171" t="s">
        <v>1353</v>
      </c>
      <c r="E171" t="s">
        <v>1353</v>
      </c>
      <c r="F171" t="s">
        <v>1353</v>
      </c>
    </row>
    <row r="172" spans="1:6" x14ac:dyDescent="0.2">
      <c r="A172">
        <v>5</v>
      </c>
      <c r="B172" t="s">
        <v>1353</v>
      </c>
      <c r="C172" t="s">
        <v>1353</v>
      </c>
      <c r="D172" t="s">
        <v>1353</v>
      </c>
      <c r="E172" t="s">
        <v>1353</v>
      </c>
      <c r="F172" t="s">
        <v>199</v>
      </c>
    </row>
    <row r="173" spans="1:6" x14ac:dyDescent="0.2">
      <c r="A173">
        <v>5</v>
      </c>
      <c r="B173" t="s">
        <v>1353</v>
      </c>
      <c r="C173" t="s">
        <v>202</v>
      </c>
      <c r="D173" t="s">
        <v>1355</v>
      </c>
      <c r="E173" t="s">
        <v>202</v>
      </c>
      <c r="F173" t="s">
        <v>1353</v>
      </c>
    </row>
    <row r="174" spans="1:6" x14ac:dyDescent="0.2">
      <c r="A174">
        <v>5</v>
      </c>
      <c r="B174" t="s">
        <v>1353</v>
      </c>
      <c r="C174" t="s">
        <v>1353</v>
      </c>
      <c r="D174" t="s">
        <v>1353</v>
      </c>
      <c r="E174" t="s">
        <v>1353</v>
      </c>
      <c r="F174" t="s">
        <v>1353</v>
      </c>
    </row>
    <row r="175" spans="1:6" x14ac:dyDescent="0.2">
      <c r="A175">
        <v>5</v>
      </c>
      <c r="B175" t="s">
        <v>1353</v>
      </c>
      <c r="C175" t="s">
        <v>1353</v>
      </c>
      <c r="D175" t="s">
        <v>1353</v>
      </c>
      <c r="E175" t="s">
        <v>1353</v>
      </c>
      <c r="F175" t="s">
        <v>1353</v>
      </c>
    </row>
    <row r="176" spans="1:6" x14ac:dyDescent="0.2">
      <c r="A176">
        <v>5</v>
      </c>
      <c r="B176" t="s">
        <v>1353</v>
      </c>
      <c r="C176" t="s">
        <v>1352</v>
      </c>
      <c r="D176" t="s">
        <v>1352</v>
      </c>
      <c r="E176" t="s">
        <v>1352</v>
      </c>
      <c r="F176" t="s">
        <v>1353</v>
      </c>
    </row>
    <row r="177" spans="1:6" x14ac:dyDescent="0.2">
      <c r="A177">
        <v>5</v>
      </c>
      <c r="B177" t="s">
        <v>1353</v>
      </c>
      <c r="C177" t="s">
        <v>1353</v>
      </c>
      <c r="D177" t="s">
        <v>1353</v>
      </c>
      <c r="E177" t="s">
        <v>1353</v>
      </c>
      <c r="F177" t="s">
        <v>1353</v>
      </c>
    </row>
    <row r="178" spans="1:6" x14ac:dyDescent="0.2">
      <c r="A178">
        <v>5.5</v>
      </c>
      <c r="B178" t="s">
        <v>1353</v>
      </c>
      <c r="C178" t="s">
        <v>1353</v>
      </c>
      <c r="D178" t="s">
        <v>1353</v>
      </c>
      <c r="E178" t="s">
        <v>1353</v>
      </c>
      <c r="F178" t="s">
        <v>1353</v>
      </c>
    </row>
    <row r="179" spans="1:6" x14ac:dyDescent="0.2">
      <c r="A179">
        <v>5.7</v>
      </c>
      <c r="B179" t="s">
        <v>1353</v>
      </c>
      <c r="C179" t="s">
        <v>1353</v>
      </c>
      <c r="D179" t="s">
        <v>1353</v>
      </c>
      <c r="E179" t="s">
        <v>1353</v>
      </c>
      <c r="F179" t="s">
        <v>1353</v>
      </c>
    </row>
    <row r="180" spans="1:6" x14ac:dyDescent="0.2">
      <c r="A180">
        <v>5.8</v>
      </c>
      <c r="B180" t="s">
        <v>1353</v>
      </c>
      <c r="C180" t="s">
        <v>1353</v>
      </c>
      <c r="D180" t="s">
        <v>1353</v>
      </c>
      <c r="E180" t="s">
        <v>1353</v>
      </c>
      <c r="F180" t="s">
        <v>1353</v>
      </c>
    </row>
    <row r="181" spans="1:6" x14ac:dyDescent="0.2">
      <c r="A181">
        <v>6</v>
      </c>
      <c r="B181" t="s">
        <v>1353</v>
      </c>
      <c r="C181" t="s">
        <v>1353</v>
      </c>
      <c r="D181" t="s">
        <v>1353</v>
      </c>
      <c r="E181" t="s">
        <v>1373</v>
      </c>
      <c r="F181" t="s">
        <v>1373</v>
      </c>
    </row>
    <row r="182" spans="1:6" x14ac:dyDescent="0.2">
      <c r="A182">
        <v>6</v>
      </c>
      <c r="B182" t="s">
        <v>1374</v>
      </c>
      <c r="C182" t="s">
        <v>1374</v>
      </c>
      <c r="D182" t="s">
        <v>1353</v>
      </c>
      <c r="E182" t="s">
        <v>1374</v>
      </c>
      <c r="F182" t="s">
        <v>1374</v>
      </c>
    </row>
    <row r="183" spans="1:6" x14ac:dyDescent="0.2">
      <c r="A183">
        <v>6</v>
      </c>
      <c r="B183" t="s">
        <v>1353</v>
      </c>
      <c r="C183" t="s">
        <v>1353</v>
      </c>
      <c r="D183" t="s">
        <v>1353</v>
      </c>
      <c r="E183" t="s">
        <v>1353</v>
      </c>
      <c r="F183" t="s">
        <v>1353</v>
      </c>
    </row>
    <row r="184" spans="1:6" x14ac:dyDescent="0.2">
      <c r="A184">
        <v>6</v>
      </c>
      <c r="B184" t="s">
        <v>1353</v>
      </c>
      <c r="C184" t="s">
        <v>1353</v>
      </c>
      <c r="D184" t="s">
        <v>1353</v>
      </c>
      <c r="E184" t="s">
        <v>1353</v>
      </c>
      <c r="F184" t="s">
        <v>1353</v>
      </c>
    </row>
    <row r="185" spans="1:6" x14ac:dyDescent="0.2">
      <c r="A185">
        <v>6</v>
      </c>
      <c r="B185" t="s">
        <v>1353</v>
      </c>
      <c r="C185" t="s">
        <v>1353</v>
      </c>
      <c r="D185" t="s">
        <v>1353</v>
      </c>
      <c r="E185" t="s">
        <v>1353</v>
      </c>
      <c r="F185" t="s">
        <v>1353</v>
      </c>
    </row>
    <row r="186" spans="1:6" x14ac:dyDescent="0.2">
      <c r="A186">
        <v>6</v>
      </c>
      <c r="B186" t="s">
        <v>1353</v>
      </c>
      <c r="C186" t="s">
        <v>1353</v>
      </c>
      <c r="D186" t="s">
        <v>1353</v>
      </c>
      <c r="E186" t="s">
        <v>1353</v>
      </c>
      <c r="F186" t="s">
        <v>1353</v>
      </c>
    </row>
    <row r="187" spans="1:6" x14ac:dyDescent="0.2">
      <c r="A187">
        <v>6</v>
      </c>
      <c r="B187" t="s">
        <v>1353</v>
      </c>
      <c r="C187" t="s">
        <v>1353</v>
      </c>
      <c r="D187" t="s">
        <v>1353</v>
      </c>
      <c r="E187" t="s">
        <v>1353</v>
      </c>
      <c r="F187" t="s">
        <v>1353</v>
      </c>
    </row>
    <row r="188" spans="1:6" x14ac:dyDescent="0.2">
      <c r="A188">
        <v>6</v>
      </c>
      <c r="B188" t="s">
        <v>195</v>
      </c>
      <c r="C188" t="s">
        <v>1356</v>
      </c>
      <c r="D188" t="s">
        <v>1356</v>
      </c>
      <c r="E188" t="s">
        <v>1356</v>
      </c>
      <c r="F188" t="s">
        <v>1356</v>
      </c>
    </row>
    <row r="189" spans="1:6" x14ac:dyDescent="0.2">
      <c r="A189">
        <v>6</v>
      </c>
      <c r="B189" t="s">
        <v>1353</v>
      </c>
      <c r="C189" t="s">
        <v>1353</v>
      </c>
      <c r="D189" t="s">
        <v>1353</v>
      </c>
      <c r="E189" t="s">
        <v>1353</v>
      </c>
      <c r="F189" t="s">
        <v>1353</v>
      </c>
    </row>
    <row r="190" spans="1:6" x14ac:dyDescent="0.2">
      <c r="A190">
        <v>6</v>
      </c>
      <c r="B190" t="s">
        <v>1353</v>
      </c>
      <c r="C190" t="s">
        <v>1353</v>
      </c>
      <c r="D190" t="s">
        <v>1353</v>
      </c>
      <c r="E190" t="s">
        <v>1353</v>
      </c>
      <c r="F190" t="s">
        <v>1353</v>
      </c>
    </row>
    <row r="191" spans="1:6" x14ac:dyDescent="0.2">
      <c r="A191">
        <v>6</v>
      </c>
      <c r="B191" t="s">
        <v>1352</v>
      </c>
      <c r="C191" t="s">
        <v>1352</v>
      </c>
      <c r="D191" t="s">
        <v>1352</v>
      </c>
      <c r="E191" t="s">
        <v>1352</v>
      </c>
      <c r="F191" t="s">
        <v>1353</v>
      </c>
    </row>
    <row r="192" spans="1:6" x14ac:dyDescent="0.2">
      <c r="A192">
        <v>6</v>
      </c>
      <c r="B192" t="s">
        <v>1352</v>
      </c>
      <c r="C192" t="s">
        <v>1352</v>
      </c>
      <c r="D192" t="s">
        <v>1352</v>
      </c>
      <c r="E192" t="s">
        <v>1352</v>
      </c>
      <c r="F192" t="s">
        <v>1352</v>
      </c>
    </row>
    <row r="193" spans="1:6" x14ac:dyDescent="0.2">
      <c r="A193">
        <v>6</v>
      </c>
      <c r="B193" t="s">
        <v>1353</v>
      </c>
      <c r="C193" t="s">
        <v>1353</v>
      </c>
      <c r="D193" t="s">
        <v>1353</v>
      </c>
      <c r="E193" t="s">
        <v>1353</v>
      </c>
      <c r="F193" t="s">
        <v>1353</v>
      </c>
    </row>
    <row r="194" spans="1:6" x14ac:dyDescent="0.2">
      <c r="A194">
        <v>6</v>
      </c>
      <c r="B194" t="s">
        <v>1353</v>
      </c>
      <c r="C194" t="s">
        <v>1353</v>
      </c>
      <c r="D194" t="s">
        <v>1353</v>
      </c>
      <c r="E194" t="s">
        <v>1353</v>
      </c>
      <c r="F194" t="s">
        <v>191</v>
      </c>
    </row>
    <row r="195" spans="1:6" x14ac:dyDescent="0.2">
      <c r="A195">
        <v>6</v>
      </c>
      <c r="B195" t="s">
        <v>1353</v>
      </c>
      <c r="C195" t="s">
        <v>1353</v>
      </c>
      <c r="D195" t="s">
        <v>1353</v>
      </c>
      <c r="E195" t="s">
        <v>1353</v>
      </c>
      <c r="F195" t="s">
        <v>202</v>
      </c>
    </row>
    <row r="196" spans="1:6" x14ac:dyDescent="0.2">
      <c r="A196">
        <v>6</v>
      </c>
      <c r="B196" t="s">
        <v>1353</v>
      </c>
      <c r="C196" t="s">
        <v>1353</v>
      </c>
      <c r="D196" t="s">
        <v>1353</v>
      </c>
      <c r="E196" t="s">
        <v>1353</v>
      </c>
      <c r="F196" t="s">
        <v>1353</v>
      </c>
    </row>
    <row r="197" spans="1:6" x14ac:dyDescent="0.2">
      <c r="A197">
        <v>7</v>
      </c>
      <c r="B197" t="s">
        <v>1371</v>
      </c>
      <c r="C197" t="s">
        <v>1371</v>
      </c>
      <c r="D197" t="s">
        <v>1371</v>
      </c>
      <c r="E197" t="s">
        <v>1371</v>
      </c>
      <c r="F197" t="s">
        <v>1371</v>
      </c>
    </row>
    <row r="198" spans="1:6" x14ac:dyDescent="0.2">
      <c r="A198">
        <v>7</v>
      </c>
      <c r="B198" t="s">
        <v>1353</v>
      </c>
      <c r="C198" t="s">
        <v>1353</v>
      </c>
      <c r="D198" t="s">
        <v>1353</v>
      </c>
      <c r="E198" t="s">
        <v>1353</v>
      </c>
      <c r="F198" t="s">
        <v>1353</v>
      </c>
    </row>
    <row r="199" spans="1:6" x14ac:dyDescent="0.2">
      <c r="A199">
        <v>7</v>
      </c>
      <c r="B199" t="s">
        <v>1353</v>
      </c>
      <c r="C199" t="s">
        <v>1353</v>
      </c>
      <c r="D199" t="s">
        <v>1353</v>
      </c>
      <c r="E199" t="s">
        <v>1353</v>
      </c>
      <c r="F199" t="s">
        <v>1353</v>
      </c>
    </row>
    <row r="200" spans="1:6" x14ac:dyDescent="0.2">
      <c r="A200">
        <v>7</v>
      </c>
      <c r="B200" t="s">
        <v>1353</v>
      </c>
      <c r="C200" t="s">
        <v>1353</v>
      </c>
      <c r="D200" t="s">
        <v>1353</v>
      </c>
      <c r="E200" t="s">
        <v>1353</v>
      </c>
      <c r="F200" t="s">
        <v>1353</v>
      </c>
    </row>
    <row r="201" spans="1:6" x14ac:dyDescent="0.2">
      <c r="A201">
        <v>7</v>
      </c>
      <c r="B201" t="s">
        <v>1353</v>
      </c>
      <c r="C201" t="s">
        <v>1353</v>
      </c>
      <c r="D201" t="s">
        <v>1353</v>
      </c>
      <c r="E201" t="s">
        <v>1353</v>
      </c>
      <c r="F201" t="s">
        <v>1353</v>
      </c>
    </row>
    <row r="202" spans="1:6" x14ac:dyDescent="0.2">
      <c r="A202">
        <v>7</v>
      </c>
      <c r="B202" t="s">
        <v>1353</v>
      </c>
      <c r="C202" t="s">
        <v>1353</v>
      </c>
      <c r="D202" t="s">
        <v>1353</v>
      </c>
      <c r="E202" t="s">
        <v>1353</v>
      </c>
      <c r="F202" t="s">
        <v>1353</v>
      </c>
    </row>
    <row r="203" spans="1:6" x14ac:dyDescent="0.2">
      <c r="A203">
        <v>7</v>
      </c>
      <c r="B203" t="s">
        <v>1353</v>
      </c>
      <c r="C203" t="s">
        <v>1353</v>
      </c>
      <c r="D203" t="s">
        <v>1353</v>
      </c>
      <c r="E203" t="s">
        <v>1353</v>
      </c>
      <c r="F203" t="s">
        <v>1353</v>
      </c>
    </row>
    <row r="204" spans="1:6" x14ac:dyDescent="0.2">
      <c r="A204">
        <v>7</v>
      </c>
      <c r="B204" t="s">
        <v>1373</v>
      </c>
      <c r="C204" t="s">
        <v>1353</v>
      </c>
      <c r="D204" t="s">
        <v>1373</v>
      </c>
      <c r="E204" t="s">
        <v>1353</v>
      </c>
      <c r="F204" t="s">
        <v>1373</v>
      </c>
    </row>
    <row r="205" spans="1:6" x14ac:dyDescent="0.2">
      <c r="A205">
        <v>7</v>
      </c>
      <c r="B205" t="s">
        <v>1353</v>
      </c>
      <c r="C205" t="s">
        <v>1353</v>
      </c>
      <c r="D205" t="s">
        <v>1353</v>
      </c>
      <c r="E205" t="s">
        <v>1353</v>
      </c>
      <c r="F205" t="s">
        <v>1353</v>
      </c>
    </row>
    <row r="206" spans="1:6" x14ac:dyDescent="0.2">
      <c r="A206">
        <v>7</v>
      </c>
      <c r="B206" t="s">
        <v>1353</v>
      </c>
      <c r="C206" t="s">
        <v>1353</v>
      </c>
      <c r="D206" t="s">
        <v>1353</v>
      </c>
      <c r="E206" t="s">
        <v>1353</v>
      </c>
      <c r="F206" t="s">
        <v>1353</v>
      </c>
    </row>
    <row r="207" spans="1:6" x14ac:dyDescent="0.2">
      <c r="A207">
        <v>7</v>
      </c>
      <c r="B207" t="s">
        <v>1353</v>
      </c>
      <c r="C207" t="s">
        <v>1353</v>
      </c>
      <c r="D207" t="s">
        <v>1353</v>
      </c>
      <c r="E207" t="s">
        <v>1353</v>
      </c>
      <c r="F207" t="s">
        <v>1353</v>
      </c>
    </row>
    <row r="208" spans="1:6" x14ac:dyDescent="0.2">
      <c r="A208">
        <v>7</v>
      </c>
      <c r="B208" t="s">
        <v>1352</v>
      </c>
      <c r="C208" t="s">
        <v>1352</v>
      </c>
      <c r="D208" t="s">
        <v>1352</v>
      </c>
      <c r="E208" t="s">
        <v>1352</v>
      </c>
      <c r="F208" t="s">
        <v>1352</v>
      </c>
    </row>
    <row r="209" spans="1:6" x14ac:dyDescent="0.2">
      <c r="A209">
        <v>7</v>
      </c>
      <c r="B209" t="s">
        <v>1353</v>
      </c>
      <c r="C209" t="s">
        <v>202</v>
      </c>
      <c r="D209" t="s">
        <v>202</v>
      </c>
      <c r="E209" t="s">
        <v>1353</v>
      </c>
      <c r="F209" t="s">
        <v>1353</v>
      </c>
    </row>
    <row r="210" spans="1:6" x14ac:dyDescent="0.2">
      <c r="A210">
        <v>7</v>
      </c>
      <c r="B210" t="s">
        <v>1353</v>
      </c>
      <c r="C210" t="s">
        <v>1353</v>
      </c>
      <c r="D210" t="s">
        <v>1353</v>
      </c>
      <c r="E210" t="s">
        <v>1353</v>
      </c>
      <c r="F210" t="s">
        <v>1353</v>
      </c>
    </row>
    <row r="211" spans="1:6" x14ac:dyDescent="0.2">
      <c r="A211">
        <v>7</v>
      </c>
      <c r="B211" t="s">
        <v>1356</v>
      </c>
      <c r="C211" t="s">
        <v>1356</v>
      </c>
      <c r="D211" t="s">
        <v>1356</v>
      </c>
      <c r="E211" t="s">
        <v>1356</v>
      </c>
      <c r="F211" t="s">
        <v>1356</v>
      </c>
    </row>
    <row r="212" spans="1:6" x14ac:dyDescent="0.2">
      <c r="A212">
        <v>7</v>
      </c>
      <c r="B212" t="s">
        <v>1353</v>
      </c>
      <c r="C212" t="s">
        <v>1353</v>
      </c>
      <c r="D212" t="s">
        <v>1353</v>
      </c>
      <c r="E212" t="s">
        <v>1353</v>
      </c>
      <c r="F212" t="s">
        <v>1353</v>
      </c>
    </row>
    <row r="213" spans="1:6" x14ac:dyDescent="0.2">
      <c r="A213">
        <v>7.5</v>
      </c>
      <c r="B213" t="s">
        <v>1353</v>
      </c>
      <c r="C213" t="s">
        <v>1353</v>
      </c>
      <c r="D213" t="s">
        <v>1353</v>
      </c>
      <c r="E213" t="s">
        <v>1353</v>
      </c>
      <c r="F213" t="s">
        <v>1353</v>
      </c>
    </row>
    <row r="214" spans="1:6" x14ac:dyDescent="0.2">
      <c r="A214">
        <v>7.5</v>
      </c>
      <c r="B214" t="s">
        <v>1353</v>
      </c>
      <c r="C214" t="s">
        <v>1353</v>
      </c>
      <c r="D214" t="s">
        <v>1353</v>
      </c>
      <c r="E214" t="s">
        <v>1353</v>
      </c>
      <c r="F214" t="s">
        <v>1353</v>
      </c>
    </row>
    <row r="215" spans="1:6" x14ac:dyDescent="0.2">
      <c r="A215">
        <v>7.7</v>
      </c>
      <c r="B215" t="s">
        <v>199</v>
      </c>
      <c r="C215" t="s">
        <v>1353</v>
      </c>
      <c r="D215" t="s">
        <v>1353</v>
      </c>
      <c r="E215" t="s">
        <v>1353</v>
      </c>
      <c r="F215" t="s">
        <v>1353</v>
      </c>
    </row>
    <row r="216" spans="1:6" x14ac:dyDescent="0.2">
      <c r="A216">
        <v>8</v>
      </c>
      <c r="B216" t="s">
        <v>1353</v>
      </c>
      <c r="C216" t="s">
        <v>1353</v>
      </c>
      <c r="D216" t="s">
        <v>1353</v>
      </c>
      <c r="E216" t="s">
        <v>1353</v>
      </c>
      <c r="F216" t="s">
        <v>1353</v>
      </c>
    </row>
    <row r="217" spans="1:6" x14ac:dyDescent="0.2">
      <c r="A217">
        <v>8</v>
      </c>
      <c r="B217" t="s">
        <v>1353</v>
      </c>
      <c r="C217" t="s">
        <v>1353</v>
      </c>
      <c r="D217" t="s">
        <v>1372</v>
      </c>
      <c r="E217" t="s">
        <v>1353</v>
      </c>
      <c r="F217" t="s">
        <v>1353</v>
      </c>
    </row>
    <row r="218" spans="1:6" x14ac:dyDescent="0.2">
      <c r="A218">
        <v>8</v>
      </c>
      <c r="B218" t="s">
        <v>1353</v>
      </c>
      <c r="C218" t="s">
        <v>1353</v>
      </c>
      <c r="D218" t="s">
        <v>1353</v>
      </c>
      <c r="E218" t="s">
        <v>1353</v>
      </c>
      <c r="F218" t="s">
        <v>1353</v>
      </c>
    </row>
    <row r="219" spans="1:6" x14ac:dyDescent="0.2">
      <c r="A219">
        <v>8</v>
      </c>
      <c r="B219" t="s">
        <v>1359</v>
      </c>
      <c r="C219" t="s">
        <v>1359</v>
      </c>
      <c r="D219" t="s">
        <v>1359</v>
      </c>
      <c r="E219" t="s">
        <v>1359</v>
      </c>
      <c r="F219" t="s">
        <v>1359</v>
      </c>
    </row>
    <row r="220" spans="1:6" x14ac:dyDescent="0.2">
      <c r="A220">
        <v>8</v>
      </c>
      <c r="B220" t="s">
        <v>1353</v>
      </c>
      <c r="C220" t="s">
        <v>1353</v>
      </c>
      <c r="D220" t="s">
        <v>1353</v>
      </c>
      <c r="E220" t="s">
        <v>1353</v>
      </c>
      <c r="F220" t="s">
        <v>1353</v>
      </c>
    </row>
    <row r="221" spans="1:6" x14ac:dyDescent="0.2">
      <c r="A221">
        <v>8</v>
      </c>
      <c r="B221" t="s">
        <v>1353</v>
      </c>
      <c r="C221" t="s">
        <v>1353</v>
      </c>
      <c r="D221" t="s">
        <v>1353</v>
      </c>
      <c r="E221" t="s">
        <v>1353</v>
      </c>
      <c r="F221" t="s">
        <v>1353</v>
      </c>
    </row>
    <row r="222" spans="1:6" x14ac:dyDescent="0.2">
      <c r="A222">
        <v>8</v>
      </c>
      <c r="B222" t="s">
        <v>191</v>
      </c>
      <c r="C222" t="s">
        <v>191</v>
      </c>
      <c r="D222" t="s">
        <v>191</v>
      </c>
      <c r="E222" t="s">
        <v>191</v>
      </c>
      <c r="F222" t="s">
        <v>191</v>
      </c>
    </row>
    <row r="223" spans="1:6" x14ac:dyDescent="0.2">
      <c r="A223">
        <v>8</v>
      </c>
      <c r="B223" t="s">
        <v>1353</v>
      </c>
      <c r="C223" t="s">
        <v>1353</v>
      </c>
      <c r="D223" t="s">
        <v>1353</v>
      </c>
      <c r="E223" t="s">
        <v>1353</v>
      </c>
      <c r="F223" t="s">
        <v>1353</v>
      </c>
    </row>
    <row r="224" spans="1:6" x14ac:dyDescent="0.2">
      <c r="A224">
        <v>8</v>
      </c>
      <c r="B224" t="s">
        <v>1353</v>
      </c>
      <c r="C224" t="s">
        <v>1352</v>
      </c>
      <c r="D224" t="s">
        <v>1352</v>
      </c>
      <c r="E224" t="s">
        <v>1352</v>
      </c>
      <c r="F224" t="s">
        <v>1353</v>
      </c>
    </row>
    <row r="225" spans="1:6" x14ac:dyDescent="0.2">
      <c r="A225">
        <v>8</v>
      </c>
      <c r="B225" t="s">
        <v>1374</v>
      </c>
      <c r="C225" t="s">
        <v>1374</v>
      </c>
      <c r="D225" t="s">
        <v>1374</v>
      </c>
      <c r="E225" t="s">
        <v>1374</v>
      </c>
      <c r="F225" t="s">
        <v>1374</v>
      </c>
    </row>
    <row r="226" spans="1:6" x14ac:dyDescent="0.2">
      <c r="A226">
        <v>8</v>
      </c>
      <c r="B226" t="s">
        <v>1353</v>
      </c>
      <c r="C226" t="s">
        <v>1353</v>
      </c>
      <c r="D226" t="s">
        <v>1353</v>
      </c>
      <c r="E226" t="s">
        <v>1353</v>
      </c>
      <c r="F226" t="s">
        <v>1353</v>
      </c>
    </row>
    <row r="227" spans="1:6" x14ac:dyDescent="0.2">
      <c r="A227">
        <v>8</v>
      </c>
      <c r="B227" t="s">
        <v>1353</v>
      </c>
      <c r="C227" t="s">
        <v>1353</v>
      </c>
      <c r="D227" t="s">
        <v>1353</v>
      </c>
      <c r="E227" t="s">
        <v>1353</v>
      </c>
      <c r="F227" t="s">
        <v>1353</v>
      </c>
    </row>
    <row r="228" spans="1:6" x14ac:dyDescent="0.2">
      <c r="A228">
        <v>8</v>
      </c>
      <c r="B228" t="s">
        <v>199</v>
      </c>
      <c r="C228" t="s">
        <v>1353</v>
      </c>
      <c r="D228" t="s">
        <v>1353</v>
      </c>
      <c r="E228" t="s">
        <v>1353</v>
      </c>
      <c r="F228" t="s">
        <v>1353</v>
      </c>
    </row>
    <row r="229" spans="1:6" x14ac:dyDescent="0.2">
      <c r="A229">
        <v>8.8000000000000007</v>
      </c>
      <c r="B229" t="s">
        <v>1353</v>
      </c>
      <c r="C229" t="s">
        <v>1353</v>
      </c>
      <c r="D229" t="s">
        <v>1353</v>
      </c>
      <c r="E229" t="s">
        <v>1353</v>
      </c>
      <c r="F229" t="s">
        <v>191</v>
      </c>
    </row>
    <row r="230" spans="1:6" x14ac:dyDescent="0.2">
      <c r="A230">
        <v>9</v>
      </c>
      <c r="B230" t="s">
        <v>1353</v>
      </c>
      <c r="C230" t="s">
        <v>1353</v>
      </c>
      <c r="D230" t="s">
        <v>1353</v>
      </c>
      <c r="E230" t="s">
        <v>1353</v>
      </c>
      <c r="F230" t="s">
        <v>1353</v>
      </c>
    </row>
    <row r="231" spans="1:6" x14ac:dyDescent="0.2">
      <c r="A231">
        <v>9</v>
      </c>
      <c r="B231" t="s">
        <v>1353</v>
      </c>
      <c r="C231" t="s">
        <v>1353</v>
      </c>
      <c r="D231" t="s">
        <v>1353</v>
      </c>
      <c r="E231" t="s">
        <v>1353</v>
      </c>
      <c r="F231" t="s">
        <v>1353</v>
      </c>
    </row>
    <row r="232" spans="1:6" x14ac:dyDescent="0.2">
      <c r="A232">
        <v>9</v>
      </c>
      <c r="B232" t="s">
        <v>1353</v>
      </c>
      <c r="C232" t="s">
        <v>1353</v>
      </c>
      <c r="D232" t="s">
        <v>1353</v>
      </c>
      <c r="E232" t="s">
        <v>1353</v>
      </c>
      <c r="F232" t="s">
        <v>1353</v>
      </c>
    </row>
    <row r="233" spans="1:6" x14ac:dyDescent="0.2">
      <c r="A233">
        <v>9.3000000000000007</v>
      </c>
      <c r="B233" t="s">
        <v>1352</v>
      </c>
      <c r="C233" t="s">
        <v>1352</v>
      </c>
      <c r="D233" t="s">
        <v>1352</v>
      </c>
      <c r="E233" t="s">
        <v>1352</v>
      </c>
      <c r="F233" t="s">
        <v>1352</v>
      </c>
    </row>
    <row r="234" spans="1:6" x14ac:dyDescent="0.2">
      <c r="A234">
        <v>10</v>
      </c>
      <c r="B234" t="s">
        <v>1353</v>
      </c>
      <c r="C234" t="s">
        <v>1353</v>
      </c>
      <c r="D234" t="s">
        <v>1353</v>
      </c>
      <c r="E234" t="s">
        <v>1353</v>
      </c>
      <c r="F234" t="s">
        <v>1353</v>
      </c>
    </row>
    <row r="235" spans="1:6" x14ac:dyDescent="0.2">
      <c r="A235">
        <v>10</v>
      </c>
      <c r="B235" t="s">
        <v>191</v>
      </c>
      <c r="C235" t="s">
        <v>1352</v>
      </c>
      <c r="D235" t="s">
        <v>1352</v>
      </c>
      <c r="E235" t="s">
        <v>1352</v>
      </c>
      <c r="F235" t="s">
        <v>1353</v>
      </c>
    </row>
    <row r="236" spans="1:6" x14ac:dyDescent="0.2">
      <c r="A236">
        <v>10</v>
      </c>
      <c r="B236" t="s">
        <v>1353</v>
      </c>
      <c r="C236" t="s">
        <v>1353</v>
      </c>
      <c r="D236" t="s">
        <v>195</v>
      </c>
      <c r="E236" t="s">
        <v>1353</v>
      </c>
      <c r="F236" t="s">
        <v>1353</v>
      </c>
    </row>
    <row r="237" spans="1:6" x14ac:dyDescent="0.2">
      <c r="A237">
        <v>10</v>
      </c>
      <c r="B237" t="s">
        <v>1353</v>
      </c>
      <c r="C237" t="s">
        <v>1353</v>
      </c>
      <c r="D237" t="s">
        <v>1353</v>
      </c>
      <c r="E237" t="s">
        <v>1353</v>
      </c>
      <c r="F237" t="s">
        <v>1353</v>
      </c>
    </row>
    <row r="238" spans="1:6" x14ac:dyDescent="0.2">
      <c r="A238">
        <v>10</v>
      </c>
      <c r="B238" t="s">
        <v>1353</v>
      </c>
      <c r="C238" t="s">
        <v>1353</v>
      </c>
      <c r="D238" t="s">
        <v>1353</v>
      </c>
      <c r="E238" t="s">
        <v>1353</v>
      </c>
      <c r="F238" t="s">
        <v>1353</v>
      </c>
    </row>
    <row r="239" spans="1:6" x14ac:dyDescent="0.2">
      <c r="A239">
        <v>10</v>
      </c>
      <c r="B239" t="s">
        <v>1353</v>
      </c>
      <c r="C239" t="s">
        <v>1353</v>
      </c>
      <c r="D239" t="s">
        <v>1353</v>
      </c>
      <c r="E239" t="s">
        <v>1353</v>
      </c>
      <c r="F239" t="s">
        <v>1353</v>
      </c>
    </row>
    <row r="240" spans="1:6" x14ac:dyDescent="0.2">
      <c r="A240">
        <v>10</v>
      </c>
      <c r="B240" t="s">
        <v>1353</v>
      </c>
      <c r="C240" t="s">
        <v>1353</v>
      </c>
      <c r="D240" t="s">
        <v>1353</v>
      </c>
      <c r="E240" t="s">
        <v>1353</v>
      </c>
      <c r="F240" t="s">
        <v>1353</v>
      </c>
    </row>
    <row r="241" spans="1:6" x14ac:dyDescent="0.2">
      <c r="A241">
        <v>10</v>
      </c>
      <c r="B241" t="s">
        <v>1353</v>
      </c>
      <c r="C241" t="s">
        <v>1353</v>
      </c>
      <c r="D241" t="s">
        <v>1353</v>
      </c>
      <c r="E241" t="s">
        <v>1353</v>
      </c>
      <c r="F241" t="s">
        <v>1353</v>
      </c>
    </row>
    <row r="242" spans="1:6" x14ac:dyDescent="0.2">
      <c r="A242">
        <v>10</v>
      </c>
      <c r="B242" t="s">
        <v>1353</v>
      </c>
      <c r="C242" t="s">
        <v>202</v>
      </c>
      <c r="D242" t="s">
        <v>202</v>
      </c>
      <c r="E242" t="s">
        <v>1353</v>
      </c>
      <c r="F242" t="s">
        <v>1353</v>
      </c>
    </row>
    <row r="243" spans="1:6" x14ac:dyDescent="0.2">
      <c r="A243">
        <v>10</v>
      </c>
      <c r="B243" t="s">
        <v>1353</v>
      </c>
      <c r="C243" t="s">
        <v>1353</v>
      </c>
      <c r="D243" t="s">
        <v>1353</v>
      </c>
      <c r="E243" t="s">
        <v>1353</v>
      </c>
      <c r="F243" t="s">
        <v>1353</v>
      </c>
    </row>
    <row r="244" spans="1:6" x14ac:dyDescent="0.2">
      <c r="A244">
        <v>10</v>
      </c>
      <c r="B244" t="s">
        <v>1353</v>
      </c>
      <c r="C244" t="s">
        <v>1353</v>
      </c>
      <c r="D244" t="s">
        <v>1353</v>
      </c>
      <c r="E244" t="s">
        <v>1353</v>
      </c>
      <c r="F244" t="s">
        <v>202</v>
      </c>
    </row>
    <row r="245" spans="1:6" x14ac:dyDescent="0.2">
      <c r="A245">
        <v>10</v>
      </c>
      <c r="B245" t="s">
        <v>1353</v>
      </c>
      <c r="C245" t="s">
        <v>1353</v>
      </c>
      <c r="D245" t="s">
        <v>1352</v>
      </c>
      <c r="E245" t="s">
        <v>1353</v>
      </c>
      <c r="F245" t="s">
        <v>1353</v>
      </c>
    </row>
    <row r="246" spans="1:6" x14ac:dyDescent="0.2">
      <c r="A246">
        <v>10</v>
      </c>
      <c r="B246" t="s">
        <v>1353</v>
      </c>
      <c r="C246" t="s">
        <v>1353</v>
      </c>
      <c r="D246" t="s">
        <v>1353</v>
      </c>
      <c r="E246" t="s">
        <v>1353</v>
      </c>
      <c r="F246" t="s">
        <v>1353</v>
      </c>
    </row>
    <row r="247" spans="1:6" x14ac:dyDescent="0.2">
      <c r="A247">
        <v>10</v>
      </c>
      <c r="B247" t="s">
        <v>1353</v>
      </c>
      <c r="C247" t="s">
        <v>1353</v>
      </c>
      <c r="D247" t="s">
        <v>1353</v>
      </c>
      <c r="E247" t="s">
        <v>1353</v>
      </c>
      <c r="F247" t="s">
        <v>1353</v>
      </c>
    </row>
    <row r="248" spans="1:6" x14ac:dyDescent="0.2">
      <c r="A248">
        <v>10</v>
      </c>
      <c r="B248" t="s">
        <v>1353</v>
      </c>
      <c r="C248" t="s">
        <v>1353</v>
      </c>
      <c r="D248" t="s">
        <v>1353</v>
      </c>
      <c r="E248" t="s">
        <v>1353</v>
      </c>
      <c r="F248" t="s">
        <v>1353</v>
      </c>
    </row>
    <row r="249" spans="1:6" x14ac:dyDescent="0.2">
      <c r="A249">
        <v>10</v>
      </c>
      <c r="B249" t="s">
        <v>1353</v>
      </c>
      <c r="C249" t="s">
        <v>1353</v>
      </c>
      <c r="D249" t="s">
        <v>1353</v>
      </c>
      <c r="E249" t="s">
        <v>1353</v>
      </c>
      <c r="F249" t="s">
        <v>1353</v>
      </c>
    </row>
    <row r="250" spans="1:6" x14ac:dyDescent="0.2">
      <c r="A250">
        <v>10</v>
      </c>
      <c r="B250" t="s">
        <v>1352</v>
      </c>
      <c r="C250" t="s">
        <v>1352</v>
      </c>
      <c r="D250" t="s">
        <v>1352</v>
      </c>
      <c r="E250" t="s">
        <v>1352</v>
      </c>
      <c r="F250" t="s">
        <v>1352</v>
      </c>
    </row>
    <row r="251" spans="1:6" x14ac:dyDescent="0.2">
      <c r="A251">
        <v>10</v>
      </c>
      <c r="B251" t="s">
        <v>1353</v>
      </c>
      <c r="C251" t="s">
        <v>1353</v>
      </c>
      <c r="D251" t="s">
        <v>1353</v>
      </c>
      <c r="E251" t="s">
        <v>1353</v>
      </c>
      <c r="F251" t="s">
        <v>191</v>
      </c>
    </row>
    <row r="252" spans="1:6" x14ac:dyDescent="0.2">
      <c r="A252">
        <v>10</v>
      </c>
      <c r="B252" t="s">
        <v>1353</v>
      </c>
      <c r="C252" t="s">
        <v>1353</v>
      </c>
      <c r="D252" t="s">
        <v>1353</v>
      </c>
      <c r="E252" t="s">
        <v>1353</v>
      </c>
      <c r="F252" t="s">
        <v>1353</v>
      </c>
    </row>
    <row r="253" spans="1:6" x14ac:dyDescent="0.2">
      <c r="A253">
        <v>10</v>
      </c>
      <c r="B253" t="s">
        <v>1353</v>
      </c>
      <c r="C253" t="s">
        <v>1353</v>
      </c>
      <c r="D253" t="s">
        <v>1353</v>
      </c>
      <c r="E253" t="s">
        <v>1353</v>
      </c>
      <c r="F253" t="s">
        <v>1353</v>
      </c>
    </row>
    <row r="254" spans="1:6" x14ac:dyDescent="0.2">
      <c r="A254">
        <v>10</v>
      </c>
      <c r="B254" t="s">
        <v>1353</v>
      </c>
      <c r="C254" t="s">
        <v>1353</v>
      </c>
      <c r="D254" t="s">
        <v>1353</v>
      </c>
      <c r="E254" t="s">
        <v>1353</v>
      </c>
      <c r="F254" t="s">
        <v>1353</v>
      </c>
    </row>
    <row r="255" spans="1:6" x14ac:dyDescent="0.2">
      <c r="A255">
        <v>10</v>
      </c>
      <c r="B255" t="s">
        <v>1353</v>
      </c>
      <c r="C255" t="s">
        <v>1353</v>
      </c>
      <c r="D255" t="s">
        <v>1353</v>
      </c>
      <c r="E255" t="s">
        <v>1353</v>
      </c>
      <c r="F255" t="s">
        <v>1353</v>
      </c>
    </row>
    <row r="256" spans="1:6" x14ac:dyDescent="0.2">
      <c r="A256">
        <v>10</v>
      </c>
      <c r="B256" t="s">
        <v>1353</v>
      </c>
      <c r="C256" t="s">
        <v>1353</v>
      </c>
      <c r="D256" t="s">
        <v>1353</v>
      </c>
      <c r="E256" t="s">
        <v>1353</v>
      </c>
      <c r="F256" t="s">
        <v>1353</v>
      </c>
    </row>
    <row r="257" spans="1:6" x14ac:dyDescent="0.2">
      <c r="A257">
        <v>10</v>
      </c>
      <c r="B257" t="s">
        <v>1353</v>
      </c>
      <c r="C257" t="s">
        <v>1353</v>
      </c>
      <c r="D257" t="s">
        <v>1353</v>
      </c>
      <c r="E257" t="s">
        <v>1353</v>
      </c>
      <c r="F257" t="s">
        <v>1353</v>
      </c>
    </row>
    <row r="258" spans="1:6" x14ac:dyDescent="0.2">
      <c r="A258">
        <v>11</v>
      </c>
      <c r="B258" t="s">
        <v>1353</v>
      </c>
      <c r="C258" t="s">
        <v>1353</v>
      </c>
      <c r="D258" t="s">
        <v>1353</v>
      </c>
      <c r="E258" t="s">
        <v>1353</v>
      </c>
      <c r="F258" t="s">
        <v>1353</v>
      </c>
    </row>
    <row r="259" spans="1:6" x14ac:dyDescent="0.2">
      <c r="A259">
        <v>11</v>
      </c>
      <c r="B259" t="s">
        <v>191</v>
      </c>
      <c r="C259" t="s">
        <v>1353</v>
      </c>
      <c r="D259" t="s">
        <v>1353</v>
      </c>
      <c r="E259" t="s">
        <v>1353</v>
      </c>
      <c r="F259" t="s">
        <v>1353</v>
      </c>
    </row>
    <row r="260" spans="1:6" x14ac:dyDescent="0.2">
      <c r="A260">
        <v>11</v>
      </c>
      <c r="B260" t="s">
        <v>1353</v>
      </c>
      <c r="C260" t="s">
        <v>1353</v>
      </c>
      <c r="D260" t="s">
        <v>1353</v>
      </c>
      <c r="E260" t="s">
        <v>1353</v>
      </c>
      <c r="F260" t="s">
        <v>1353</v>
      </c>
    </row>
    <row r="261" spans="1:6" x14ac:dyDescent="0.2">
      <c r="A261">
        <v>11</v>
      </c>
      <c r="B261" t="s">
        <v>1353</v>
      </c>
      <c r="C261" t="s">
        <v>1353</v>
      </c>
      <c r="D261" t="s">
        <v>1353</v>
      </c>
      <c r="E261" t="s">
        <v>1353</v>
      </c>
      <c r="F261" t="s">
        <v>1353</v>
      </c>
    </row>
    <row r="262" spans="1:6" x14ac:dyDescent="0.2">
      <c r="A262">
        <v>11</v>
      </c>
      <c r="B262" t="s">
        <v>1353</v>
      </c>
      <c r="C262" t="s">
        <v>1353</v>
      </c>
      <c r="D262" t="s">
        <v>1353</v>
      </c>
      <c r="E262" t="s">
        <v>1353</v>
      </c>
      <c r="F262" t="s">
        <v>1353</v>
      </c>
    </row>
    <row r="263" spans="1:6" x14ac:dyDescent="0.2">
      <c r="A263">
        <v>11</v>
      </c>
      <c r="B263" t="s">
        <v>1353</v>
      </c>
      <c r="C263" t="s">
        <v>1353</v>
      </c>
      <c r="D263" t="s">
        <v>1353</v>
      </c>
      <c r="E263" t="s">
        <v>1353</v>
      </c>
      <c r="F263" t="s">
        <v>1353</v>
      </c>
    </row>
    <row r="264" spans="1:6" x14ac:dyDescent="0.2">
      <c r="A264">
        <v>11</v>
      </c>
      <c r="B264" t="s">
        <v>1353</v>
      </c>
      <c r="C264" t="s">
        <v>1353</v>
      </c>
      <c r="D264" t="s">
        <v>1353</v>
      </c>
      <c r="E264" t="s">
        <v>1353</v>
      </c>
      <c r="F264" t="s">
        <v>1353</v>
      </c>
    </row>
    <row r="265" spans="1:6" x14ac:dyDescent="0.2">
      <c r="A265">
        <v>11</v>
      </c>
      <c r="B265" t="s">
        <v>199</v>
      </c>
      <c r="C265" t="s">
        <v>199</v>
      </c>
      <c r="D265" t="s">
        <v>1353</v>
      </c>
      <c r="E265" t="s">
        <v>1353</v>
      </c>
      <c r="F265" t="s">
        <v>1353</v>
      </c>
    </row>
    <row r="266" spans="1:6" x14ac:dyDescent="0.2">
      <c r="A266">
        <v>11</v>
      </c>
      <c r="B266" t="s">
        <v>1353</v>
      </c>
      <c r="C266" t="s">
        <v>1353</v>
      </c>
      <c r="D266" t="s">
        <v>1353</v>
      </c>
      <c r="E266" t="s">
        <v>1353</v>
      </c>
      <c r="F266" t="s">
        <v>1353</v>
      </c>
    </row>
    <row r="267" spans="1:6" x14ac:dyDescent="0.2">
      <c r="A267">
        <v>11</v>
      </c>
      <c r="B267" t="s">
        <v>1353</v>
      </c>
      <c r="C267" t="s">
        <v>1353</v>
      </c>
      <c r="D267" t="s">
        <v>1352</v>
      </c>
      <c r="E267" t="s">
        <v>1352</v>
      </c>
      <c r="F267" t="s">
        <v>1353</v>
      </c>
    </row>
    <row r="268" spans="1:6" x14ac:dyDescent="0.2">
      <c r="A268">
        <v>11.5</v>
      </c>
      <c r="B268" t="s">
        <v>1353</v>
      </c>
      <c r="C268" t="s">
        <v>1353</v>
      </c>
      <c r="D268" t="s">
        <v>1353</v>
      </c>
      <c r="E268" t="s">
        <v>1353</v>
      </c>
      <c r="F268" t="s">
        <v>1353</v>
      </c>
    </row>
    <row r="269" spans="1:6" x14ac:dyDescent="0.2">
      <c r="A269">
        <v>12</v>
      </c>
      <c r="B269" t="s">
        <v>1353</v>
      </c>
      <c r="C269" t="s">
        <v>1353</v>
      </c>
      <c r="D269" t="s">
        <v>1353</v>
      </c>
      <c r="E269" t="s">
        <v>1353</v>
      </c>
      <c r="F269" t="s">
        <v>1353</v>
      </c>
    </row>
    <row r="270" spans="1:6" x14ac:dyDescent="0.2">
      <c r="A270">
        <v>12</v>
      </c>
      <c r="B270" t="s">
        <v>1353</v>
      </c>
      <c r="C270" t="s">
        <v>1353</v>
      </c>
      <c r="D270" t="s">
        <v>1353</v>
      </c>
      <c r="E270" t="s">
        <v>1353</v>
      </c>
      <c r="F270" t="s">
        <v>1353</v>
      </c>
    </row>
    <row r="271" spans="1:6" x14ac:dyDescent="0.2">
      <c r="A271">
        <v>12</v>
      </c>
      <c r="B271" t="s">
        <v>1352</v>
      </c>
      <c r="C271" t="s">
        <v>1352</v>
      </c>
      <c r="D271" t="s">
        <v>1352</v>
      </c>
      <c r="E271" t="s">
        <v>1352</v>
      </c>
      <c r="F271" t="s">
        <v>1352</v>
      </c>
    </row>
    <row r="272" spans="1:6" x14ac:dyDescent="0.2">
      <c r="A272">
        <v>12</v>
      </c>
      <c r="B272" t="s">
        <v>1353</v>
      </c>
      <c r="C272" t="s">
        <v>1353</v>
      </c>
      <c r="D272" t="s">
        <v>1353</v>
      </c>
      <c r="E272" t="s">
        <v>1353</v>
      </c>
      <c r="F272" t="s">
        <v>1353</v>
      </c>
    </row>
    <row r="273" spans="1:6" x14ac:dyDescent="0.2">
      <c r="A273">
        <v>12</v>
      </c>
      <c r="B273" t="s">
        <v>1353</v>
      </c>
      <c r="C273" t="s">
        <v>1353</v>
      </c>
      <c r="D273" t="s">
        <v>1353</v>
      </c>
      <c r="E273" t="s">
        <v>1353</v>
      </c>
      <c r="F273" t="s">
        <v>1353</v>
      </c>
    </row>
    <row r="274" spans="1:6" x14ac:dyDescent="0.2">
      <c r="A274">
        <v>12</v>
      </c>
      <c r="B274" t="s">
        <v>1353</v>
      </c>
      <c r="C274" t="s">
        <v>1353</v>
      </c>
      <c r="D274" t="s">
        <v>1353</v>
      </c>
      <c r="E274" t="s">
        <v>1353</v>
      </c>
      <c r="F274" t="s">
        <v>1353</v>
      </c>
    </row>
    <row r="275" spans="1:6" x14ac:dyDescent="0.2">
      <c r="A275">
        <v>12</v>
      </c>
      <c r="B275" t="s">
        <v>1352</v>
      </c>
      <c r="C275" t="s">
        <v>1352</v>
      </c>
      <c r="D275" t="s">
        <v>1352</v>
      </c>
      <c r="E275" t="s">
        <v>1352</v>
      </c>
      <c r="F275" t="s">
        <v>1352</v>
      </c>
    </row>
    <row r="276" spans="1:6" x14ac:dyDescent="0.2">
      <c r="A276">
        <v>12</v>
      </c>
      <c r="B276" t="s">
        <v>1352</v>
      </c>
      <c r="C276" t="s">
        <v>1352</v>
      </c>
      <c r="D276" t="s">
        <v>1352</v>
      </c>
      <c r="E276" t="s">
        <v>1352</v>
      </c>
      <c r="F276" t="s">
        <v>1352</v>
      </c>
    </row>
    <row r="277" spans="1:6" x14ac:dyDescent="0.2">
      <c r="A277">
        <v>12</v>
      </c>
      <c r="B277" t="s">
        <v>1353</v>
      </c>
      <c r="C277" t="s">
        <v>1353</v>
      </c>
      <c r="D277" t="s">
        <v>1353</v>
      </c>
      <c r="E277" t="s">
        <v>1353</v>
      </c>
      <c r="F277" t="s">
        <v>1353</v>
      </c>
    </row>
    <row r="278" spans="1:6" x14ac:dyDescent="0.2">
      <c r="A278">
        <v>12</v>
      </c>
      <c r="B278" t="s">
        <v>1353</v>
      </c>
      <c r="C278" t="s">
        <v>1353</v>
      </c>
      <c r="D278" t="s">
        <v>1353</v>
      </c>
      <c r="E278" t="s">
        <v>1353</v>
      </c>
      <c r="F278" t="s">
        <v>1353</v>
      </c>
    </row>
    <row r="279" spans="1:6" x14ac:dyDescent="0.2">
      <c r="A279">
        <v>12</v>
      </c>
      <c r="B279" t="s">
        <v>1353</v>
      </c>
      <c r="C279" t="s">
        <v>1353</v>
      </c>
      <c r="D279" t="s">
        <v>1353</v>
      </c>
      <c r="E279" t="s">
        <v>1353</v>
      </c>
      <c r="F279" t="s">
        <v>202</v>
      </c>
    </row>
    <row r="280" spans="1:6" x14ac:dyDescent="0.2">
      <c r="A280">
        <v>12</v>
      </c>
      <c r="B280" t="s">
        <v>1353</v>
      </c>
      <c r="C280" t="s">
        <v>1353</v>
      </c>
      <c r="D280" t="s">
        <v>1353</v>
      </c>
      <c r="E280" t="s">
        <v>1353</v>
      </c>
      <c r="F280" t="s">
        <v>199</v>
      </c>
    </row>
    <row r="281" spans="1:6" x14ac:dyDescent="0.2">
      <c r="A281">
        <v>12</v>
      </c>
      <c r="B281" t="s">
        <v>1353</v>
      </c>
      <c r="C281" t="s">
        <v>1352</v>
      </c>
      <c r="D281" t="s">
        <v>1352</v>
      </c>
      <c r="E281" t="s">
        <v>1353</v>
      </c>
      <c r="F281" t="s">
        <v>1353</v>
      </c>
    </row>
    <row r="282" spans="1:6" x14ac:dyDescent="0.2">
      <c r="A282">
        <v>12.5</v>
      </c>
      <c r="B282" t="s">
        <v>1352</v>
      </c>
      <c r="C282" t="s">
        <v>1352</v>
      </c>
      <c r="D282" t="s">
        <v>1352</v>
      </c>
      <c r="E282" t="s">
        <v>1352</v>
      </c>
      <c r="F282" t="s">
        <v>1353</v>
      </c>
    </row>
    <row r="283" spans="1:6" x14ac:dyDescent="0.2">
      <c r="A283">
        <v>12.5</v>
      </c>
      <c r="B283" t="s">
        <v>1356</v>
      </c>
      <c r="C283" t="s">
        <v>1356</v>
      </c>
      <c r="D283" t="s">
        <v>1356</v>
      </c>
      <c r="E283" t="s">
        <v>1356</v>
      </c>
      <c r="F283" t="s">
        <v>1356</v>
      </c>
    </row>
    <row r="284" spans="1:6" x14ac:dyDescent="0.2">
      <c r="A284">
        <v>13</v>
      </c>
      <c r="B284" t="s">
        <v>1353</v>
      </c>
      <c r="C284" t="s">
        <v>1353</v>
      </c>
      <c r="D284" t="s">
        <v>1353</v>
      </c>
      <c r="E284" t="s">
        <v>1353</v>
      </c>
      <c r="F284" t="s">
        <v>1353</v>
      </c>
    </row>
    <row r="285" spans="1:6" x14ac:dyDescent="0.2">
      <c r="A285">
        <v>13</v>
      </c>
      <c r="B285" t="s">
        <v>1353</v>
      </c>
      <c r="C285" t="s">
        <v>1353</v>
      </c>
      <c r="D285" t="s">
        <v>1353</v>
      </c>
      <c r="E285" t="s">
        <v>1353</v>
      </c>
      <c r="F285" t="s">
        <v>1353</v>
      </c>
    </row>
    <row r="286" spans="1:6" x14ac:dyDescent="0.2">
      <c r="A286">
        <v>13</v>
      </c>
      <c r="B286" t="s">
        <v>1353</v>
      </c>
      <c r="C286" t="s">
        <v>1353</v>
      </c>
      <c r="D286" t="s">
        <v>1374</v>
      </c>
      <c r="E286" t="s">
        <v>1374</v>
      </c>
      <c r="F286" t="s">
        <v>1374</v>
      </c>
    </row>
    <row r="287" spans="1:6" x14ac:dyDescent="0.2">
      <c r="A287">
        <v>13</v>
      </c>
      <c r="B287" t="s">
        <v>1353</v>
      </c>
      <c r="C287" t="s">
        <v>1353</v>
      </c>
      <c r="D287" t="s">
        <v>1353</v>
      </c>
      <c r="E287" t="s">
        <v>1353</v>
      </c>
      <c r="F287" t="s">
        <v>1353</v>
      </c>
    </row>
    <row r="288" spans="1:6" x14ac:dyDescent="0.2">
      <c r="A288">
        <v>13</v>
      </c>
      <c r="B288" t="s">
        <v>1353</v>
      </c>
      <c r="C288" t="s">
        <v>1353</v>
      </c>
      <c r="D288" t="s">
        <v>1353</v>
      </c>
      <c r="E288" t="s">
        <v>1353</v>
      </c>
      <c r="F288" t="s">
        <v>1353</v>
      </c>
    </row>
    <row r="289" spans="1:6" x14ac:dyDescent="0.2">
      <c r="A289">
        <v>14</v>
      </c>
      <c r="B289" t="s">
        <v>1353</v>
      </c>
      <c r="C289" t="s">
        <v>1353</v>
      </c>
      <c r="D289" t="s">
        <v>1353</v>
      </c>
      <c r="E289" t="s">
        <v>1353</v>
      </c>
      <c r="F289" t="s">
        <v>1353</v>
      </c>
    </row>
    <row r="290" spans="1:6" x14ac:dyDescent="0.2">
      <c r="A290">
        <v>14</v>
      </c>
      <c r="B290" t="s">
        <v>1353</v>
      </c>
      <c r="C290" t="s">
        <v>1353</v>
      </c>
      <c r="D290" t="s">
        <v>1353</v>
      </c>
      <c r="E290" t="s">
        <v>1353</v>
      </c>
      <c r="F290" t="s">
        <v>1353</v>
      </c>
    </row>
    <row r="291" spans="1:6" x14ac:dyDescent="0.2">
      <c r="A291">
        <v>14</v>
      </c>
      <c r="B291" t="s">
        <v>1353</v>
      </c>
      <c r="C291" t="s">
        <v>1353</v>
      </c>
      <c r="D291" t="s">
        <v>1353</v>
      </c>
      <c r="E291" t="s">
        <v>1353</v>
      </c>
      <c r="F291" t="s">
        <v>1353</v>
      </c>
    </row>
    <row r="292" spans="1:6" x14ac:dyDescent="0.2">
      <c r="A292">
        <v>14</v>
      </c>
      <c r="B292" t="s">
        <v>1353</v>
      </c>
      <c r="C292" t="s">
        <v>1353</v>
      </c>
      <c r="D292" t="s">
        <v>1353</v>
      </c>
      <c r="E292" t="s">
        <v>1353</v>
      </c>
      <c r="F292" t="s">
        <v>1353</v>
      </c>
    </row>
    <row r="293" spans="1:6" x14ac:dyDescent="0.2">
      <c r="A293">
        <v>14</v>
      </c>
      <c r="B293" t="s">
        <v>1352</v>
      </c>
      <c r="C293" t="s">
        <v>1352</v>
      </c>
      <c r="D293" t="s">
        <v>1352</v>
      </c>
      <c r="E293" t="s">
        <v>1352</v>
      </c>
      <c r="F293" t="s">
        <v>191</v>
      </c>
    </row>
    <row r="294" spans="1:6" x14ac:dyDescent="0.2">
      <c r="A294">
        <v>14</v>
      </c>
      <c r="B294" t="s">
        <v>1353</v>
      </c>
      <c r="C294" t="s">
        <v>1353</v>
      </c>
      <c r="D294" t="s">
        <v>1353</v>
      </c>
      <c r="E294" t="s">
        <v>1353</v>
      </c>
      <c r="F294" t="s">
        <v>1353</v>
      </c>
    </row>
    <row r="295" spans="1:6" x14ac:dyDescent="0.2">
      <c r="A295">
        <v>14</v>
      </c>
      <c r="B295" t="s">
        <v>1353</v>
      </c>
      <c r="C295" t="s">
        <v>1353</v>
      </c>
      <c r="D295" t="s">
        <v>1353</v>
      </c>
      <c r="E295" t="s">
        <v>1353</v>
      </c>
      <c r="F295" t="s">
        <v>1353</v>
      </c>
    </row>
    <row r="296" spans="1:6" x14ac:dyDescent="0.2">
      <c r="A296">
        <v>15</v>
      </c>
      <c r="B296" t="s">
        <v>1353</v>
      </c>
      <c r="C296" t="s">
        <v>1353</v>
      </c>
      <c r="D296" t="s">
        <v>1353</v>
      </c>
      <c r="E296" t="s">
        <v>1353</v>
      </c>
      <c r="F296" t="s">
        <v>1353</v>
      </c>
    </row>
    <row r="297" spans="1:6" x14ac:dyDescent="0.2">
      <c r="A297">
        <v>15</v>
      </c>
      <c r="B297" t="s">
        <v>1352</v>
      </c>
      <c r="C297" t="s">
        <v>1352</v>
      </c>
      <c r="D297" t="s">
        <v>1352</v>
      </c>
      <c r="E297" t="s">
        <v>1352</v>
      </c>
      <c r="F297" t="s">
        <v>1352</v>
      </c>
    </row>
    <row r="298" spans="1:6" x14ac:dyDescent="0.2">
      <c r="A298">
        <v>15</v>
      </c>
      <c r="B298" t="s">
        <v>1353</v>
      </c>
      <c r="C298" t="s">
        <v>1353</v>
      </c>
      <c r="D298" t="s">
        <v>1353</v>
      </c>
      <c r="E298" t="s">
        <v>1353</v>
      </c>
      <c r="F298" t="s">
        <v>1353</v>
      </c>
    </row>
    <row r="299" spans="1:6" x14ac:dyDescent="0.2">
      <c r="A299">
        <v>15</v>
      </c>
      <c r="B299" t="s">
        <v>191</v>
      </c>
      <c r="C299" t="s">
        <v>1353</v>
      </c>
      <c r="D299" t="s">
        <v>1353</v>
      </c>
      <c r="E299" t="s">
        <v>1353</v>
      </c>
      <c r="F299" t="s">
        <v>1353</v>
      </c>
    </row>
    <row r="300" spans="1:6" x14ac:dyDescent="0.2">
      <c r="A300">
        <v>15</v>
      </c>
      <c r="B300" t="s">
        <v>202</v>
      </c>
      <c r="C300" t="s">
        <v>1353</v>
      </c>
      <c r="D300" t="s">
        <v>1353</v>
      </c>
      <c r="E300" t="s">
        <v>1353</v>
      </c>
      <c r="F300" t="s">
        <v>1353</v>
      </c>
    </row>
    <row r="301" spans="1:6" x14ac:dyDescent="0.2">
      <c r="A301">
        <v>15</v>
      </c>
      <c r="B301" t="s">
        <v>1352</v>
      </c>
      <c r="C301" t="s">
        <v>1352</v>
      </c>
      <c r="D301" t="s">
        <v>1352</v>
      </c>
      <c r="E301" t="s">
        <v>1352</v>
      </c>
      <c r="F301" t="s">
        <v>191</v>
      </c>
    </row>
    <row r="302" spans="1:6" x14ac:dyDescent="0.2">
      <c r="A302">
        <v>15</v>
      </c>
      <c r="B302" t="s">
        <v>1353</v>
      </c>
      <c r="C302" t="s">
        <v>1353</v>
      </c>
      <c r="D302" t="s">
        <v>1353</v>
      </c>
      <c r="E302" t="s">
        <v>1353</v>
      </c>
      <c r="F302" t="s">
        <v>1353</v>
      </c>
    </row>
    <row r="303" spans="1:6" x14ac:dyDescent="0.2">
      <c r="A303">
        <v>15</v>
      </c>
      <c r="B303" t="s">
        <v>1353</v>
      </c>
      <c r="C303" t="s">
        <v>1353</v>
      </c>
      <c r="D303" t="s">
        <v>1353</v>
      </c>
      <c r="E303" t="s">
        <v>1353</v>
      </c>
      <c r="F303" t="s">
        <v>1353</v>
      </c>
    </row>
    <row r="304" spans="1:6" x14ac:dyDescent="0.2">
      <c r="A304">
        <v>16</v>
      </c>
      <c r="B304" t="s">
        <v>1367</v>
      </c>
      <c r="C304" t="s">
        <v>1353</v>
      </c>
      <c r="D304" t="s">
        <v>1352</v>
      </c>
      <c r="E304" t="s">
        <v>1367</v>
      </c>
      <c r="F304" t="s">
        <v>1367</v>
      </c>
    </row>
    <row r="305" spans="1:6" x14ac:dyDescent="0.2">
      <c r="A305">
        <v>16</v>
      </c>
      <c r="B305" t="s">
        <v>1356</v>
      </c>
      <c r="C305" t="s">
        <v>1356</v>
      </c>
      <c r="D305" t="s">
        <v>1356</v>
      </c>
      <c r="E305" t="s">
        <v>1356</v>
      </c>
      <c r="F305" t="s">
        <v>1356</v>
      </c>
    </row>
    <row r="306" spans="1:6" x14ac:dyDescent="0.2">
      <c r="A306">
        <v>16</v>
      </c>
      <c r="B306" t="s">
        <v>1356</v>
      </c>
      <c r="C306" t="s">
        <v>1356</v>
      </c>
      <c r="D306" t="s">
        <v>1356</v>
      </c>
      <c r="E306" t="s">
        <v>1356</v>
      </c>
      <c r="F306" t="s">
        <v>1356</v>
      </c>
    </row>
    <row r="307" spans="1:6" x14ac:dyDescent="0.2">
      <c r="A307">
        <v>15</v>
      </c>
      <c r="B307" t="s">
        <v>1352</v>
      </c>
      <c r="C307" t="s">
        <v>1352</v>
      </c>
      <c r="D307" t="s">
        <v>1352</v>
      </c>
      <c r="E307" t="s">
        <v>1352</v>
      </c>
      <c r="F307" t="s">
        <v>191</v>
      </c>
    </row>
    <row r="308" spans="1:6" x14ac:dyDescent="0.2">
      <c r="A308">
        <v>16</v>
      </c>
      <c r="B308" t="s">
        <v>1353</v>
      </c>
      <c r="C308" t="s">
        <v>1353</v>
      </c>
      <c r="D308" t="s">
        <v>1353</v>
      </c>
      <c r="E308" t="s">
        <v>1353</v>
      </c>
      <c r="F308" t="s">
        <v>1353</v>
      </c>
    </row>
    <row r="309" spans="1:6" x14ac:dyDescent="0.2">
      <c r="A309">
        <v>17</v>
      </c>
      <c r="B309" t="s">
        <v>1353</v>
      </c>
      <c r="C309" t="s">
        <v>1353</v>
      </c>
      <c r="D309" t="s">
        <v>1353</v>
      </c>
      <c r="E309" t="s">
        <v>1353</v>
      </c>
      <c r="F309" t="s">
        <v>1353</v>
      </c>
    </row>
    <row r="310" spans="1:6" x14ac:dyDescent="0.2">
      <c r="A310">
        <v>17</v>
      </c>
      <c r="B310" t="s">
        <v>1353</v>
      </c>
      <c r="C310" t="s">
        <v>1353</v>
      </c>
      <c r="D310" t="s">
        <v>1353</v>
      </c>
      <c r="E310" t="s">
        <v>1353</v>
      </c>
      <c r="F310" t="s">
        <v>1353</v>
      </c>
    </row>
    <row r="311" spans="1:6" x14ac:dyDescent="0.2">
      <c r="A311">
        <v>17</v>
      </c>
      <c r="B311" t="s">
        <v>1353</v>
      </c>
      <c r="C311" t="s">
        <v>1353</v>
      </c>
      <c r="D311" t="s">
        <v>1353</v>
      </c>
      <c r="E311" t="s">
        <v>1353</v>
      </c>
      <c r="F311" t="s">
        <v>1353</v>
      </c>
    </row>
    <row r="312" spans="1:6" x14ac:dyDescent="0.2">
      <c r="A312">
        <v>17</v>
      </c>
      <c r="B312" t="s">
        <v>1353</v>
      </c>
      <c r="C312" t="s">
        <v>1353</v>
      </c>
      <c r="D312" t="s">
        <v>1353</v>
      </c>
      <c r="E312" t="s">
        <v>1353</v>
      </c>
      <c r="F312" t="s">
        <v>1353</v>
      </c>
    </row>
    <row r="313" spans="1:6" x14ac:dyDescent="0.2">
      <c r="A313">
        <v>17</v>
      </c>
      <c r="B313" t="s">
        <v>1353</v>
      </c>
      <c r="C313" t="s">
        <v>1353</v>
      </c>
      <c r="D313" t="s">
        <v>1353</v>
      </c>
      <c r="E313" t="s">
        <v>1353</v>
      </c>
      <c r="F313" t="s">
        <v>1353</v>
      </c>
    </row>
    <row r="314" spans="1:6" x14ac:dyDescent="0.2">
      <c r="A314">
        <v>17.399999999999999</v>
      </c>
      <c r="B314" t="s">
        <v>1353</v>
      </c>
      <c r="C314" t="s">
        <v>1353</v>
      </c>
      <c r="D314" t="s">
        <v>1353</v>
      </c>
      <c r="E314" t="s">
        <v>1353</v>
      </c>
      <c r="F314" t="s">
        <v>1353</v>
      </c>
    </row>
    <row r="315" spans="1:6" x14ac:dyDescent="0.2">
      <c r="A315">
        <v>18</v>
      </c>
      <c r="B315" t="s">
        <v>1353</v>
      </c>
      <c r="C315" t="s">
        <v>1353</v>
      </c>
      <c r="D315" t="s">
        <v>1353</v>
      </c>
      <c r="E315" t="s">
        <v>1353</v>
      </c>
      <c r="F315" t="s">
        <v>1353</v>
      </c>
    </row>
    <row r="316" spans="1:6" x14ac:dyDescent="0.2">
      <c r="A316">
        <v>18</v>
      </c>
      <c r="B316" t="s">
        <v>1367</v>
      </c>
      <c r="C316" t="s">
        <v>1367</v>
      </c>
      <c r="D316" t="s">
        <v>1367</v>
      </c>
      <c r="E316" t="s">
        <v>1367</v>
      </c>
      <c r="F316" t="s">
        <v>1367</v>
      </c>
    </row>
    <row r="317" spans="1:6" x14ac:dyDescent="0.2">
      <c r="A317">
        <v>18</v>
      </c>
      <c r="B317" t="s">
        <v>1353</v>
      </c>
      <c r="C317" t="s">
        <v>1353</v>
      </c>
      <c r="D317" t="s">
        <v>1353</v>
      </c>
      <c r="E317" t="s">
        <v>1353</v>
      </c>
      <c r="F317" t="s">
        <v>1353</v>
      </c>
    </row>
    <row r="318" spans="1:6" x14ac:dyDescent="0.2">
      <c r="A318">
        <v>17</v>
      </c>
      <c r="B318" t="s">
        <v>1353</v>
      </c>
      <c r="C318" t="s">
        <v>1353</v>
      </c>
      <c r="D318" t="s">
        <v>1353</v>
      </c>
      <c r="E318" t="s">
        <v>1353</v>
      </c>
      <c r="F318" t="s">
        <v>1353</v>
      </c>
    </row>
    <row r="319" spans="1:6" x14ac:dyDescent="0.2">
      <c r="A319">
        <v>18</v>
      </c>
      <c r="B319" t="s">
        <v>1367</v>
      </c>
      <c r="C319" t="s">
        <v>1367</v>
      </c>
      <c r="D319" t="s">
        <v>1367</v>
      </c>
      <c r="E319" t="s">
        <v>191</v>
      </c>
      <c r="F319" t="s">
        <v>1367</v>
      </c>
    </row>
    <row r="320" spans="1:6" x14ac:dyDescent="0.2">
      <c r="A320">
        <v>18</v>
      </c>
      <c r="B320" t="s">
        <v>1353</v>
      </c>
      <c r="C320" t="s">
        <v>1353</v>
      </c>
      <c r="D320" t="s">
        <v>1353</v>
      </c>
      <c r="E320" t="s">
        <v>1353</v>
      </c>
      <c r="F320" t="s">
        <v>1353</v>
      </c>
    </row>
    <row r="321" spans="1:6" x14ac:dyDescent="0.2">
      <c r="A321">
        <v>18</v>
      </c>
      <c r="B321" t="s">
        <v>1353</v>
      </c>
      <c r="C321" t="s">
        <v>1353</v>
      </c>
      <c r="D321" t="s">
        <v>1353</v>
      </c>
      <c r="E321" t="s">
        <v>1353</v>
      </c>
      <c r="F321" t="s">
        <v>1353</v>
      </c>
    </row>
    <row r="322" spans="1:6" x14ac:dyDescent="0.2">
      <c r="A322">
        <v>18</v>
      </c>
      <c r="B322" t="s">
        <v>1353</v>
      </c>
      <c r="C322" t="s">
        <v>1353</v>
      </c>
      <c r="D322" t="s">
        <v>1353</v>
      </c>
      <c r="E322" t="s">
        <v>195</v>
      </c>
      <c r="F322" t="s">
        <v>195</v>
      </c>
    </row>
    <row r="323" spans="1:6" x14ac:dyDescent="0.2">
      <c r="A323">
        <v>19</v>
      </c>
      <c r="B323" t="s">
        <v>1352</v>
      </c>
      <c r="C323" t="s">
        <v>1352</v>
      </c>
      <c r="D323" t="s">
        <v>1352</v>
      </c>
      <c r="E323" t="s">
        <v>1352</v>
      </c>
      <c r="F323" t="s">
        <v>1352</v>
      </c>
    </row>
    <row r="324" spans="1:6" x14ac:dyDescent="0.2">
      <c r="A324">
        <v>19</v>
      </c>
      <c r="B324" t="s">
        <v>1353</v>
      </c>
      <c r="C324" t="s">
        <v>1353</v>
      </c>
      <c r="D324" t="s">
        <v>1353</v>
      </c>
      <c r="E324" t="s">
        <v>1353</v>
      </c>
      <c r="F324" t="s">
        <v>1353</v>
      </c>
    </row>
    <row r="325" spans="1:6" x14ac:dyDescent="0.2">
      <c r="A325">
        <v>19</v>
      </c>
      <c r="B325" t="s">
        <v>1355</v>
      </c>
      <c r="C325" t="s">
        <v>1355</v>
      </c>
      <c r="D325" t="s">
        <v>1355</v>
      </c>
      <c r="E325" t="s">
        <v>1355</v>
      </c>
      <c r="F325" t="s">
        <v>1355</v>
      </c>
    </row>
    <row r="326" spans="1:6" x14ac:dyDescent="0.2">
      <c r="A326">
        <v>19</v>
      </c>
      <c r="B326" t="s">
        <v>1353</v>
      </c>
      <c r="C326" t="s">
        <v>1353</v>
      </c>
      <c r="D326" t="s">
        <v>1353</v>
      </c>
      <c r="E326" t="s">
        <v>1353</v>
      </c>
      <c r="F326" t="s">
        <v>1353</v>
      </c>
    </row>
    <row r="327" spans="1:6" x14ac:dyDescent="0.2">
      <c r="A327">
        <v>20</v>
      </c>
      <c r="B327" t="s">
        <v>1353</v>
      </c>
      <c r="C327" t="s">
        <v>1353</v>
      </c>
      <c r="D327" t="s">
        <v>1353</v>
      </c>
      <c r="E327" t="s">
        <v>1353</v>
      </c>
      <c r="F327" t="s">
        <v>1353</v>
      </c>
    </row>
    <row r="328" spans="1:6" x14ac:dyDescent="0.2">
      <c r="A328">
        <v>20</v>
      </c>
      <c r="B328" t="s">
        <v>1353</v>
      </c>
      <c r="C328" t="s">
        <v>1353</v>
      </c>
      <c r="D328" t="s">
        <v>1353</v>
      </c>
      <c r="E328" t="s">
        <v>1353</v>
      </c>
      <c r="F328" t="s">
        <v>1353</v>
      </c>
    </row>
    <row r="329" spans="1:6" x14ac:dyDescent="0.2">
      <c r="A329">
        <v>20</v>
      </c>
      <c r="B329" t="s">
        <v>1356</v>
      </c>
      <c r="C329" t="s">
        <v>202</v>
      </c>
      <c r="D329" t="s">
        <v>202</v>
      </c>
      <c r="E329" t="s">
        <v>202</v>
      </c>
      <c r="F329" t="s">
        <v>1352</v>
      </c>
    </row>
    <row r="330" spans="1:6" x14ac:dyDescent="0.2">
      <c r="A330">
        <v>20</v>
      </c>
      <c r="B330" t="s">
        <v>1352</v>
      </c>
      <c r="C330" t="s">
        <v>1352</v>
      </c>
      <c r="D330" t="s">
        <v>191</v>
      </c>
      <c r="E330" t="s">
        <v>1352</v>
      </c>
      <c r="F330" t="s">
        <v>1352</v>
      </c>
    </row>
    <row r="331" spans="1:6" x14ac:dyDescent="0.2">
      <c r="A331">
        <v>20</v>
      </c>
      <c r="B331" t="s">
        <v>1353</v>
      </c>
      <c r="C331" t="s">
        <v>1353</v>
      </c>
      <c r="D331" t="s">
        <v>1353</v>
      </c>
      <c r="E331" t="s">
        <v>1353</v>
      </c>
      <c r="F331" t="s">
        <v>1353</v>
      </c>
    </row>
    <row r="332" spans="1:6" x14ac:dyDescent="0.2">
      <c r="A332">
        <v>20</v>
      </c>
      <c r="B332" t="s">
        <v>1352</v>
      </c>
      <c r="C332" t="s">
        <v>1352</v>
      </c>
      <c r="D332" t="s">
        <v>1352</v>
      </c>
      <c r="E332" t="s">
        <v>1352</v>
      </c>
      <c r="F332" t="s">
        <v>1352</v>
      </c>
    </row>
    <row r="333" spans="1:6" x14ac:dyDescent="0.2">
      <c r="A333">
        <v>20</v>
      </c>
      <c r="B333" t="s">
        <v>1352</v>
      </c>
      <c r="C333" t="s">
        <v>1352</v>
      </c>
      <c r="D333" t="s">
        <v>1352</v>
      </c>
      <c r="E333" t="s">
        <v>1352</v>
      </c>
      <c r="F333" t="s">
        <v>1353</v>
      </c>
    </row>
    <row r="334" spans="1:6" x14ac:dyDescent="0.2">
      <c r="A334">
        <v>20</v>
      </c>
      <c r="B334" t="s">
        <v>1353</v>
      </c>
      <c r="C334" t="s">
        <v>1353</v>
      </c>
      <c r="D334" t="s">
        <v>1353</v>
      </c>
      <c r="E334" t="s">
        <v>1353</v>
      </c>
      <c r="F334" t="s">
        <v>1352</v>
      </c>
    </row>
    <row r="335" spans="1:6" x14ac:dyDescent="0.2">
      <c r="A335">
        <v>20</v>
      </c>
      <c r="B335" t="s">
        <v>1352</v>
      </c>
      <c r="C335" t="s">
        <v>1352</v>
      </c>
      <c r="D335" t="s">
        <v>1352</v>
      </c>
      <c r="E335" t="s">
        <v>1352</v>
      </c>
      <c r="F335" t="s">
        <v>1352</v>
      </c>
    </row>
    <row r="336" spans="1:6" x14ac:dyDescent="0.2">
      <c r="A336">
        <v>20</v>
      </c>
      <c r="B336" t="s">
        <v>1353</v>
      </c>
      <c r="C336" t="s">
        <v>1353</v>
      </c>
      <c r="D336" t="s">
        <v>1353</v>
      </c>
      <c r="E336" t="s">
        <v>191</v>
      </c>
      <c r="F336" t="s">
        <v>1353</v>
      </c>
    </row>
    <row r="337" spans="1:6" x14ac:dyDescent="0.2">
      <c r="A337">
        <v>20</v>
      </c>
      <c r="B337" t="s">
        <v>1353</v>
      </c>
      <c r="C337" t="s">
        <v>1353</v>
      </c>
      <c r="D337" t="s">
        <v>1353</v>
      </c>
      <c r="E337" t="s">
        <v>1353</v>
      </c>
      <c r="F337" t="s">
        <v>1353</v>
      </c>
    </row>
    <row r="338" spans="1:6" x14ac:dyDescent="0.2">
      <c r="A338">
        <v>20</v>
      </c>
      <c r="B338" t="s">
        <v>1353</v>
      </c>
      <c r="C338" t="s">
        <v>1353</v>
      </c>
      <c r="D338" t="s">
        <v>1353</v>
      </c>
      <c r="E338" t="s">
        <v>1353</v>
      </c>
      <c r="F338" t="s">
        <v>202</v>
      </c>
    </row>
    <row r="339" spans="1:6" x14ac:dyDescent="0.2">
      <c r="A339">
        <v>20</v>
      </c>
      <c r="B339" t="s">
        <v>1353</v>
      </c>
      <c r="C339" t="s">
        <v>1353</v>
      </c>
      <c r="D339" t="s">
        <v>1353</v>
      </c>
      <c r="E339" t="s">
        <v>1353</v>
      </c>
      <c r="F339" t="s">
        <v>1353</v>
      </c>
    </row>
    <row r="340" spans="1:6" x14ac:dyDescent="0.2">
      <c r="A340">
        <v>20</v>
      </c>
      <c r="B340" t="s">
        <v>1353</v>
      </c>
      <c r="C340" t="s">
        <v>199</v>
      </c>
      <c r="D340" t="s">
        <v>199</v>
      </c>
      <c r="E340" t="s">
        <v>1353</v>
      </c>
      <c r="F340" t="s">
        <v>199</v>
      </c>
    </row>
    <row r="341" spans="1:6" x14ac:dyDescent="0.2">
      <c r="A341">
        <v>20</v>
      </c>
      <c r="B341" t="s">
        <v>1353</v>
      </c>
      <c r="C341" t="s">
        <v>1353</v>
      </c>
      <c r="D341" t="s">
        <v>1353</v>
      </c>
      <c r="E341" t="s">
        <v>1353</v>
      </c>
      <c r="F341" t="s">
        <v>1353</v>
      </c>
    </row>
    <row r="342" spans="1:6" x14ac:dyDescent="0.2">
      <c r="A342">
        <v>21</v>
      </c>
      <c r="B342" t="s">
        <v>1353</v>
      </c>
      <c r="C342" t="s">
        <v>1353</v>
      </c>
      <c r="D342" t="s">
        <v>1353</v>
      </c>
      <c r="E342" t="s">
        <v>1353</v>
      </c>
      <c r="F342" t="s">
        <v>1353</v>
      </c>
    </row>
    <row r="343" spans="1:6" x14ac:dyDescent="0.2">
      <c r="A343">
        <v>22</v>
      </c>
      <c r="B343" t="s">
        <v>1353</v>
      </c>
      <c r="C343" t="s">
        <v>1353</v>
      </c>
      <c r="D343" t="s">
        <v>1353</v>
      </c>
      <c r="E343" t="s">
        <v>1353</v>
      </c>
      <c r="F343" t="s">
        <v>1353</v>
      </c>
    </row>
    <row r="344" spans="1:6" x14ac:dyDescent="0.2">
      <c r="A344">
        <v>22</v>
      </c>
      <c r="B344" t="s">
        <v>1353</v>
      </c>
      <c r="C344" t="s">
        <v>1353</v>
      </c>
      <c r="D344" t="s">
        <v>1353</v>
      </c>
      <c r="E344" t="s">
        <v>1353</v>
      </c>
      <c r="F344" t="s">
        <v>1353</v>
      </c>
    </row>
    <row r="345" spans="1:6" x14ac:dyDescent="0.2">
      <c r="A345">
        <v>22</v>
      </c>
      <c r="B345" t="s">
        <v>1355</v>
      </c>
      <c r="C345" t="s">
        <v>1355</v>
      </c>
      <c r="D345" t="s">
        <v>1355</v>
      </c>
      <c r="E345" t="s">
        <v>1355</v>
      </c>
      <c r="F345" t="s">
        <v>1355</v>
      </c>
    </row>
    <row r="346" spans="1:6" x14ac:dyDescent="0.2">
      <c r="A346">
        <v>22.4</v>
      </c>
      <c r="B346" t="s">
        <v>1353</v>
      </c>
      <c r="C346" t="s">
        <v>1353</v>
      </c>
      <c r="D346" t="s">
        <v>1353</v>
      </c>
      <c r="E346" t="s">
        <v>1352</v>
      </c>
      <c r="F346" t="s">
        <v>1353</v>
      </c>
    </row>
    <row r="347" spans="1:6" x14ac:dyDescent="0.2">
      <c r="A347">
        <v>23</v>
      </c>
      <c r="B347" t="s">
        <v>1352</v>
      </c>
      <c r="C347" t="s">
        <v>1352</v>
      </c>
      <c r="D347" t="s">
        <v>195</v>
      </c>
      <c r="E347" t="s">
        <v>1352</v>
      </c>
      <c r="F347" t="s">
        <v>1352</v>
      </c>
    </row>
    <row r="348" spans="1:6" x14ac:dyDescent="0.2">
      <c r="A348">
        <v>23</v>
      </c>
      <c r="B348" t="s">
        <v>1367</v>
      </c>
      <c r="C348" t="s">
        <v>1367</v>
      </c>
      <c r="D348" t="s">
        <v>1367</v>
      </c>
      <c r="E348" t="s">
        <v>1367</v>
      </c>
      <c r="F348" t="s">
        <v>1367</v>
      </c>
    </row>
    <row r="349" spans="1:6" x14ac:dyDescent="0.2">
      <c r="A349">
        <v>23</v>
      </c>
      <c r="B349" t="s">
        <v>1356</v>
      </c>
      <c r="C349" t="s">
        <v>1356</v>
      </c>
      <c r="D349" t="s">
        <v>1356</v>
      </c>
      <c r="E349" t="s">
        <v>1356</v>
      </c>
      <c r="F349" t="s">
        <v>1356</v>
      </c>
    </row>
    <row r="350" spans="1:6" x14ac:dyDescent="0.2">
      <c r="A350">
        <v>23</v>
      </c>
      <c r="B350" t="s">
        <v>202</v>
      </c>
      <c r="C350" t="s">
        <v>202</v>
      </c>
      <c r="D350" t="s">
        <v>1353</v>
      </c>
      <c r="E350" t="s">
        <v>202</v>
      </c>
      <c r="F350" t="s">
        <v>1353</v>
      </c>
    </row>
    <row r="351" spans="1:6" x14ac:dyDescent="0.2">
      <c r="A351">
        <v>24</v>
      </c>
      <c r="B351" t="s">
        <v>1353</v>
      </c>
      <c r="C351" t="s">
        <v>1353</v>
      </c>
      <c r="D351" t="s">
        <v>1353</v>
      </c>
      <c r="E351" t="s">
        <v>1353</v>
      </c>
      <c r="F351" t="s">
        <v>1353</v>
      </c>
    </row>
    <row r="352" spans="1:6" x14ac:dyDescent="0.2">
      <c r="A352">
        <v>24.2</v>
      </c>
      <c r="B352" t="s">
        <v>199</v>
      </c>
      <c r="C352" t="s">
        <v>1353</v>
      </c>
      <c r="D352" t="s">
        <v>1353</v>
      </c>
      <c r="E352" t="s">
        <v>1353</v>
      </c>
      <c r="F352" t="s">
        <v>1353</v>
      </c>
    </row>
    <row r="353" spans="1:6" x14ac:dyDescent="0.2">
      <c r="A353">
        <v>25</v>
      </c>
      <c r="B353" t="s">
        <v>1353</v>
      </c>
      <c r="C353" t="s">
        <v>1353</v>
      </c>
      <c r="D353" t="s">
        <v>1353</v>
      </c>
      <c r="E353" t="s">
        <v>1353</v>
      </c>
      <c r="F353" t="s">
        <v>1353</v>
      </c>
    </row>
    <row r="354" spans="1:6" x14ac:dyDescent="0.2">
      <c r="A354">
        <v>25</v>
      </c>
      <c r="B354" t="s">
        <v>1353</v>
      </c>
      <c r="C354" t="s">
        <v>1353</v>
      </c>
      <c r="D354" t="s">
        <v>1353</v>
      </c>
      <c r="E354" t="s">
        <v>1353</v>
      </c>
      <c r="F354" t="s">
        <v>1353</v>
      </c>
    </row>
    <row r="355" spans="1:6" x14ac:dyDescent="0.2">
      <c r="A355">
        <v>25</v>
      </c>
      <c r="B355" t="s">
        <v>1367</v>
      </c>
      <c r="C355" t="s">
        <v>1367</v>
      </c>
      <c r="D355" t="s">
        <v>1367</v>
      </c>
      <c r="E355" t="s">
        <v>1367</v>
      </c>
      <c r="F355" t="s">
        <v>1367</v>
      </c>
    </row>
    <row r="356" spans="1:6" x14ac:dyDescent="0.2">
      <c r="A356">
        <v>25</v>
      </c>
      <c r="B356" t="s">
        <v>1353</v>
      </c>
      <c r="C356" t="s">
        <v>1353</v>
      </c>
      <c r="D356" t="s">
        <v>1353</v>
      </c>
      <c r="E356" t="s">
        <v>1353</v>
      </c>
      <c r="F356" t="s">
        <v>1353</v>
      </c>
    </row>
    <row r="357" spans="1:6" x14ac:dyDescent="0.2">
      <c r="A357">
        <v>25</v>
      </c>
      <c r="B357" t="s">
        <v>1353</v>
      </c>
      <c r="C357" t="s">
        <v>1353</v>
      </c>
      <c r="D357" t="s">
        <v>1353</v>
      </c>
      <c r="E357" t="s">
        <v>1353</v>
      </c>
      <c r="F357" t="s">
        <v>1353</v>
      </c>
    </row>
    <row r="358" spans="1:6" x14ac:dyDescent="0.2">
      <c r="A358">
        <v>25</v>
      </c>
      <c r="B358" t="s">
        <v>1353</v>
      </c>
      <c r="C358" t="s">
        <v>1353</v>
      </c>
      <c r="D358" t="s">
        <v>1353</v>
      </c>
      <c r="E358" t="s">
        <v>1353</v>
      </c>
      <c r="F358" t="s">
        <v>1353</v>
      </c>
    </row>
    <row r="359" spans="1:6" x14ac:dyDescent="0.2">
      <c r="A359">
        <v>25</v>
      </c>
      <c r="B359" t="s">
        <v>1353</v>
      </c>
      <c r="C359" t="s">
        <v>1353</v>
      </c>
      <c r="D359" t="s">
        <v>1353</v>
      </c>
      <c r="E359" t="s">
        <v>1353</v>
      </c>
      <c r="F359" t="s">
        <v>1353</v>
      </c>
    </row>
    <row r="360" spans="1:6" x14ac:dyDescent="0.2">
      <c r="A360">
        <v>25</v>
      </c>
      <c r="B360" t="s">
        <v>1353</v>
      </c>
      <c r="C360" t="s">
        <v>1353</v>
      </c>
      <c r="D360" t="s">
        <v>1355</v>
      </c>
      <c r="E360" t="s">
        <v>1353</v>
      </c>
      <c r="F360" t="s">
        <v>1353</v>
      </c>
    </row>
    <row r="361" spans="1:6" x14ac:dyDescent="0.2">
      <c r="A361">
        <v>25</v>
      </c>
      <c r="B361" t="s">
        <v>202</v>
      </c>
      <c r="C361" t="s">
        <v>202</v>
      </c>
      <c r="D361" t="s">
        <v>1353</v>
      </c>
      <c r="E361" t="s">
        <v>202</v>
      </c>
      <c r="F361" t="s">
        <v>202</v>
      </c>
    </row>
    <row r="362" spans="1:6" x14ac:dyDescent="0.2">
      <c r="A362">
        <v>25</v>
      </c>
      <c r="B362" t="s">
        <v>1353</v>
      </c>
      <c r="C362" t="s">
        <v>1353</v>
      </c>
      <c r="D362" t="s">
        <v>1353</v>
      </c>
      <c r="E362" t="s">
        <v>1353</v>
      </c>
      <c r="F362" t="s">
        <v>1353</v>
      </c>
    </row>
    <row r="363" spans="1:6" x14ac:dyDescent="0.2">
      <c r="A363">
        <v>25</v>
      </c>
      <c r="B363" t="s">
        <v>1353</v>
      </c>
      <c r="C363" t="s">
        <v>1353</v>
      </c>
      <c r="D363" t="s">
        <v>1353</v>
      </c>
      <c r="E363" t="s">
        <v>202</v>
      </c>
      <c r="F363" t="s">
        <v>202</v>
      </c>
    </row>
    <row r="364" spans="1:6" x14ac:dyDescent="0.2">
      <c r="A364">
        <v>25</v>
      </c>
      <c r="B364" t="s">
        <v>1355</v>
      </c>
      <c r="C364" t="s">
        <v>1355</v>
      </c>
      <c r="D364" t="s">
        <v>1355</v>
      </c>
      <c r="E364" t="s">
        <v>1355</v>
      </c>
      <c r="F364" t="s">
        <v>199</v>
      </c>
    </row>
    <row r="365" spans="1:6" x14ac:dyDescent="0.2">
      <c r="A365">
        <v>26</v>
      </c>
      <c r="B365" t="s">
        <v>1353</v>
      </c>
      <c r="C365" t="s">
        <v>1353</v>
      </c>
      <c r="D365" t="s">
        <v>1353</v>
      </c>
      <c r="E365" t="s">
        <v>1353</v>
      </c>
      <c r="F365" t="s">
        <v>1353</v>
      </c>
    </row>
    <row r="366" spans="1:6" x14ac:dyDescent="0.2">
      <c r="A366">
        <v>26</v>
      </c>
      <c r="B366" t="s">
        <v>1367</v>
      </c>
      <c r="C366" t="s">
        <v>1367</v>
      </c>
      <c r="D366" t="s">
        <v>1367</v>
      </c>
      <c r="E366" t="s">
        <v>1367</v>
      </c>
      <c r="F366" t="s">
        <v>1367</v>
      </c>
    </row>
    <row r="367" spans="1:6" x14ac:dyDescent="0.2">
      <c r="A367">
        <v>26</v>
      </c>
      <c r="B367" t="s">
        <v>1353</v>
      </c>
      <c r="C367" t="s">
        <v>1353</v>
      </c>
      <c r="D367" t="s">
        <v>1353</v>
      </c>
      <c r="E367" t="s">
        <v>1353</v>
      </c>
      <c r="F367" t="s">
        <v>1353</v>
      </c>
    </row>
    <row r="368" spans="1:6" x14ac:dyDescent="0.2">
      <c r="A368">
        <v>26</v>
      </c>
      <c r="B368" t="s">
        <v>1353</v>
      </c>
      <c r="C368" t="s">
        <v>1353</v>
      </c>
      <c r="D368" t="s">
        <v>1353</v>
      </c>
      <c r="E368" t="s">
        <v>1353</v>
      </c>
      <c r="F368" t="s">
        <v>1353</v>
      </c>
    </row>
    <row r="369" spans="1:6" x14ac:dyDescent="0.2">
      <c r="A369">
        <v>26</v>
      </c>
      <c r="B369" t="s">
        <v>1353</v>
      </c>
      <c r="C369" t="s">
        <v>191</v>
      </c>
      <c r="D369" t="s">
        <v>191</v>
      </c>
      <c r="E369" t="s">
        <v>191</v>
      </c>
      <c r="F369" t="s">
        <v>191</v>
      </c>
    </row>
    <row r="370" spans="1:6" x14ac:dyDescent="0.2">
      <c r="A370">
        <v>26</v>
      </c>
      <c r="B370" t="s">
        <v>1353</v>
      </c>
      <c r="C370" t="s">
        <v>1353</v>
      </c>
      <c r="D370" t="s">
        <v>1353</v>
      </c>
      <c r="E370" t="s">
        <v>1353</v>
      </c>
      <c r="F370" t="s">
        <v>1353</v>
      </c>
    </row>
    <row r="371" spans="1:6" x14ac:dyDescent="0.2">
      <c r="A371">
        <v>27</v>
      </c>
      <c r="B371" t="s">
        <v>1353</v>
      </c>
      <c r="C371" t="s">
        <v>1353</v>
      </c>
      <c r="D371" t="s">
        <v>1353</v>
      </c>
      <c r="E371" t="s">
        <v>1353</v>
      </c>
      <c r="F371" t="s">
        <v>1353</v>
      </c>
    </row>
    <row r="372" spans="1:6" x14ac:dyDescent="0.2">
      <c r="A372">
        <v>27</v>
      </c>
      <c r="B372" t="s">
        <v>1353</v>
      </c>
      <c r="C372" t="s">
        <v>1353</v>
      </c>
      <c r="D372" t="s">
        <v>1352</v>
      </c>
      <c r="E372" t="s">
        <v>1353</v>
      </c>
      <c r="F372" t="s">
        <v>1353</v>
      </c>
    </row>
    <row r="373" spans="1:6" x14ac:dyDescent="0.2">
      <c r="A373">
        <v>27</v>
      </c>
      <c r="B373" t="s">
        <v>1353</v>
      </c>
      <c r="C373" t="s">
        <v>1353</v>
      </c>
      <c r="D373" t="s">
        <v>1353</v>
      </c>
      <c r="E373" t="s">
        <v>1353</v>
      </c>
      <c r="F373" t="s">
        <v>1353</v>
      </c>
    </row>
    <row r="374" spans="1:6" x14ac:dyDescent="0.2">
      <c r="A374">
        <v>27</v>
      </c>
      <c r="B374" t="s">
        <v>1353</v>
      </c>
      <c r="C374" t="s">
        <v>1353</v>
      </c>
      <c r="D374" t="s">
        <v>1353</v>
      </c>
      <c r="E374" t="s">
        <v>1353</v>
      </c>
      <c r="F374" t="s">
        <v>1353</v>
      </c>
    </row>
    <row r="375" spans="1:6" x14ac:dyDescent="0.2">
      <c r="A375">
        <v>27</v>
      </c>
      <c r="B375" t="s">
        <v>1352</v>
      </c>
      <c r="C375" t="s">
        <v>1352</v>
      </c>
      <c r="D375" t="s">
        <v>1352</v>
      </c>
      <c r="E375" t="s">
        <v>1352</v>
      </c>
      <c r="F375" t="s">
        <v>1352</v>
      </c>
    </row>
    <row r="376" spans="1:6" x14ac:dyDescent="0.2">
      <c r="A376">
        <v>27</v>
      </c>
      <c r="B376" t="s">
        <v>1356</v>
      </c>
      <c r="C376" t="s">
        <v>1356</v>
      </c>
      <c r="D376" t="s">
        <v>1356</v>
      </c>
      <c r="E376" t="s">
        <v>1356</v>
      </c>
      <c r="F376" t="s">
        <v>1356</v>
      </c>
    </row>
    <row r="377" spans="1:6" x14ac:dyDescent="0.2">
      <c r="A377">
        <v>27</v>
      </c>
      <c r="B377" t="s">
        <v>1352</v>
      </c>
      <c r="C377" t="s">
        <v>1352</v>
      </c>
      <c r="D377" t="s">
        <v>1352</v>
      </c>
      <c r="E377" t="s">
        <v>1352</v>
      </c>
      <c r="F377" t="s">
        <v>1352</v>
      </c>
    </row>
    <row r="378" spans="1:6" x14ac:dyDescent="0.2">
      <c r="A378">
        <v>27</v>
      </c>
      <c r="B378" t="s">
        <v>1353</v>
      </c>
      <c r="C378" t="s">
        <v>1353</v>
      </c>
      <c r="D378" t="s">
        <v>1353</v>
      </c>
      <c r="E378" t="s">
        <v>1353</v>
      </c>
      <c r="F378" t="s">
        <v>202</v>
      </c>
    </row>
    <row r="379" spans="1:6" x14ac:dyDescent="0.2">
      <c r="A379">
        <v>27</v>
      </c>
      <c r="B379" t="s">
        <v>1353</v>
      </c>
      <c r="C379" t="s">
        <v>1353</v>
      </c>
      <c r="D379" t="s">
        <v>1353</v>
      </c>
      <c r="E379" t="s">
        <v>1353</v>
      </c>
      <c r="F379" t="s">
        <v>1353</v>
      </c>
    </row>
    <row r="380" spans="1:6" x14ac:dyDescent="0.2">
      <c r="A380">
        <v>27.7</v>
      </c>
      <c r="B380" t="s">
        <v>1353</v>
      </c>
      <c r="C380" t="s">
        <v>1353</v>
      </c>
      <c r="D380" t="s">
        <v>1353</v>
      </c>
      <c r="E380" t="s">
        <v>1353</v>
      </c>
      <c r="F380" t="s">
        <v>1353</v>
      </c>
    </row>
    <row r="381" spans="1:6" x14ac:dyDescent="0.2">
      <c r="A381">
        <v>28</v>
      </c>
      <c r="B381" t="s">
        <v>1353</v>
      </c>
      <c r="C381" t="s">
        <v>1353</v>
      </c>
      <c r="D381" t="s">
        <v>1353</v>
      </c>
      <c r="E381" t="s">
        <v>1353</v>
      </c>
      <c r="F381" t="s">
        <v>1353</v>
      </c>
    </row>
    <row r="382" spans="1:6" x14ac:dyDescent="0.2">
      <c r="A382">
        <v>28</v>
      </c>
      <c r="B382" t="s">
        <v>1353</v>
      </c>
      <c r="C382" t="s">
        <v>1353</v>
      </c>
      <c r="D382" t="s">
        <v>1353</v>
      </c>
      <c r="E382" t="s">
        <v>1353</v>
      </c>
      <c r="F382" t="s">
        <v>1353</v>
      </c>
    </row>
    <row r="383" spans="1:6" x14ac:dyDescent="0.2">
      <c r="A383">
        <v>28</v>
      </c>
      <c r="B383" t="s">
        <v>1356</v>
      </c>
      <c r="C383" t="s">
        <v>1356</v>
      </c>
      <c r="D383" t="s">
        <v>1356</v>
      </c>
      <c r="E383" t="s">
        <v>202</v>
      </c>
      <c r="F383" t="s">
        <v>202</v>
      </c>
    </row>
    <row r="384" spans="1:6" x14ac:dyDescent="0.2">
      <c r="A384">
        <v>28</v>
      </c>
      <c r="B384" t="s">
        <v>1353</v>
      </c>
      <c r="C384" t="s">
        <v>1353</v>
      </c>
      <c r="D384" t="s">
        <v>1353</v>
      </c>
      <c r="E384" t="s">
        <v>1353</v>
      </c>
      <c r="F384" t="s">
        <v>1353</v>
      </c>
    </row>
    <row r="385" spans="1:6" x14ac:dyDescent="0.2">
      <c r="A385">
        <v>28</v>
      </c>
      <c r="B385" t="s">
        <v>1353</v>
      </c>
      <c r="C385" t="s">
        <v>1353</v>
      </c>
      <c r="D385" t="s">
        <v>1353</v>
      </c>
      <c r="E385" t="s">
        <v>1353</v>
      </c>
      <c r="F385" t="s">
        <v>1353</v>
      </c>
    </row>
    <row r="386" spans="1:6" x14ac:dyDescent="0.2">
      <c r="A386">
        <v>29</v>
      </c>
      <c r="B386" t="s">
        <v>1353</v>
      </c>
      <c r="C386" t="s">
        <v>1353</v>
      </c>
      <c r="D386" t="s">
        <v>1353</v>
      </c>
      <c r="E386" t="s">
        <v>1353</v>
      </c>
      <c r="F386" t="s">
        <v>1353</v>
      </c>
    </row>
    <row r="387" spans="1:6" x14ac:dyDescent="0.2">
      <c r="A387">
        <v>30</v>
      </c>
      <c r="B387" t="s">
        <v>1353</v>
      </c>
      <c r="C387" t="s">
        <v>1353</v>
      </c>
      <c r="D387" t="s">
        <v>1353</v>
      </c>
      <c r="E387" t="s">
        <v>1353</v>
      </c>
      <c r="F387" t="s">
        <v>1353</v>
      </c>
    </row>
    <row r="388" spans="1:6" x14ac:dyDescent="0.2">
      <c r="A388">
        <v>30</v>
      </c>
      <c r="B388" t="s">
        <v>1353</v>
      </c>
      <c r="C388" t="s">
        <v>1353</v>
      </c>
      <c r="D388" t="s">
        <v>1353</v>
      </c>
      <c r="E388" t="s">
        <v>1353</v>
      </c>
      <c r="F388" t="s">
        <v>1353</v>
      </c>
    </row>
    <row r="389" spans="1:6" x14ac:dyDescent="0.2">
      <c r="A389">
        <v>30</v>
      </c>
      <c r="B389" t="s">
        <v>1353</v>
      </c>
      <c r="C389" t="s">
        <v>1353</v>
      </c>
      <c r="D389" t="s">
        <v>1352</v>
      </c>
      <c r="E389" t="s">
        <v>1356</v>
      </c>
      <c r="F389" t="s">
        <v>1352</v>
      </c>
    </row>
    <row r="390" spans="1:6" x14ac:dyDescent="0.2">
      <c r="A390">
        <v>30</v>
      </c>
      <c r="B390" t="s">
        <v>1357</v>
      </c>
      <c r="C390" t="s">
        <v>1353</v>
      </c>
      <c r="D390" t="s">
        <v>1356</v>
      </c>
      <c r="E390" t="s">
        <v>1356</v>
      </c>
      <c r="F390" t="s">
        <v>1352</v>
      </c>
    </row>
    <row r="391" spans="1:6" x14ac:dyDescent="0.2">
      <c r="A391">
        <v>30</v>
      </c>
      <c r="B391" t="s">
        <v>1353</v>
      </c>
      <c r="C391" t="s">
        <v>1353</v>
      </c>
      <c r="D391" t="s">
        <v>1353</v>
      </c>
      <c r="E391" t="s">
        <v>1353</v>
      </c>
      <c r="F391" t="s">
        <v>1353</v>
      </c>
    </row>
    <row r="392" spans="1:6" x14ac:dyDescent="0.2">
      <c r="A392">
        <v>30</v>
      </c>
      <c r="B392" t="s">
        <v>1353</v>
      </c>
      <c r="C392" t="s">
        <v>1353</v>
      </c>
      <c r="D392" t="s">
        <v>1353</v>
      </c>
      <c r="E392" t="s">
        <v>1353</v>
      </c>
      <c r="F392" t="s">
        <v>1353</v>
      </c>
    </row>
    <row r="393" spans="1:6" x14ac:dyDescent="0.2">
      <c r="A393">
        <v>30</v>
      </c>
      <c r="B393" t="s">
        <v>1353</v>
      </c>
      <c r="C393" t="s">
        <v>1353</v>
      </c>
      <c r="D393" t="s">
        <v>1353</v>
      </c>
      <c r="E393" t="s">
        <v>1353</v>
      </c>
      <c r="F393" t="s">
        <v>1353</v>
      </c>
    </row>
    <row r="394" spans="1:6" x14ac:dyDescent="0.2">
      <c r="A394">
        <v>30</v>
      </c>
      <c r="B394" t="s">
        <v>1353</v>
      </c>
      <c r="C394" t="s">
        <v>1353</v>
      </c>
      <c r="D394" t="s">
        <v>1353</v>
      </c>
      <c r="E394" t="s">
        <v>1353</v>
      </c>
      <c r="F394" t="s">
        <v>202</v>
      </c>
    </row>
    <row r="395" spans="1:6" x14ac:dyDescent="0.2">
      <c r="A395">
        <v>30</v>
      </c>
      <c r="B395" t="s">
        <v>1353</v>
      </c>
      <c r="C395" t="s">
        <v>1353</v>
      </c>
      <c r="D395" t="s">
        <v>1353</v>
      </c>
      <c r="E395" t="s">
        <v>1353</v>
      </c>
      <c r="F395" t="s">
        <v>1353</v>
      </c>
    </row>
    <row r="396" spans="1:6" x14ac:dyDescent="0.2">
      <c r="A396">
        <v>31</v>
      </c>
      <c r="B396" t="s">
        <v>1367</v>
      </c>
      <c r="C396" t="s">
        <v>1367</v>
      </c>
      <c r="D396" t="s">
        <v>1367</v>
      </c>
      <c r="E396" t="s">
        <v>1367</v>
      </c>
      <c r="F396" t="s">
        <v>1367</v>
      </c>
    </row>
    <row r="397" spans="1:6" x14ac:dyDescent="0.2">
      <c r="A397">
        <v>31</v>
      </c>
      <c r="B397" t="s">
        <v>1353</v>
      </c>
      <c r="C397" t="s">
        <v>1353</v>
      </c>
      <c r="D397" t="s">
        <v>199</v>
      </c>
      <c r="E397" t="s">
        <v>1353</v>
      </c>
      <c r="F397" t="s">
        <v>1353</v>
      </c>
    </row>
    <row r="398" spans="1:6" x14ac:dyDescent="0.2">
      <c r="A398">
        <v>31</v>
      </c>
      <c r="B398" t="s">
        <v>1352</v>
      </c>
      <c r="C398" t="s">
        <v>1352</v>
      </c>
      <c r="D398" t="s">
        <v>1352</v>
      </c>
      <c r="E398" t="s">
        <v>1352</v>
      </c>
      <c r="F398" t="s">
        <v>199</v>
      </c>
    </row>
    <row r="399" spans="1:6" x14ac:dyDescent="0.2">
      <c r="A399">
        <v>31.3</v>
      </c>
      <c r="B399" t="s">
        <v>1371</v>
      </c>
      <c r="C399" t="s">
        <v>1371</v>
      </c>
      <c r="D399" t="s">
        <v>1371</v>
      </c>
      <c r="E399" t="s">
        <v>1371</v>
      </c>
      <c r="F399" t="s">
        <v>1371</v>
      </c>
    </row>
    <row r="400" spans="1:6" x14ac:dyDescent="0.2">
      <c r="A400">
        <v>32</v>
      </c>
      <c r="B400" t="s">
        <v>1353</v>
      </c>
      <c r="C400" t="s">
        <v>1353</v>
      </c>
      <c r="D400" t="s">
        <v>1353</v>
      </c>
      <c r="E400" t="s">
        <v>1353</v>
      </c>
      <c r="F400" t="s">
        <v>1353</v>
      </c>
    </row>
    <row r="401" spans="1:6" x14ac:dyDescent="0.2">
      <c r="A401">
        <v>32.4</v>
      </c>
      <c r="B401" t="s">
        <v>1353</v>
      </c>
      <c r="C401" t="s">
        <v>1353</v>
      </c>
      <c r="D401" t="s">
        <v>1353</v>
      </c>
      <c r="E401" t="s">
        <v>1353</v>
      </c>
      <c r="F401" t="s">
        <v>1353</v>
      </c>
    </row>
    <row r="402" spans="1:6" x14ac:dyDescent="0.2">
      <c r="A402">
        <v>33</v>
      </c>
      <c r="B402" t="s">
        <v>199</v>
      </c>
      <c r="C402" t="s">
        <v>1353</v>
      </c>
      <c r="D402" t="s">
        <v>1353</v>
      </c>
      <c r="E402" t="s">
        <v>1353</v>
      </c>
      <c r="F402" t="s">
        <v>202</v>
      </c>
    </row>
    <row r="403" spans="1:6" x14ac:dyDescent="0.2">
      <c r="A403">
        <v>33</v>
      </c>
      <c r="B403" t="s">
        <v>202</v>
      </c>
      <c r="C403" t="s">
        <v>1353</v>
      </c>
      <c r="D403" t="s">
        <v>202</v>
      </c>
      <c r="E403" t="s">
        <v>202</v>
      </c>
      <c r="F403" t="s">
        <v>202</v>
      </c>
    </row>
    <row r="404" spans="1:6" x14ac:dyDescent="0.2">
      <c r="A404">
        <v>33</v>
      </c>
      <c r="B404" t="s">
        <v>1353</v>
      </c>
      <c r="C404" t="s">
        <v>1353</v>
      </c>
      <c r="D404" t="s">
        <v>1353</v>
      </c>
      <c r="E404" t="s">
        <v>1353</v>
      </c>
      <c r="F404" t="s">
        <v>1353</v>
      </c>
    </row>
    <row r="405" spans="1:6" x14ac:dyDescent="0.2">
      <c r="A405">
        <v>34</v>
      </c>
      <c r="B405" t="s">
        <v>1353</v>
      </c>
      <c r="C405" t="s">
        <v>1353</v>
      </c>
      <c r="D405" t="s">
        <v>1353</v>
      </c>
      <c r="E405" t="s">
        <v>1353</v>
      </c>
      <c r="F405" t="s">
        <v>1353</v>
      </c>
    </row>
    <row r="406" spans="1:6" x14ac:dyDescent="0.2">
      <c r="A406">
        <v>34</v>
      </c>
      <c r="B406" t="s">
        <v>191</v>
      </c>
      <c r="C406" t="s">
        <v>1353</v>
      </c>
      <c r="D406" t="s">
        <v>1353</v>
      </c>
      <c r="E406" t="s">
        <v>1353</v>
      </c>
      <c r="F406" t="s">
        <v>1353</v>
      </c>
    </row>
    <row r="407" spans="1:6" x14ac:dyDescent="0.2">
      <c r="A407">
        <v>35</v>
      </c>
      <c r="B407" t="s">
        <v>1353</v>
      </c>
      <c r="C407" t="s">
        <v>1353</v>
      </c>
      <c r="D407" t="s">
        <v>1353</v>
      </c>
      <c r="E407" t="s">
        <v>1353</v>
      </c>
      <c r="F407" t="s">
        <v>1353</v>
      </c>
    </row>
    <row r="408" spans="1:6" x14ac:dyDescent="0.2">
      <c r="A408">
        <v>35</v>
      </c>
      <c r="B408" t="s">
        <v>1353</v>
      </c>
      <c r="C408" t="s">
        <v>1353</v>
      </c>
      <c r="D408" t="s">
        <v>1353</v>
      </c>
      <c r="E408" t="s">
        <v>1353</v>
      </c>
      <c r="F408" t="s">
        <v>1353</v>
      </c>
    </row>
    <row r="409" spans="1:6" x14ac:dyDescent="0.2">
      <c r="A409">
        <v>35</v>
      </c>
      <c r="B409" t="s">
        <v>1353</v>
      </c>
      <c r="C409" t="s">
        <v>1353</v>
      </c>
      <c r="D409" t="s">
        <v>1353</v>
      </c>
      <c r="E409" t="s">
        <v>1353</v>
      </c>
      <c r="F409" t="s">
        <v>191</v>
      </c>
    </row>
    <row r="410" spans="1:6" x14ac:dyDescent="0.2">
      <c r="A410">
        <v>35</v>
      </c>
      <c r="B410" t="s">
        <v>1353</v>
      </c>
      <c r="C410" t="s">
        <v>195</v>
      </c>
      <c r="D410" t="s">
        <v>1353</v>
      </c>
      <c r="E410" t="s">
        <v>1353</v>
      </c>
      <c r="F410" t="s">
        <v>1353</v>
      </c>
    </row>
    <row r="411" spans="1:6" x14ac:dyDescent="0.2">
      <c r="A411">
        <v>35</v>
      </c>
      <c r="B411" t="s">
        <v>1353</v>
      </c>
      <c r="C411" t="s">
        <v>1353</v>
      </c>
      <c r="D411" t="s">
        <v>1353</v>
      </c>
      <c r="E411" t="s">
        <v>1353</v>
      </c>
      <c r="F411" t="s">
        <v>1353</v>
      </c>
    </row>
    <row r="412" spans="1:6" x14ac:dyDescent="0.2">
      <c r="A412">
        <v>35</v>
      </c>
      <c r="B412" t="s">
        <v>1353</v>
      </c>
      <c r="C412" t="s">
        <v>1353</v>
      </c>
      <c r="D412" t="s">
        <v>1353</v>
      </c>
      <c r="E412" t="s">
        <v>1353</v>
      </c>
      <c r="F412" t="s">
        <v>1353</v>
      </c>
    </row>
    <row r="413" spans="1:6" x14ac:dyDescent="0.2">
      <c r="A413">
        <v>35</v>
      </c>
      <c r="B413" t="s">
        <v>1353</v>
      </c>
      <c r="C413" t="s">
        <v>1353</v>
      </c>
      <c r="D413" t="s">
        <v>1353</v>
      </c>
      <c r="E413" t="s">
        <v>1353</v>
      </c>
      <c r="F413" t="s">
        <v>1353</v>
      </c>
    </row>
    <row r="414" spans="1:6" x14ac:dyDescent="0.2">
      <c r="A414">
        <v>36</v>
      </c>
      <c r="B414" t="s">
        <v>1353</v>
      </c>
      <c r="C414" t="s">
        <v>1353</v>
      </c>
      <c r="D414" t="s">
        <v>1353</v>
      </c>
      <c r="E414" t="s">
        <v>1353</v>
      </c>
      <c r="F414" t="s">
        <v>1353</v>
      </c>
    </row>
    <row r="415" spans="1:6" x14ac:dyDescent="0.2">
      <c r="A415">
        <v>37</v>
      </c>
      <c r="B415" t="s">
        <v>1367</v>
      </c>
      <c r="C415" t="s">
        <v>1367</v>
      </c>
      <c r="D415" t="s">
        <v>1367</v>
      </c>
      <c r="E415" t="s">
        <v>1367</v>
      </c>
      <c r="F415" t="s">
        <v>1367</v>
      </c>
    </row>
    <row r="416" spans="1:6" x14ac:dyDescent="0.2">
      <c r="A416">
        <v>38</v>
      </c>
      <c r="B416" t="s">
        <v>1352</v>
      </c>
      <c r="C416" t="s">
        <v>195</v>
      </c>
      <c r="D416" t="s">
        <v>195</v>
      </c>
      <c r="E416" t="s">
        <v>1352</v>
      </c>
      <c r="F416" t="s">
        <v>195</v>
      </c>
    </row>
    <row r="417" spans="1:6" x14ac:dyDescent="0.2">
      <c r="A417">
        <v>40</v>
      </c>
      <c r="B417" t="s">
        <v>1353</v>
      </c>
      <c r="C417" t="s">
        <v>1353</v>
      </c>
      <c r="D417" t="s">
        <v>1353</v>
      </c>
      <c r="E417" t="s">
        <v>1353</v>
      </c>
      <c r="F417" t="s">
        <v>1353</v>
      </c>
    </row>
    <row r="418" spans="1:6" x14ac:dyDescent="0.2">
      <c r="A418">
        <v>40</v>
      </c>
      <c r="B418" t="s">
        <v>1357</v>
      </c>
      <c r="C418" t="s">
        <v>1357</v>
      </c>
      <c r="D418" t="s">
        <v>1357</v>
      </c>
      <c r="E418" t="s">
        <v>1357</v>
      </c>
      <c r="F418" t="s">
        <v>1357</v>
      </c>
    </row>
    <row r="419" spans="1:6" x14ac:dyDescent="0.2">
      <c r="A419">
        <v>40</v>
      </c>
      <c r="B419" t="s">
        <v>1353</v>
      </c>
      <c r="C419" t="s">
        <v>1353</v>
      </c>
      <c r="D419" t="s">
        <v>191</v>
      </c>
      <c r="E419" t="s">
        <v>1353</v>
      </c>
      <c r="F419" t="s">
        <v>1353</v>
      </c>
    </row>
    <row r="420" spans="1:6" x14ac:dyDescent="0.2">
      <c r="A420">
        <v>40</v>
      </c>
      <c r="B420" t="s">
        <v>1352</v>
      </c>
      <c r="C420" t="s">
        <v>1352</v>
      </c>
      <c r="D420" t="s">
        <v>1353</v>
      </c>
      <c r="E420" t="s">
        <v>1353</v>
      </c>
      <c r="F420" t="s">
        <v>191</v>
      </c>
    </row>
    <row r="421" spans="1:6" x14ac:dyDescent="0.2">
      <c r="A421">
        <v>41</v>
      </c>
      <c r="B421" t="s">
        <v>1353</v>
      </c>
      <c r="C421" t="s">
        <v>1353</v>
      </c>
      <c r="D421" t="s">
        <v>1353</v>
      </c>
      <c r="E421" t="s">
        <v>1353</v>
      </c>
      <c r="F421" t="s">
        <v>1353</v>
      </c>
    </row>
    <row r="422" spans="1:6" x14ac:dyDescent="0.2">
      <c r="A422">
        <v>42</v>
      </c>
      <c r="B422" t="s">
        <v>1352</v>
      </c>
      <c r="C422" t="s">
        <v>1352</v>
      </c>
      <c r="D422" t="s">
        <v>1352</v>
      </c>
      <c r="E422" t="s">
        <v>1352</v>
      </c>
      <c r="F422" t="s">
        <v>1352</v>
      </c>
    </row>
    <row r="423" spans="1:6" x14ac:dyDescent="0.2">
      <c r="A423">
        <v>45</v>
      </c>
      <c r="B423" t="s">
        <v>1352</v>
      </c>
      <c r="C423" t="s">
        <v>1352</v>
      </c>
      <c r="D423" t="s">
        <v>1353</v>
      </c>
      <c r="E423" t="s">
        <v>1374</v>
      </c>
      <c r="F423" t="s">
        <v>1374</v>
      </c>
    </row>
    <row r="424" spans="1:6" x14ac:dyDescent="0.2">
      <c r="A424">
        <v>48</v>
      </c>
      <c r="B424" t="s">
        <v>1353</v>
      </c>
      <c r="C424" t="s">
        <v>1353</v>
      </c>
      <c r="D424" t="s">
        <v>1353</v>
      </c>
      <c r="E424" t="s">
        <v>1353</v>
      </c>
      <c r="F424" t="s">
        <v>1353</v>
      </c>
    </row>
    <row r="425" spans="1:6" x14ac:dyDescent="0.2">
      <c r="A425">
        <v>48</v>
      </c>
      <c r="B425" t="s">
        <v>1353</v>
      </c>
      <c r="C425" t="s">
        <v>1353</v>
      </c>
      <c r="D425" t="s">
        <v>1353</v>
      </c>
      <c r="E425" t="s">
        <v>1353</v>
      </c>
      <c r="F425" t="s">
        <v>191</v>
      </c>
    </row>
    <row r="426" spans="1:6" x14ac:dyDescent="0.2">
      <c r="A426">
        <v>50</v>
      </c>
      <c r="B426" t="s">
        <v>1367</v>
      </c>
      <c r="C426" t="s">
        <v>1353</v>
      </c>
      <c r="D426" t="s">
        <v>1353</v>
      </c>
      <c r="E426" t="s">
        <v>202</v>
      </c>
      <c r="F426" t="s">
        <v>202</v>
      </c>
    </row>
    <row r="427" spans="1:6" x14ac:dyDescent="0.2">
      <c r="A427">
        <v>50</v>
      </c>
      <c r="B427" t="s">
        <v>1353</v>
      </c>
      <c r="C427" t="s">
        <v>1353</v>
      </c>
      <c r="D427" t="s">
        <v>1353</v>
      </c>
      <c r="E427" t="s">
        <v>191</v>
      </c>
      <c r="F427" t="s">
        <v>191</v>
      </c>
    </row>
    <row r="428" spans="1:6" x14ac:dyDescent="0.2">
      <c r="A428">
        <v>50</v>
      </c>
      <c r="B428" t="s">
        <v>1353</v>
      </c>
      <c r="C428" t="s">
        <v>1353</v>
      </c>
      <c r="D428" t="s">
        <v>1353</v>
      </c>
      <c r="E428" t="s">
        <v>1353</v>
      </c>
      <c r="F428" t="s">
        <v>1353</v>
      </c>
    </row>
    <row r="429" spans="1:6" x14ac:dyDescent="0.2">
      <c r="A429">
        <v>51</v>
      </c>
      <c r="B429" t="s">
        <v>1353</v>
      </c>
      <c r="C429" t="s">
        <v>1353</v>
      </c>
      <c r="D429" t="s">
        <v>1353</v>
      </c>
      <c r="E429" t="s">
        <v>1353</v>
      </c>
      <c r="F429" t="s">
        <v>1353</v>
      </c>
    </row>
    <row r="430" spans="1:6" x14ac:dyDescent="0.2">
      <c r="A430">
        <v>51</v>
      </c>
      <c r="B430" t="s">
        <v>1353</v>
      </c>
      <c r="C430" t="s">
        <v>1353</v>
      </c>
      <c r="D430" t="s">
        <v>1353</v>
      </c>
      <c r="E430" t="s">
        <v>1353</v>
      </c>
      <c r="F430" t="s">
        <v>1353</v>
      </c>
    </row>
    <row r="431" spans="1:6" x14ac:dyDescent="0.2">
      <c r="A431">
        <v>60</v>
      </c>
      <c r="B431" t="s">
        <v>1353</v>
      </c>
      <c r="C431" t="s">
        <v>1353</v>
      </c>
      <c r="D431" t="s">
        <v>1353</v>
      </c>
      <c r="E431" t="s">
        <v>1353</v>
      </c>
      <c r="F431" t="s">
        <v>1353</v>
      </c>
    </row>
    <row r="432" spans="1:6" x14ac:dyDescent="0.2">
      <c r="A432">
        <v>60</v>
      </c>
      <c r="B432" t="s">
        <v>1353</v>
      </c>
      <c r="C432" t="s">
        <v>1353</v>
      </c>
      <c r="D432" t="s">
        <v>1353</v>
      </c>
      <c r="E432" t="s">
        <v>1353</v>
      </c>
      <c r="F432" t="s">
        <v>1353</v>
      </c>
    </row>
    <row r="433" spans="1:6" x14ac:dyDescent="0.2">
      <c r="A433">
        <v>60</v>
      </c>
      <c r="B433" t="s">
        <v>1353</v>
      </c>
      <c r="C433" t="s">
        <v>1353</v>
      </c>
      <c r="D433" t="s">
        <v>1353</v>
      </c>
      <c r="E433" t="s">
        <v>1353</v>
      </c>
      <c r="F433" t="s">
        <v>199</v>
      </c>
    </row>
    <row r="434" spans="1:6" x14ac:dyDescent="0.2">
      <c r="A434">
        <v>60</v>
      </c>
      <c r="B434" t="s">
        <v>1352</v>
      </c>
      <c r="C434" t="s">
        <v>1352</v>
      </c>
      <c r="D434" t="s">
        <v>1352</v>
      </c>
      <c r="E434" t="s">
        <v>1352</v>
      </c>
      <c r="F434" t="s">
        <v>1352</v>
      </c>
    </row>
  </sheetData>
  <mergeCells count="13">
    <mergeCell ref="H1:R1"/>
    <mergeCell ref="H8:S8"/>
    <mergeCell ref="H12:I12"/>
    <mergeCell ref="K12:M12"/>
    <mergeCell ref="K13:L13"/>
    <mergeCell ref="K19:L19"/>
    <mergeCell ref="K20:L20"/>
    <mergeCell ref="K21:L21"/>
    <mergeCell ref="K14:L14"/>
    <mergeCell ref="K15:L15"/>
    <mergeCell ref="K16:L16"/>
    <mergeCell ref="K17:L17"/>
    <mergeCell ref="K18:L18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9E74-22C3-4093-A930-16E7B9C4C1CC}">
  <dimension ref="A1:T223"/>
  <sheetViews>
    <sheetView topLeftCell="F1" workbookViewId="0">
      <selection activeCell="J30" sqref="J30"/>
    </sheetView>
  </sheetViews>
  <sheetFormatPr baseColWidth="10" defaultColWidth="9.1640625" defaultRowHeight="14" x14ac:dyDescent="0.15"/>
  <cols>
    <col min="1" max="1" width="19.5" style="57" customWidth="1"/>
    <col min="2" max="2" width="43" style="57" customWidth="1"/>
    <col min="3" max="7" width="33.83203125" style="57" customWidth="1"/>
    <col min="8" max="8" width="9.1640625" style="57"/>
    <col min="9" max="9" width="34.83203125" style="57" customWidth="1"/>
    <col min="10" max="10" width="14.6640625" style="57" customWidth="1"/>
    <col min="11" max="11" width="9.1640625" style="57" bestFit="1" customWidth="1"/>
    <col min="12" max="12" width="12.6640625" style="57" customWidth="1"/>
    <col min="13" max="13" width="16.33203125" style="57" customWidth="1"/>
    <col min="14" max="14" width="17.33203125" style="57" customWidth="1"/>
    <col min="15" max="15" width="13.6640625" style="57" customWidth="1"/>
    <col min="16" max="16" width="13.83203125" style="57" customWidth="1"/>
    <col min="17" max="17" width="18.5" style="57" customWidth="1"/>
    <col min="18" max="18" width="15" style="57" customWidth="1"/>
    <col min="19" max="19" width="9.33203125" style="57" bestFit="1" customWidth="1"/>
    <col min="20" max="20" width="17.1640625" style="57" customWidth="1"/>
    <col min="21" max="16384" width="9.1640625" style="57"/>
  </cols>
  <sheetData>
    <row r="1" spans="1:20" ht="15" x14ac:dyDescent="0.2">
      <c r="A1" s="54" t="s">
        <v>1414</v>
      </c>
      <c r="B1" s="54" t="s">
        <v>1454</v>
      </c>
      <c r="C1" s="55" t="s">
        <v>1455</v>
      </c>
      <c r="D1" s="55" t="s">
        <v>1456</v>
      </c>
      <c r="E1" s="56" t="s">
        <v>1457</v>
      </c>
      <c r="F1" s="55" t="s">
        <v>1458</v>
      </c>
      <c r="G1" s="55" t="s">
        <v>1459</v>
      </c>
      <c r="I1" s="79" t="s">
        <v>11</v>
      </c>
      <c r="J1" s="80"/>
      <c r="K1" s="80"/>
      <c r="L1" s="80"/>
      <c r="M1" s="80"/>
      <c r="N1" s="80"/>
      <c r="O1" s="80"/>
      <c r="P1" s="80"/>
      <c r="Q1" s="80"/>
      <c r="R1" s="80"/>
      <c r="S1" s="81"/>
      <c r="T1"/>
    </row>
    <row r="2" spans="1:20" ht="15" x14ac:dyDescent="0.2">
      <c r="A2" s="43" t="s">
        <v>15</v>
      </c>
      <c r="B2" s="43">
        <v>0</v>
      </c>
      <c r="C2" s="43" t="s">
        <v>1460</v>
      </c>
      <c r="D2" s="43" t="s">
        <v>1460</v>
      </c>
      <c r="E2" s="43" t="s">
        <v>1460</v>
      </c>
      <c r="F2" s="43" t="s">
        <v>1460</v>
      </c>
      <c r="G2" s="43" t="s">
        <v>1460</v>
      </c>
      <c r="I2" s="18"/>
      <c r="J2" s="18" t="s">
        <v>17</v>
      </c>
      <c r="K2" s="18" t="s">
        <v>18</v>
      </c>
      <c r="L2" s="18" t="s">
        <v>19</v>
      </c>
      <c r="M2" s="18" t="s">
        <v>20</v>
      </c>
      <c r="N2" s="18" t="s">
        <v>21</v>
      </c>
      <c r="O2" s="18" t="s">
        <v>22</v>
      </c>
      <c r="P2" s="18" t="s">
        <v>23</v>
      </c>
      <c r="Q2" s="18" t="s">
        <v>24</v>
      </c>
      <c r="R2" s="19" t="s">
        <v>25</v>
      </c>
      <c r="S2" s="20" t="s">
        <v>26</v>
      </c>
      <c r="T2"/>
    </row>
    <row r="3" spans="1:20" ht="15" x14ac:dyDescent="0.2">
      <c r="A3" s="43" t="s">
        <v>15</v>
      </c>
      <c r="B3" s="43">
        <v>0</v>
      </c>
      <c r="C3" s="43" t="s">
        <v>1460</v>
      </c>
      <c r="D3" s="43" t="s">
        <v>1460</v>
      </c>
      <c r="E3" s="43" t="s">
        <v>1460</v>
      </c>
      <c r="F3" s="43" t="s">
        <v>1460</v>
      </c>
      <c r="G3" s="43" t="s">
        <v>1460</v>
      </c>
      <c r="I3" s="10" t="s">
        <v>32</v>
      </c>
      <c r="J3" s="24" cm="1">
        <f t="array" ref="J3">SUM(COUNTIF(C:G,{"A.*","B.*"}))/S10</f>
        <v>0.69825206991720334</v>
      </c>
      <c r="K3" s="21">
        <f>COUNTIF(C:G,"S.*")/S10</f>
        <v>0.11775528978840846</v>
      </c>
      <c r="L3" s="21">
        <f>SUM(COUNTIF(C:G,"C.*")/S10)</f>
        <v>0.15363385464581417</v>
      </c>
      <c r="M3" s="21">
        <f>COUNTIF(C:G,"R.*")/S10</f>
        <v>2.2079116835326588E-2</v>
      </c>
      <c r="N3" s="21"/>
      <c r="O3" s="21">
        <v>0</v>
      </c>
      <c r="P3" s="21">
        <f>COUNTIF(C:G,"Q.*")/S10</f>
        <v>8.2796688132474698E-3</v>
      </c>
      <c r="Q3" s="21"/>
      <c r="R3" s="21"/>
      <c r="S3" s="21">
        <f>SUM(J3:R3)</f>
        <v>1</v>
      </c>
      <c r="T3"/>
    </row>
    <row r="4" spans="1:20" ht="16" x14ac:dyDescent="0.2">
      <c r="A4" s="43" t="s">
        <v>15</v>
      </c>
      <c r="B4" s="43">
        <v>0</v>
      </c>
      <c r="C4" s="43" t="s">
        <v>1460</v>
      </c>
      <c r="D4" s="43" t="s">
        <v>1460</v>
      </c>
      <c r="E4" s="43" t="s">
        <v>1460</v>
      </c>
      <c r="F4" s="43" t="s">
        <v>1460</v>
      </c>
      <c r="G4" s="43" t="s">
        <v>1460</v>
      </c>
      <c r="I4" s="29" t="s">
        <v>38</v>
      </c>
      <c r="J4" s="30" cm="1">
        <f t="array" ref="J4">SUM(_xlfn.BYCOL(C:G,_xlfn.LAMBDA(_xlpm.col,SUMIF(_xlpm.col,"A.*",B:B)+SUMIF(_xlpm.col,"B.*",B:B))))/J10</f>
        <v>14.330764163372862</v>
      </c>
      <c r="K4" s="31" cm="1">
        <f t="array" ref="K4">SUM(_xlfn.BYCOL(C:G,_xlfn.LAMBDA(_xlpm.col,SUMIF(_xlpm.col,"S.*",B:B))))/K10</f>
        <v>1.1765625</v>
      </c>
      <c r="L4" s="32" cm="1">
        <f t="array" ref="L4">SUM(_xlfn.BYCOL(C:G,_xlfn.LAMBDA(_xlpm.col,SUMIF(_xlpm.col,"C.*",B:B))))/L10</f>
        <v>15.517365269461076</v>
      </c>
      <c r="M4" s="32" cm="1">
        <f t="array" ref="M4">SUM(_xlfn.BYCOL(C:G,_xlfn.LAMBDA(_xlpm.col,SUMIF(_xlpm.col,"R.*",B:B))))/M10</f>
        <v>27.395833333333332</v>
      </c>
      <c r="N4" s="32"/>
      <c r="O4" s="32"/>
      <c r="P4" s="32" cm="1">
        <f t="array" ref="P4">SUM(_xlfn.BYCOL(C:G,_xlfn.LAMBDA(_xlpm.col,SUMIF(_xlpm.col,"Q.*",B:B))))/P10</f>
        <v>15.299999999999999</v>
      </c>
      <c r="Q4" s="32"/>
      <c r="R4" s="32"/>
      <c r="S4" s="30">
        <f>AVERAGE(J4:R4)</f>
        <v>14.744105053233454</v>
      </c>
      <c r="T4"/>
    </row>
    <row r="5" spans="1:20" ht="15" x14ac:dyDescent="0.2">
      <c r="A5" s="43" t="s">
        <v>15</v>
      </c>
      <c r="B5" s="43">
        <v>0.1</v>
      </c>
      <c r="C5" s="43" t="s">
        <v>1460</v>
      </c>
      <c r="D5" s="43" t="s">
        <v>1460</v>
      </c>
      <c r="E5" s="43" t="s">
        <v>1460</v>
      </c>
      <c r="F5" s="43" t="s">
        <v>1460</v>
      </c>
      <c r="G5" s="43" t="s">
        <v>1460</v>
      </c>
      <c r="I5" s="33" t="s">
        <v>44</v>
      </c>
      <c r="J5" s="33"/>
      <c r="K5" s="33"/>
      <c r="L5" s="39" cm="1">
        <f t="array" ref="L5">SUM(_xlfn.BYCOL(C:G,_xlfn.LAMBDA(_xlpm.col,SUMIF(_xlpm.col,"C.*",B:B)*2.54)))/L10</f>
        <v>39.414107784431145</v>
      </c>
      <c r="M5" s="33"/>
      <c r="N5" s="33"/>
      <c r="O5" s="33"/>
      <c r="P5" s="33"/>
      <c r="Q5" s="33"/>
      <c r="R5" s="33"/>
      <c r="S5" s="33"/>
      <c r="T5"/>
    </row>
    <row r="6" spans="1:20" ht="15" x14ac:dyDescent="0.2">
      <c r="A6" s="43" t="s">
        <v>15</v>
      </c>
      <c r="B6" s="43">
        <v>0.2</v>
      </c>
      <c r="C6" s="43" t="s">
        <v>1460</v>
      </c>
      <c r="D6" s="43" t="s">
        <v>1460</v>
      </c>
      <c r="E6" s="43" t="s">
        <v>1460</v>
      </c>
      <c r="F6" s="43" t="s">
        <v>1460</v>
      </c>
      <c r="G6" s="43" t="s">
        <v>1460</v>
      </c>
      <c r="I6" s="40" t="s">
        <v>47</v>
      </c>
      <c r="J6" s="40"/>
      <c r="K6" s="40"/>
      <c r="L6" s="41">
        <f>L5/L4</f>
        <v>2.5400000000000009</v>
      </c>
      <c r="M6" s="40"/>
      <c r="N6" s="40"/>
      <c r="O6" s="40"/>
      <c r="P6" s="40"/>
      <c r="Q6" s="40"/>
      <c r="R6" s="40"/>
      <c r="S6" s="40"/>
      <c r="T6"/>
    </row>
    <row r="7" spans="1:20" ht="15" x14ac:dyDescent="0.2">
      <c r="A7" s="43" t="s">
        <v>15</v>
      </c>
      <c r="B7" s="43">
        <v>0.25</v>
      </c>
      <c r="C7" s="43" t="s">
        <v>1461</v>
      </c>
      <c r="D7" s="43" t="s">
        <v>1461</v>
      </c>
      <c r="E7" s="43" t="s">
        <v>1461</v>
      </c>
      <c r="F7" s="43" t="s">
        <v>1461</v>
      </c>
      <c r="G7" s="43" t="s">
        <v>1461</v>
      </c>
      <c r="I7"/>
      <c r="J7"/>
      <c r="K7"/>
      <c r="L7" s="35"/>
      <c r="M7"/>
      <c r="N7"/>
      <c r="O7"/>
      <c r="P7"/>
      <c r="Q7"/>
      <c r="R7"/>
      <c r="S7"/>
      <c r="T7"/>
    </row>
    <row r="8" spans="1:20" ht="15" x14ac:dyDescent="0.2">
      <c r="A8" s="43" t="s">
        <v>15</v>
      </c>
      <c r="B8" s="43">
        <v>0.3</v>
      </c>
      <c r="C8" s="43" t="s">
        <v>1460</v>
      </c>
      <c r="D8" s="43" t="s">
        <v>1460</v>
      </c>
      <c r="E8" s="43" t="s">
        <v>1460</v>
      </c>
      <c r="F8" s="43" t="s">
        <v>1460</v>
      </c>
      <c r="G8" s="43" t="s">
        <v>1460</v>
      </c>
      <c r="I8" s="69" t="s">
        <v>54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0"/>
    </row>
    <row r="9" spans="1:20" ht="15" x14ac:dyDescent="0.2">
      <c r="A9" s="43" t="s">
        <v>15</v>
      </c>
      <c r="B9" s="43">
        <v>0.3</v>
      </c>
      <c r="C9" s="43" t="s">
        <v>1460</v>
      </c>
      <c r="D9" s="43" t="s">
        <v>1460</v>
      </c>
      <c r="E9" s="43" t="s">
        <v>1460</v>
      </c>
      <c r="F9" s="43" t="s">
        <v>1460</v>
      </c>
      <c r="G9" s="43" t="s">
        <v>1460</v>
      </c>
      <c r="I9" s="36"/>
      <c r="J9" s="36" t="s">
        <v>17</v>
      </c>
      <c r="K9" s="36" t="s">
        <v>18</v>
      </c>
      <c r="L9" s="36" t="s">
        <v>19</v>
      </c>
      <c r="M9" s="36" t="s">
        <v>20</v>
      </c>
      <c r="N9" s="36" t="s">
        <v>21</v>
      </c>
      <c r="O9" s="36" t="s">
        <v>22</v>
      </c>
      <c r="P9" s="36" t="s">
        <v>23</v>
      </c>
      <c r="Q9" s="36" t="s">
        <v>24</v>
      </c>
      <c r="R9" s="36" t="s">
        <v>25</v>
      </c>
      <c r="S9" s="37" t="s">
        <v>26</v>
      </c>
      <c r="T9" s="36" t="s">
        <v>59</v>
      </c>
    </row>
    <row r="10" spans="1:20" ht="15" x14ac:dyDescent="0.2">
      <c r="A10" s="43" t="s">
        <v>15</v>
      </c>
      <c r="B10" s="43">
        <v>0.3</v>
      </c>
      <c r="C10" s="43" t="s">
        <v>1460</v>
      </c>
      <c r="D10" s="43" t="s">
        <v>1460</v>
      </c>
      <c r="E10" s="43" t="s">
        <v>1462</v>
      </c>
      <c r="F10" s="43" t="s">
        <v>1460</v>
      </c>
      <c r="G10" s="43" t="s">
        <v>1460</v>
      </c>
      <c r="I10" s="4" t="s">
        <v>63</v>
      </c>
      <c r="J10" s="4" cm="1">
        <f t="array" ref="J10">SUM(COUNTIF(C:G,{"A.*","B.*"}))</f>
        <v>759</v>
      </c>
      <c r="K10" s="4">
        <f>COUNTIF(C:G,"S.*")</f>
        <v>128</v>
      </c>
      <c r="L10" s="4">
        <f>SUM(COUNTIF(C:G,"C.*"))</f>
        <v>167</v>
      </c>
      <c r="M10" s="23">
        <f>COUNTIF(C:G,"R.*")</f>
        <v>24</v>
      </c>
      <c r="N10" s="4">
        <f>COUNTIF(C:G,"U.*")</f>
        <v>0</v>
      </c>
      <c r="O10" s="4">
        <v>0</v>
      </c>
      <c r="P10" s="4">
        <f>COUNTIF(C:G,"Q.*")</f>
        <v>9</v>
      </c>
      <c r="Q10" s="4"/>
      <c r="R10" s="4"/>
      <c r="S10" s="14">
        <f>SUM(J10:R10)</f>
        <v>1087</v>
      </c>
      <c r="T10" s="4">
        <f>COUNTIFS(C2:G1000,"&lt;&gt;",C2:G1000,"&lt;&gt;OFF.*")</f>
        <v>1087</v>
      </c>
    </row>
    <row r="11" spans="1:20" x14ac:dyDescent="0.15">
      <c r="A11" s="43" t="s">
        <v>15</v>
      </c>
      <c r="B11" s="43">
        <v>0.4</v>
      </c>
      <c r="C11" s="43" t="s">
        <v>1460</v>
      </c>
      <c r="D11" s="43" t="s">
        <v>1460</v>
      </c>
      <c r="E11" s="43" t="s">
        <v>1460</v>
      </c>
      <c r="F11" s="43" t="s">
        <v>1460</v>
      </c>
      <c r="G11" s="43" t="s">
        <v>1461</v>
      </c>
    </row>
    <row r="12" spans="1:20" ht="15" x14ac:dyDescent="0.2">
      <c r="A12" s="43" t="s">
        <v>15</v>
      </c>
      <c r="B12" s="43">
        <v>0.5</v>
      </c>
      <c r="C12" s="43" t="s">
        <v>1460</v>
      </c>
      <c r="D12" s="43" t="s">
        <v>1460</v>
      </c>
      <c r="E12" s="43" t="s">
        <v>1460</v>
      </c>
      <c r="F12" s="43" t="s">
        <v>1460</v>
      </c>
      <c r="G12" s="43" t="s">
        <v>1460</v>
      </c>
      <c r="I12" s="67" t="s">
        <v>1463</v>
      </c>
      <c r="K12" s="69" t="s">
        <v>69</v>
      </c>
      <c r="L12" s="73"/>
      <c r="M12" s="70"/>
      <c r="S12" s="68"/>
    </row>
    <row r="13" spans="1:20" ht="15" x14ac:dyDescent="0.2">
      <c r="A13" s="43" t="s">
        <v>15</v>
      </c>
      <c r="B13" s="43">
        <v>0.5</v>
      </c>
      <c r="C13" s="43" t="s">
        <v>1460</v>
      </c>
      <c r="D13" s="43" t="s">
        <v>1460</v>
      </c>
      <c r="E13" s="43" t="s">
        <v>1460</v>
      </c>
      <c r="F13" s="43" t="s">
        <v>1460</v>
      </c>
      <c r="G13" s="43" t="s">
        <v>1460</v>
      </c>
      <c r="I13" s="67" t="s">
        <v>1461</v>
      </c>
      <c r="K13" s="74" t="s">
        <v>75</v>
      </c>
      <c r="L13" s="74"/>
      <c r="M13" s="36">
        <f>2*S10/COUNTIF(A2:A1000,"&lt;&gt;")</f>
        <v>9.7927927927927936</v>
      </c>
      <c r="S13" s="68"/>
    </row>
    <row r="14" spans="1:20" ht="15" x14ac:dyDescent="0.2">
      <c r="A14" s="43" t="s">
        <v>15</v>
      </c>
      <c r="B14" s="43">
        <v>0.6</v>
      </c>
      <c r="C14" s="43" t="s">
        <v>1461</v>
      </c>
      <c r="D14" s="43" t="s">
        <v>1460</v>
      </c>
      <c r="E14" s="43" t="s">
        <v>1461</v>
      </c>
      <c r="F14" s="43" t="s">
        <v>1460</v>
      </c>
      <c r="G14" s="43" t="s">
        <v>1461</v>
      </c>
      <c r="I14" s="67" t="s">
        <v>1355</v>
      </c>
      <c r="K14" s="72" t="s">
        <v>82</v>
      </c>
      <c r="L14" s="72"/>
      <c r="M14" s="4">
        <v>723</v>
      </c>
    </row>
    <row r="15" spans="1:20" ht="15" x14ac:dyDescent="0.2">
      <c r="A15" s="43" t="s">
        <v>15</v>
      </c>
      <c r="B15" s="43">
        <v>0.7</v>
      </c>
      <c r="C15" s="43" t="s">
        <v>1460</v>
      </c>
      <c r="D15" s="43" t="s">
        <v>1460</v>
      </c>
      <c r="E15" s="43" t="s">
        <v>1460</v>
      </c>
      <c r="F15" s="43" t="s">
        <v>1460</v>
      </c>
      <c r="G15" s="43" t="s">
        <v>1460</v>
      </c>
      <c r="I15" s="67" t="s">
        <v>1464</v>
      </c>
      <c r="K15" s="75" t="s">
        <v>86</v>
      </c>
      <c r="L15" s="75"/>
      <c r="M15" s="59">
        <f>COUNTIF(A2:A1000,"&lt;&gt;")</f>
        <v>222</v>
      </c>
    </row>
    <row r="16" spans="1:20" ht="15" x14ac:dyDescent="0.2">
      <c r="A16" s="43" t="s">
        <v>15</v>
      </c>
      <c r="B16" s="43">
        <v>0.7</v>
      </c>
      <c r="C16" s="43" t="s">
        <v>1460</v>
      </c>
      <c r="D16" s="43" t="s">
        <v>1460</v>
      </c>
      <c r="E16" s="43" t="s">
        <v>1460</v>
      </c>
      <c r="F16" s="43" t="s">
        <v>1460</v>
      </c>
      <c r="G16" s="43" t="s">
        <v>1460</v>
      </c>
      <c r="I16" s="67" t="s">
        <v>1371</v>
      </c>
      <c r="K16" s="72" t="s">
        <v>93</v>
      </c>
      <c r="L16" s="69"/>
      <c r="M16" s="61">
        <f>M15/M14</f>
        <v>0.30705394190871371</v>
      </c>
    </row>
    <row r="17" spans="1:13" ht="15" x14ac:dyDescent="0.2">
      <c r="A17" s="43" t="s">
        <v>15</v>
      </c>
      <c r="B17" s="43">
        <v>0.7</v>
      </c>
      <c r="C17" s="43" t="s">
        <v>1461</v>
      </c>
      <c r="D17" s="43" t="s">
        <v>1461</v>
      </c>
      <c r="E17" s="43" t="s">
        <v>1461</v>
      </c>
      <c r="F17" s="43" t="s">
        <v>1461</v>
      </c>
      <c r="G17" s="43" t="s">
        <v>1461</v>
      </c>
      <c r="I17" s="67" t="s">
        <v>1465</v>
      </c>
      <c r="K17" s="77" t="s">
        <v>99</v>
      </c>
      <c r="L17" s="78"/>
      <c r="M17" s="60">
        <v>49</v>
      </c>
    </row>
    <row r="18" spans="1:13" ht="15" x14ac:dyDescent="0.2">
      <c r="A18" s="43" t="s">
        <v>15</v>
      </c>
      <c r="B18" s="43">
        <v>0.7</v>
      </c>
      <c r="C18" s="43" t="s">
        <v>1460</v>
      </c>
      <c r="D18" s="43" t="s">
        <v>1460</v>
      </c>
      <c r="E18" s="43" t="s">
        <v>1460</v>
      </c>
      <c r="F18" s="43" t="s">
        <v>1460</v>
      </c>
      <c r="G18" s="43" t="s">
        <v>1460</v>
      </c>
      <c r="I18" s="67" t="s">
        <v>1460</v>
      </c>
      <c r="K18" s="69" t="s">
        <v>104</v>
      </c>
      <c r="L18" s="70"/>
      <c r="M18" s="4">
        <f>AVERAGE(B2:B1000)</f>
        <v>13.35337837837838</v>
      </c>
    </row>
    <row r="19" spans="1:13" ht="15" x14ac:dyDescent="0.2">
      <c r="A19" s="43" t="s">
        <v>15</v>
      </c>
      <c r="B19" s="43">
        <v>1</v>
      </c>
      <c r="C19" s="43" t="s">
        <v>1460</v>
      </c>
      <c r="D19" s="43" t="s">
        <v>1460</v>
      </c>
      <c r="E19" s="43" t="s">
        <v>1460</v>
      </c>
      <c r="F19" s="43" t="s">
        <v>1460</v>
      </c>
      <c r="G19" s="43" t="s">
        <v>1460</v>
      </c>
      <c r="I19" s="67" t="s">
        <v>1462</v>
      </c>
      <c r="K19" s="69" t="s">
        <v>109</v>
      </c>
      <c r="L19" s="70"/>
      <c r="M19" s="4">
        <f>MEDIAN(B2:B1000)</f>
        <v>7.95</v>
      </c>
    </row>
    <row r="20" spans="1:13" ht="15" x14ac:dyDescent="0.2">
      <c r="A20" s="43" t="s">
        <v>15</v>
      </c>
      <c r="B20" s="43">
        <v>1</v>
      </c>
      <c r="C20" s="43" t="s">
        <v>1461</v>
      </c>
      <c r="D20" s="43" t="s">
        <v>1461</v>
      </c>
      <c r="E20" s="43" t="s">
        <v>1461</v>
      </c>
      <c r="F20" s="43" t="s">
        <v>1461</v>
      </c>
      <c r="G20" s="43" t="s">
        <v>1461</v>
      </c>
      <c r="K20" s="69" t="s">
        <v>114</v>
      </c>
      <c r="L20" s="70"/>
      <c r="M20" s="4">
        <f>SUM(B2:B1000)</f>
        <v>2964.4500000000003</v>
      </c>
    </row>
    <row r="21" spans="1:13" ht="15" x14ac:dyDescent="0.2">
      <c r="A21" s="43" t="s">
        <v>15</v>
      </c>
      <c r="B21" s="43">
        <v>1</v>
      </c>
      <c r="C21" s="43" t="s">
        <v>1460</v>
      </c>
      <c r="D21" s="43" t="s">
        <v>1460</v>
      </c>
      <c r="E21" s="43" t="s">
        <v>1460</v>
      </c>
      <c r="F21" s="43" t="s">
        <v>1460</v>
      </c>
      <c r="G21" s="43" t="s">
        <v>1460</v>
      </c>
      <c r="K21" s="69" t="s">
        <v>119</v>
      </c>
      <c r="L21" s="70"/>
      <c r="M21" s="61">
        <f>COUNTIF(B:B,"&lt;=5")/M15</f>
        <v>0.4144144144144144</v>
      </c>
    </row>
    <row r="22" spans="1:13" x14ac:dyDescent="0.15">
      <c r="A22" s="43" t="s">
        <v>15</v>
      </c>
      <c r="B22" s="43">
        <v>1</v>
      </c>
      <c r="C22" s="43" t="s">
        <v>1461</v>
      </c>
      <c r="D22" s="43" t="s">
        <v>1462</v>
      </c>
      <c r="E22" s="43" t="s">
        <v>1461</v>
      </c>
      <c r="F22" s="43" t="s">
        <v>1461</v>
      </c>
      <c r="G22" s="43" t="s">
        <v>1462</v>
      </c>
    </row>
    <row r="23" spans="1:13" x14ac:dyDescent="0.15">
      <c r="A23" s="43" t="s">
        <v>15</v>
      </c>
      <c r="B23" s="43">
        <v>1</v>
      </c>
      <c r="C23" s="43" t="s">
        <v>1464</v>
      </c>
      <c r="D23" s="43" t="s">
        <v>1464</v>
      </c>
      <c r="E23" s="43" t="s">
        <v>1464</v>
      </c>
      <c r="F23" s="43" t="s">
        <v>1464</v>
      </c>
      <c r="G23" s="43" t="s">
        <v>1464</v>
      </c>
    </row>
    <row r="24" spans="1:13" x14ac:dyDescent="0.15">
      <c r="A24" s="43" t="s">
        <v>15</v>
      </c>
      <c r="B24" s="43">
        <v>1</v>
      </c>
      <c r="C24" s="43" t="s">
        <v>1460</v>
      </c>
      <c r="D24" s="43" t="s">
        <v>1460</v>
      </c>
      <c r="E24" s="43" t="s">
        <v>1460</v>
      </c>
      <c r="F24" s="43" t="s">
        <v>1460</v>
      </c>
      <c r="G24" s="43" t="s">
        <v>1460</v>
      </c>
    </row>
    <row r="25" spans="1:13" x14ac:dyDescent="0.15">
      <c r="A25" s="43" t="s">
        <v>15</v>
      </c>
      <c r="B25" s="43">
        <v>1</v>
      </c>
      <c r="C25" s="43" t="s">
        <v>1461</v>
      </c>
      <c r="D25" s="43" t="s">
        <v>1461</v>
      </c>
      <c r="E25" s="43" t="s">
        <v>1461</v>
      </c>
      <c r="F25" s="43" t="s">
        <v>1461</v>
      </c>
      <c r="G25" s="43" t="s">
        <v>1461</v>
      </c>
    </row>
    <row r="26" spans="1:13" x14ac:dyDescent="0.15">
      <c r="A26" s="43" t="s">
        <v>15</v>
      </c>
      <c r="B26" s="43">
        <v>1</v>
      </c>
      <c r="C26" s="43" t="s">
        <v>1461</v>
      </c>
      <c r="D26" s="43" t="s">
        <v>1461</v>
      </c>
      <c r="E26" s="43" t="s">
        <v>1461</v>
      </c>
      <c r="F26" s="43" t="s">
        <v>1461</v>
      </c>
      <c r="G26" s="43" t="s">
        <v>1461</v>
      </c>
    </row>
    <row r="27" spans="1:13" x14ac:dyDescent="0.15">
      <c r="A27" s="43" t="s">
        <v>15</v>
      </c>
      <c r="B27" s="43">
        <v>1</v>
      </c>
      <c r="C27" s="43" t="s">
        <v>1461</v>
      </c>
      <c r="D27" s="43" t="s">
        <v>1464</v>
      </c>
      <c r="E27" s="43" t="s">
        <v>1464</v>
      </c>
      <c r="F27" s="43" t="s">
        <v>1461</v>
      </c>
      <c r="G27" s="43" t="s">
        <v>1461</v>
      </c>
    </row>
    <row r="28" spans="1:13" x14ac:dyDescent="0.15">
      <c r="A28" s="43" t="s">
        <v>15</v>
      </c>
      <c r="B28" s="43">
        <v>1</v>
      </c>
      <c r="C28" s="43" t="s">
        <v>1461</v>
      </c>
      <c r="D28" s="43" t="s">
        <v>1461</v>
      </c>
      <c r="E28" s="43" t="s">
        <v>1461</v>
      </c>
      <c r="F28" s="43" t="s">
        <v>1461</v>
      </c>
      <c r="G28" s="43" t="s">
        <v>1461</v>
      </c>
    </row>
    <row r="29" spans="1:13" x14ac:dyDescent="0.15">
      <c r="A29" s="43" t="s">
        <v>15</v>
      </c>
      <c r="B29" s="43">
        <v>1</v>
      </c>
      <c r="C29" s="43" t="s">
        <v>1461</v>
      </c>
      <c r="D29" s="43" t="s">
        <v>1461</v>
      </c>
      <c r="E29" s="43" t="s">
        <v>1461</v>
      </c>
      <c r="F29" s="43" t="s">
        <v>1461</v>
      </c>
      <c r="G29" s="43" t="s">
        <v>1461</v>
      </c>
    </row>
    <row r="30" spans="1:13" x14ac:dyDescent="0.15">
      <c r="A30" s="43" t="s">
        <v>15</v>
      </c>
      <c r="B30" s="43">
        <v>1</v>
      </c>
      <c r="C30" s="43" t="s">
        <v>1460</v>
      </c>
      <c r="D30" s="43" t="s">
        <v>1460</v>
      </c>
      <c r="E30" s="43" t="s">
        <v>1460</v>
      </c>
      <c r="F30" s="43" t="s">
        <v>1460</v>
      </c>
      <c r="G30" s="43" t="s">
        <v>1461</v>
      </c>
    </row>
    <row r="31" spans="1:13" x14ac:dyDescent="0.15">
      <c r="A31" s="43" t="s">
        <v>15</v>
      </c>
      <c r="B31" s="43">
        <v>1</v>
      </c>
      <c r="C31" s="43" t="s">
        <v>1461</v>
      </c>
      <c r="D31" s="43" t="s">
        <v>1461</v>
      </c>
      <c r="E31" s="43" t="s">
        <v>1461</v>
      </c>
      <c r="F31" s="43" t="s">
        <v>1461</v>
      </c>
      <c r="G31" s="43" t="s">
        <v>1461</v>
      </c>
    </row>
    <row r="32" spans="1:13" x14ac:dyDescent="0.15">
      <c r="A32" s="43" t="s">
        <v>15</v>
      </c>
      <c r="B32" s="43">
        <v>1</v>
      </c>
      <c r="C32" s="43" t="s">
        <v>1464</v>
      </c>
      <c r="D32" s="43" t="s">
        <v>1461</v>
      </c>
      <c r="E32" s="43" t="s">
        <v>1460</v>
      </c>
      <c r="F32" s="43" t="s">
        <v>1461</v>
      </c>
      <c r="G32" s="43" t="s">
        <v>1464</v>
      </c>
    </row>
    <row r="33" spans="1:7" x14ac:dyDescent="0.15">
      <c r="A33" s="43" t="s">
        <v>15</v>
      </c>
      <c r="B33" s="43">
        <v>1</v>
      </c>
      <c r="C33" s="43" t="s">
        <v>1460</v>
      </c>
      <c r="D33" s="43" t="s">
        <v>1460</v>
      </c>
      <c r="E33" s="43" t="s">
        <v>1460</v>
      </c>
      <c r="F33" s="43" t="s">
        <v>1460</v>
      </c>
      <c r="G33" s="43" t="s">
        <v>1460</v>
      </c>
    </row>
    <row r="34" spans="1:7" x14ac:dyDescent="0.15">
      <c r="A34" s="43" t="s">
        <v>15</v>
      </c>
      <c r="B34" s="43">
        <v>1.1000000000000001</v>
      </c>
      <c r="C34" s="43" t="s">
        <v>1464</v>
      </c>
      <c r="D34" s="43" t="s">
        <v>1464</v>
      </c>
      <c r="E34" s="43" t="s">
        <v>1464</v>
      </c>
      <c r="F34" s="43" t="s">
        <v>1462</v>
      </c>
      <c r="G34" s="43" t="s">
        <v>1464</v>
      </c>
    </row>
    <row r="35" spans="1:7" x14ac:dyDescent="0.15">
      <c r="A35" s="43" t="s">
        <v>15</v>
      </c>
      <c r="B35" s="43">
        <v>1.1000000000000001</v>
      </c>
      <c r="C35" s="43" t="s">
        <v>1461</v>
      </c>
      <c r="D35" s="43" t="s">
        <v>1461</v>
      </c>
      <c r="E35" s="43" t="s">
        <v>1461</v>
      </c>
      <c r="F35" s="43" t="s">
        <v>1461</v>
      </c>
      <c r="G35" s="43" t="s">
        <v>1461</v>
      </c>
    </row>
    <row r="36" spans="1:7" x14ac:dyDescent="0.15">
      <c r="A36" s="43" t="s">
        <v>15</v>
      </c>
      <c r="B36" s="43">
        <v>1.1000000000000001</v>
      </c>
      <c r="C36" s="43" t="s">
        <v>1464</v>
      </c>
      <c r="D36" s="43" t="s">
        <v>1464</v>
      </c>
      <c r="E36" s="43" t="s">
        <v>1464</v>
      </c>
      <c r="F36" s="43" t="s">
        <v>1462</v>
      </c>
      <c r="G36" s="43" t="s">
        <v>1464</v>
      </c>
    </row>
    <row r="37" spans="1:7" x14ac:dyDescent="0.15">
      <c r="A37" s="43" t="s">
        <v>15</v>
      </c>
      <c r="B37" s="43">
        <v>1.2</v>
      </c>
      <c r="C37" s="43" t="s">
        <v>1460</v>
      </c>
      <c r="D37" s="43" t="s">
        <v>1460</v>
      </c>
      <c r="E37" s="43" t="s">
        <v>1460</v>
      </c>
      <c r="F37" s="43" t="s">
        <v>1460</v>
      </c>
      <c r="G37" s="43" t="s">
        <v>1460</v>
      </c>
    </row>
    <row r="38" spans="1:7" x14ac:dyDescent="0.15">
      <c r="A38" s="43" t="s">
        <v>15</v>
      </c>
      <c r="B38" s="43">
        <v>1.2</v>
      </c>
      <c r="C38" s="43" t="s">
        <v>1461</v>
      </c>
      <c r="D38" s="43" t="s">
        <v>1461</v>
      </c>
      <c r="E38" s="43" t="s">
        <v>1461</v>
      </c>
      <c r="F38" s="43" t="s">
        <v>1461</v>
      </c>
      <c r="G38" s="43" t="s">
        <v>1461</v>
      </c>
    </row>
    <row r="39" spans="1:7" x14ac:dyDescent="0.15">
      <c r="A39" s="43" t="s">
        <v>15</v>
      </c>
      <c r="B39" s="43">
        <v>1.2</v>
      </c>
      <c r="C39" s="43" t="s">
        <v>1461</v>
      </c>
      <c r="D39" s="43" t="s">
        <v>1461</v>
      </c>
      <c r="E39" s="43" t="s">
        <v>1461</v>
      </c>
      <c r="F39" s="43" t="s">
        <v>1461</v>
      </c>
      <c r="G39" s="43" t="s">
        <v>1461</v>
      </c>
    </row>
    <row r="40" spans="1:7" x14ac:dyDescent="0.15">
      <c r="A40" s="43" t="s">
        <v>15</v>
      </c>
      <c r="B40" s="43">
        <v>1.3</v>
      </c>
      <c r="C40" s="43" t="s">
        <v>1461</v>
      </c>
      <c r="D40" s="43" t="s">
        <v>1461</v>
      </c>
      <c r="E40" s="43" t="s">
        <v>1461</v>
      </c>
      <c r="F40" s="43" t="s">
        <v>1461</v>
      </c>
      <c r="G40" s="43" t="s">
        <v>1461</v>
      </c>
    </row>
    <row r="41" spans="1:7" x14ac:dyDescent="0.15">
      <c r="A41" s="43" t="s">
        <v>15</v>
      </c>
      <c r="B41" s="43">
        <v>1.3</v>
      </c>
      <c r="C41" s="43" t="s">
        <v>1461</v>
      </c>
      <c r="D41" s="43" t="s">
        <v>1461</v>
      </c>
      <c r="E41" s="43" t="s">
        <v>1461</v>
      </c>
      <c r="F41" s="43" t="s">
        <v>1461</v>
      </c>
      <c r="G41" s="43" t="s">
        <v>1461</v>
      </c>
    </row>
    <row r="42" spans="1:7" x14ac:dyDescent="0.15">
      <c r="A42" s="43" t="s">
        <v>15</v>
      </c>
      <c r="B42" s="43">
        <v>1.3</v>
      </c>
      <c r="C42" s="43" t="s">
        <v>1464</v>
      </c>
      <c r="D42" s="43" t="s">
        <v>1464</v>
      </c>
      <c r="E42" s="43" t="s">
        <v>1464</v>
      </c>
      <c r="F42" s="43" t="s">
        <v>1464</v>
      </c>
      <c r="G42" s="43" t="s">
        <v>1464</v>
      </c>
    </row>
    <row r="43" spans="1:7" x14ac:dyDescent="0.15">
      <c r="A43" s="43" t="s">
        <v>15</v>
      </c>
      <c r="B43" s="43">
        <v>1.5</v>
      </c>
      <c r="C43" s="43" t="s">
        <v>1461</v>
      </c>
      <c r="D43" s="43" t="s">
        <v>1461</v>
      </c>
      <c r="E43" s="43" t="s">
        <v>1461</v>
      </c>
      <c r="F43" s="43" t="s">
        <v>1461</v>
      </c>
      <c r="G43" s="43" t="s">
        <v>1461</v>
      </c>
    </row>
    <row r="44" spans="1:7" x14ac:dyDescent="0.15">
      <c r="A44" s="43" t="s">
        <v>15</v>
      </c>
      <c r="B44" s="43">
        <v>1.5</v>
      </c>
      <c r="C44" s="43" t="s">
        <v>1461</v>
      </c>
      <c r="D44" s="43" t="s">
        <v>1461</v>
      </c>
      <c r="E44" s="43" t="s">
        <v>1461</v>
      </c>
      <c r="F44" s="43" t="s">
        <v>1461</v>
      </c>
      <c r="G44" s="43" t="s">
        <v>1461</v>
      </c>
    </row>
    <row r="45" spans="1:7" x14ac:dyDescent="0.15">
      <c r="A45" s="43" t="s">
        <v>15</v>
      </c>
      <c r="B45" s="43">
        <v>1.5</v>
      </c>
      <c r="C45" s="43" t="s">
        <v>1464</v>
      </c>
      <c r="D45" s="43" t="s">
        <v>1464</v>
      </c>
      <c r="E45" s="43" t="s">
        <v>1464</v>
      </c>
      <c r="F45" s="43" t="s">
        <v>1464</v>
      </c>
      <c r="G45" s="43" t="s">
        <v>1464</v>
      </c>
    </row>
    <row r="46" spans="1:7" x14ac:dyDescent="0.15">
      <c r="A46" s="43" t="s">
        <v>15</v>
      </c>
      <c r="B46" s="43">
        <v>1.5</v>
      </c>
      <c r="C46" s="43" t="s">
        <v>1460</v>
      </c>
      <c r="D46" s="43" t="s">
        <v>1460</v>
      </c>
      <c r="E46" s="43" t="s">
        <v>1460</v>
      </c>
      <c r="F46" s="43" t="s">
        <v>1460</v>
      </c>
      <c r="G46" s="43" t="s">
        <v>1461</v>
      </c>
    </row>
    <row r="47" spans="1:7" x14ac:dyDescent="0.15">
      <c r="A47" s="43" t="s">
        <v>15</v>
      </c>
      <c r="B47" s="43">
        <v>1.5</v>
      </c>
      <c r="C47" s="43" t="s">
        <v>1461</v>
      </c>
      <c r="D47" s="43" t="s">
        <v>1461</v>
      </c>
      <c r="E47" s="43" t="s">
        <v>1461</v>
      </c>
      <c r="F47" s="43" t="s">
        <v>1461</v>
      </c>
      <c r="G47" s="43" t="s">
        <v>1461</v>
      </c>
    </row>
    <row r="48" spans="1:7" x14ac:dyDescent="0.15">
      <c r="A48" s="43" t="s">
        <v>15</v>
      </c>
      <c r="B48" s="43">
        <v>1.5</v>
      </c>
      <c r="C48" s="43" t="s">
        <v>1460</v>
      </c>
      <c r="D48" s="43" t="s">
        <v>1460</v>
      </c>
      <c r="E48" s="43" t="s">
        <v>1460</v>
      </c>
      <c r="F48" s="43" t="s">
        <v>1460</v>
      </c>
      <c r="G48" s="43" t="s">
        <v>1460</v>
      </c>
    </row>
    <row r="49" spans="1:7" x14ac:dyDescent="0.15">
      <c r="A49" s="43" t="s">
        <v>15</v>
      </c>
      <c r="B49" s="43">
        <v>1.5</v>
      </c>
      <c r="C49" s="43" t="s">
        <v>1461</v>
      </c>
      <c r="D49" s="43" t="s">
        <v>1461</v>
      </c>
      <c r="E49" s="43" t="s">
        <v>1461</v>
      </c>
      <c r="F49" s="43" t="s">
        <v>1461</v>
      </c>
      <c r="G49" s="43" t="s">
        <v>1461</v>
      </c>
    </row>
    <row r="50" spans="1:7" x14ac:dyDescent="0.15">
      <c r="A50" s="43" t="s">
        <v>15</v>
      </c>
      <c r="B50" s="43">
        <v>1.7</v>
      </c>
      <c r="C50" s="43" t="s">
        <v>1460</v>
      </c>
      <c r="D50" s="43" t="s">
        <v>1460</v>
      </c>
      <c r="E50" s="43" t="s">
        <v>1460</v>
      </c>
      <c r="F50" s="43" t="s">
        <v>1464</v>
      </c>
      <c r="G50" s="43" t="s">
        <v>1464</v>
      </c>
    </row>
    <row r="51" spans="1:7" x14ac:dyDescent="0.15">
      <c r="A51" s="43" t="s">
        <v>15</v>
      </c>
      <c r="B51" s="43">
        <v>1.7</v>
      </c>
      <c r="C51" s="43" t="s">
        <v>1464</v>
      </c>
      <c r="D51" s="43" t="s">
        <v>1464</v>
      </c>
      <c r="E51" s="43" t="s">
        <v>1464</v>
      </c>
      <c r="F51" s="43" t="s">
        <v>1464</v>
      </c>
      <c r="G51" s="43" t="s">
        <v>1464</v>
      </c>
    </row>
    <row r="52" spans="1:7" x14ac:dyDescent="0.15">
      <c r="A52" s="43" t="s">
        <v>15</v>
      </c>
      <c r="B52" s="43">
        <v>1.7</v>
      </c>
      <c r="C52" s="43" t="s">
        <v>1461</v>
      </c>
      <c r="D52" s="43" t="s">
        <v>1461</v>
      </c>
      <c r="E52" s="43" t="s">
        <v>1461</v>
      </c>
      <c r="F52" s="43" t="s">
        <v>1461</v>
      </c>
      <c r="G52" s="43" t="s">
        <v>1461</v>
      </c>
    </row>
    <row r="53" spans="1:7" x14ac:dyDescent="0.15">
      <c r="A53" s="43" t="s">
        <v>15</v>
      </c>
      <c r="B53" s="43">
        <v>1.75</v>
      </c>
      <c r="C53" s="43" t="s">
        <v>1461</v>
      </c>
      <c r="D53" s="43" t="s">
        <v>1461</v>
      </c>
      <c r="E53" s="43" t="s">
        <v>1461</v>
      </c>
      <c r="F53" s="43" t="s">
        <v>1461</v>
      </c>
      <c r="G53" s="43" t="s">
        <v>1461</v>
      </c>
    </row>
    <row r="54" spans="1:7" x14ac:dyDescent="0.15">
      <c r="A54" s="43" t="s">
        <v>15</v>
      </c>
      <c r="B54" s="43">
        <v>1.75</v>
      </c>
      <c r="C54" s="43" t="s">
        <v>1461</v>
      </c>
      <c r="D54" s="43" t="s">
        <v>1461</v>
      </c>
      <c r="E54" s="43" t="s">
        <v>1461</v>
      </c>
      <c r="F54" s="43" t="s">
        <v>1461</v>
      </c>
      <c r="G54" s="43" t="s">
        <v>1461</v>
      </c>
    </row>
    <row r="55" spans="1:7" x14ac:dyDescent="0.15">
      <c r="A55" s="43" t="s">
        <v>15</v>
      </c>
      <c r="B55" s="43">
        <v>1.75</v>
      </c>
      <c r="C55" s="43" t="s">
        <v>1461</v>
      </c>
      <c r="D55" s="43" t="s">
        <v>1461</v>
      </c>
      <c r="E55" s="43" t="s">
        <v>1461</v>
      </c>
      <c r="F55" s="43" t="s">
        <v>1461</v>
      </c>
      <c r="G55" s="43" t="s">
        <v>1461</v>
      </c>
    </row>
    <row r="56" spans="1:7" x14ac:dyDescent="0.15">
      <c r="A56" s="43" t="s">
        <v>15</v>
      </c>
      <c r="B56" s="43">
        <v>2</v>
      </c>
      <c r="C56" s="43" t="s">
        <v>1461</v>
      </c>
      <c r="D56" s="43" t="s">
        <v>1461</v>
      </c>
      <c r="E56" s="43" t="s">
        <v>1461</v>
      </c>
      <c r="F56" s="43" t="s">
        <v>1461</v>
      </c>
      <c r="G56" s="43" t="s">
        <v>1461</v>
      </c>
    </row>
    <row r="57" spans="1:7" x14ac:dyDescent="0.15">
      <c r="A57" s="43" t="s">
        <v>15</v>
      </c>
      <c r="B57" s="43">
        <v>2</v>
      </c>
      <c r="C57" s="43" t="s">
        <v>1461</v>
      </c>
      <c r="D57" s="43" t="s">
        <v>1461</v>
      </c>
      <c r="E57" s="43" t="s">
        <v>1461</v>
      </c>
      <c r="F57" s="43" t="s">
        <v>1461</v>
      </c>
      <c r="G57" s="43" t="s">
        <v>1461</v>
      </c>
    </row>
    <row r="58" spans="1:7" x14ac:dyDescent="0.15">
      <c r="A58" s="43" t="s">
        <v>15</v>
      </c>
      <c r="B58" s="43">
        <v>2</v>
      </c>
      <c r="C58" s="43" t="s">
        <v>1460</v>
      </c>
      <c r="D58" s="43" t="s">
        <v>1460</v>
      </c>
      <c r="E58" s="43" t="s">
        <v>1460</v>
      </c>
      <c r="F58" s="43" t="s">
        <v>1460</v>
      </c>
      <c r="G58" s="43" t="s">
        <v>1460</v>
      </c>
    </row>
    <row r="59" spans="1:7" x14ac:dyDescent="0.15">
      <c r="A59" s="43" t="s">
        <v>15</v>
      </c>
      <c r="B59" s="43">
        <v>2</v>
      </c>
      <c r="C59" s="43" t="s">
        <v>1461</v>
      </c>
      <c r="D59" s="43" t="s">
        <v>1461</v>
      </c>
      <c r="E59" s="43" t="s">
        <v>1461</v>
      </c>
      <c r="F59" s="43" t="s">
        <v>1461</v>
      </c>
      <c r="G59" s="43" t="s">
        <v>1461</v>
      </c>
    </row>
    <row r="60" spans="1:7" x14ac:dyDescent="0.15">
      <c r="A60" s="43" t="s">
        <v>15</v>
      </c>
      <c r="B60" s="43">
        <v>2</v>
      </c>
      <c r="C60" s="43" t="s">
        <v>1461</v>
      </c>
      <c r="D60" s="43" t="s">
        <v>1461</v>
      </c>
      <c r="E60" s="43" t="s">
        <v>1461</v>
      </c>
      <c r="F60" s="43" t="s">
        <v>1461</v>
      </c>
      <c r="G60" s="43" t="s">
        <v>1461</v>
      </c>
    </row>
    <row r="61" spans="1:7" x14ac:dyDescent="0.15">
      <c r="A61" s="43" t="s">
        <v>15</v>
      </c>
      <c r="B61" s="43">
        <v>2</v>
      </c>
      <c r="C61" s="43" t="s">
        <v>1461</v>
      </c>
      <c r="D61" s="43" t="s">
        <v>1461</v>
      </c>
      <c r="E61" s="43" t="s">
        <v>1461</v>
      </c>
      <c r="F61" s="43" t="s">
        <v>1461</v>
      </c>
      <c r="G61" s="43" t="s">
        <v>1461</v>
      </c>
    </row>
    <row r="62" spans="1:7" x14ac:dyDescent="0.15">
      <c r="A62" s="43" t="s">
        <v>15</v>
      </c>
      <c r="B62" s="43">
        <v>2.5</v>
      </c>
      <c r="C62" s="43" t="s">
        <v>1371</v>
      </c>
      <c r="D62" s="43" t="s">
        <v>1371</v>
      </c>
      <c r="E62" s="43" t="s">
        <v>1371</v>
      </c>
      <c r="F62" s="43" t="s">
        <v>1371</v>
      </c>
      <c r="G62" s="43" t="s">
        <v>1371</v>
      </c>
    </row>
    <row r="63" spans="1:7" x14ac:dyDescent="0.15">
      <c r="A63" s="43" t="s">
        <v>15</v>
      </c>
      <c r="B63" s="43">
        <v>2.5</v>
      </c>
      <c r="C63" s="43" t="s">
        <v>1461</v>
      </c>
      <c r="D63" s="43" t="s">
        <v>1461</v>
      </c>
      <c r="E63" s="43" t="s">
        <v>1461</v>
      </c>
      <c r="F63" s="43" t="s">
        <v>1461</v>
      </c>
      <c r="G63" s="43" t="s">
        <v>1461</v>
      </c>
    </row>
    <row r="64" spans="1:7" x14ac:dyDescent="0.15">
      <c r="A64" s="43" t="s">
        <v>15</v>
      </c>
      <c r="B64" s="43">
        <v>2.5</v>
      </c>
      <c r="C64" s="43" t="s">
        <v>1461</v>
      </c>
      <c r="D64" s="43" t="s">
        <v>1461</v>
      </c>
      <c r="E64" s="43" t="s">
        <v>1464</v>
      </c>
      <c r="F64" s="43" t="s">
        <v>1461</v>
      </c>
      <c r="G64" s="43" t="s">
        <v>1464</v>
      </c>
    </row>
    <row r="65" spans="1:7" x14ac:dyDescent="0.15">
      <c r="A65" s="43" t="s">
        <v>15</v>
      </c>
      <c r="B65" s="43">
        <v>2.5</v>
      </c>
      <c r="C65" s="43" t="s">
        <v>1461</v>
      </c>
      <c r="D65" s="43" t="s">
        <v>1461</v>
      </c>
      <c r="E65" s="43" t="s">
        <v>1464</v>
      </c>
      <c r="F65" s="43" t="s">
        <v>1461</v>
      </c>
      <c r="G65" s="43" t="s">
        <v>1461</v>
      </c>
    </row>
    <row r="66" spans="1:7" x14ac:dyDescent="0.15">
      <c r="A66" s="43" t="s">
        <v>15</v>
      </c>
      <c r="B66" s="43">
        <v>2.59</v>
      </c>
      <c r="C66" s="43" t="s">
        <v>1461</v>
      </c>
      <c r="D66" s="43" t="s">
        <v>1461</v>
      </c>
      <c r="E66" s="43" t="s">
        <v>1461</v>
      </c>
      <c r="F66" s="43" t="s">
        <v>1461</v>
      </c>
      <c r="G66" s="43" t="s">
        <v>1461</v>
      </c>
    </row>
    <row r="67" spans="1:7" x14ac:dyDescent="0.15">
      <c r="A67" s="43" t="s">
        <v>15</v>
      </c>
      <c r="B67" s="43">
        <v>2.7</v>
      </c>
      <c r="C67" s="43" t="s">
        <v>1462</v>
      </c>
      <c r="D67" s="43" t="s">
        <v>1462</v>
      </c>
      <c r="E67" s="43" t="s">
        <v>1462</v>
      </c>
      <c r="F67" s="43" t="s">
        <v>1462</v>
      </c>
      <c r="G67" s="43" t="s">
        <v>1462</v>
      </c>
    </row>
    <row r="68" spans="1:7" x14ac:dyDescent="0.15">
      <c r="A68" s="43" t="s">
        <v>15</v>
      </c>
      <c r="B68" s="43">
        <v>2.7</v>
      </c>
      <c r="C68" s="43" t="s">
        <v>1461</v>
      </c>
      <c r="D68" s="43" t="s">
        <v>1461</v>
      </c>
      <c r="E68" s="43" t="s">
        <v>1461</v>
      </c>
      <c r="F68" s="43" t="s">
        <v>1461</v>
      </c>
      <c r="G68" s="43" t="s">
        <v>1461</v>
      </c>
    </row>
    <row r="69" spans="1:7" x14ac:dyDescent="0.15">
      <c r="A69" s="43" t="s">
        <v>15</v>
      </c>
      <c r="B69" s="43">
        <v>2.7</v>
      </c>
      <c r="C69" s="43" t="s">
        <v>1461</v>
      </c>
      <c r="D69" s="43" t="s">
        <v>1461</v>
      </c>
      <c r="E69" s="43" t="s">
        <v>1461</v>
      </c>
      <c r="F69" s="43" t="s">
        <v>1461</v>
      </c>
      <c r="G69" s="43" t="s">
        <v>1461</v>
      </c>
    </row>
    <row r="70" spans="1:7" x14ac:dyDescent="0.15">
      <c r="A70" s="43" t="s">
        <v>15</v>
      </c>
      <c r="B70" s="43">
        <v>3</v>
      </c>
      <c r="C70" s="43" t="s">
        <v>1461</v>
      </c>
      <c r="D70" s="43" t="s">
        <v>1461</v>
      </c>
      <c r="E70" s="43" t="s">
        <v>1461</v>
      </c>
      <c r="F70" s="43" t="s">
        <v>1461</v>
      </c>
      <c r="G70" s="43" t="s">
        <v>1461</v>
      </c>
    </row>
    <row r="71" spans="1:7" x14ac:dyDescent="0.15">
      <c r="A71" s="43" t="s">
        <v>15</v>
      </c>
      <c r="B71" s="43">
        <v>3</v>
      </c>
      <c r="C71" s="43" t="s">
        <v>1461</v>
      </c>
      <c r="D71" s="43" t="s">
        <v>1461</v>
      </c>
      <c r="E71" s="43" t="s">
        <v>1461</v>
      </c>
      <c r="F71" s="43" t="s">
        <v>1461</v>
      </c>
      <c r="G71" s="43" t="s">
        <v>1461</v>
      </c>
    </row>
    <row r="72" spans="1:7" x14ac:dyDescent="0.15">
      <c r="A72" s="43" t="s">
        <v>15</v>
      </c>
      <c r="B72" s="43">
        <v>3</v>
      </c>
      <c r="C72" s="43" t="s">
        <v>1461</v>
      </c>
      <c r="D72" s="43" t="s">
        <v>1461</v>
      </c>
      <c r="E72" s="43" t="s">
        <v>1461</v>
      </c>
      <c r="F72" s="43" t="s">
        <v>1461</v>
      </c>
      <c r="G72" s="43" t="s">
        <v>1461</v>
      </c>
    </row>
    <row r="73" spans="1:7" x14ac:dyDescent="0.15">
      <c r="A73" s="43" t="s">
        <v>15</v>
      </c>
      <c r="B73" s="43">
        <v>3.9</v>
      </c>
      <c r="C73" s="43" t="s">
        <v>1461</v>
      </c>
      <c r="D73" s="43" t="s">
        <v>1461</v>
      </c>
      <c r="E73" s="43" t="s">
        <v>1461</v>
      </c>
      <c r="F73" s="43" t="s">
        <v>1461</v>
      </c>
      <c r="G73" s="43" t="s">
        <v>1461</v>
      </c>
    </row>
    <row r="74" spans="1:7" x14ac:dyDescent="0.15">
      <c r="A74" s="43" t="s">
        <v>15</v>
      </c>
      <c r="B74" s="43">
        <v>4</v>
      </c>
      <c r="C74" s="43" t="s">
        <v>1461</v>
      </c>
      <c r="D74" s="43" t="s">
        <v>1461</v>
      </c>
      <c r="E74" s="43" t="s">
        <v>1461</v>
      </c>
      <c r="F74" s="43" t="s">
        <v>1461</v>
      </c>
      <c r="G74" s="43" t="s">
        <v>1461</v>
      </c>
    </row>
    <row r="75" spans="1:7" x14ac:dyDescent="0.15">
      <c r="A75" s="43" t="s">
        <v>15</v>
      </c>
      <c r="B75" s="43">
        <v>4</v>
      </c>
      <c r="C75" s="43" t="s">
        <v>1461</v>
      </c>
      <c r="D75" s="43" t="s">
        <v>1461</v>
      </c>
      <c r="E75" s="43" t="s">
        <v>1461</v>
      </c>
      <c r="F75" s="43" t="s">
        <v>1461</v>
      </c>
      <c r="G75" s="43" t="s">
        <v>1461</v>
      </c>
    </row>
    <row r="76" spans="1:7" x14ac:dyDescent="0.15">
      <c r="A76" s="43" t="s">
        <v>15</v>
      </c>
      <c r="B76" s="43">
        <v>4</v>
      </c>
      <c r="C76" s="43" t="s">
        <v>1464</v>
      </c>
      <c r="D76" s="43" t="s">
        <v>1464</v>
      </c>
      <c r="E76" s="43" t="s">
        <v>1464</v>
      </c>
      <c r="F76" s="43" t="s">
        <v>1464</v>
      </c>
      <c r="G76" s="43" t="s">
        <v>1464</v>
      </c>
    </row>
    <row r="77" spans="1:7" x14ac:dyDescent="0.15">
      <c r="A77" s="43" t="s">
        <v>15</v>
      </c>
      <c r="B77" s="43">
        <v>4</v>
      </c>
      <c r="C77" s="43" t="s">
        <v>1461</v>
      </c>
      <c r="D77" s="43" t="s">
        <v>1461</v>
      </c>
      <c r="E77" s="43" t="s">
        <v>1461</v>
      </c>
      <c r="F77" s="43" t="s">
        <v>1461</v>
      </c>
      <c r="G77" s="43" t="s">
        <v>1461</v>
      </c>
    </row>
    <row r="78" spans="1:7" x14ac:dyDescent="0.15">
      <c r="A78" s="43" t="s">
        <v>15</v>
      </c>
      <c r="B78" s="43">
        <v>4</v>
      </c>
      <c r="C78" s="43" t="s">
        <v>1461</v>
      </c>
      <c r="D78" s="43" t="s">
        <v>1461</v>
      </c>
      <c r="E78" s="43" t="s">
        <v>1461</v>
      </c>
      <c r="F78" s="43" t="s">
        <v>1461</v>
      </c>
      <c r="G78" s="43" t="s">
        <v>1461</v>
      </c>
    </row>
    <row r="79" spans="1:7" x14ac:dyDescent="0.15">
      <c r="A79" s="43" t="s">
        <v>15</v>
      </c>
      <c r="B79" s="43">
        <v>4</v>
      </c>
      <c r="C79" s="43" t="s">
        <v>1461</v>
      </c>
      <c r="D79" s="43" t="s">
        <v>1461</v>
      </c>
      <c r="E79" s="43" t="s">
        <v>1461</v>
      </c>
      <c r="F79" s="43" t="s">
        <v>1461</v>
      </c>
      <c r="G79" s="43" t="s">
        <v>1461</v>
      </c>
    </row>
    <row r="80" spans="1:7" x14ac:dyDescent="0.15">
      <c r="A80" s="43" t="s">
        <v>15</v>
      </c>
      <c r="B80" s="43">
        <v>4</v>
      </c>
      <c r="C80" s="43" t="s">
        <v>1464</v>
      </c>
      <c r="D80" s="43" t="s">
        <v>1464</v>
      </c>
      <c r="E80" s="43" t="s">
        <v>1464</v>
      </c>
      <c r="F80" s="43" t="s">
        <v>1464</v>
      </c>
      <c r="G80" s="43" t="s">
        <v>1464</v>
      </c>
    </row>
    <row r="81" spans="1:7" x14ac:dyDescent="0.15">
      <c r="A81" s="43" t="s">
        <v>15</v>
      </c>
      <c r="B81" s="43">
        <v>4</v>
      </c>
      <c r="C81" s="43" t="s">
        <v>1464</v>
      </c>
      <c r="D81" s="43" t="s">
        <v>1464</v>
      </c>
      <c r="E81" s="43" t="s">
        <v>1464</v>
      </c>
      <c r="F81" s="43" t="s">
        <v>1464</v>
      </c>
      <c r="G81" s="43" t="s">
        <v>1464</v>
      </c>
    </row>
    <row r="82" spans="1:7" x14ac:dyDescent="0.15">
      <c r="A82" s="43" t="s">
        <v>15</v>
      </c>
      <c r="B82" s="43">
        <v>4.0999999999999996</v>
      </c>
      <c r="C82" s="43" t="s">
        <v>1461</v>
      </c>
      <c r="D82" s="43" t="s">
        <v>1461</v>
      </c>
      <c r="E82" s="43" t="s">
        <v>1461</v>
      </c>
      <c r="F82" s="43" t="s">
        <v>1461</v>
      </c>
      <c r="G82" s="43" t="s">
        <v>1461</v>
      </c>
    </row>
    <row r="83" spans="1:7" x14ac:dyDescent="0.15">
      <c r="A83" s="43" t="s">
        <v>15</v>
      </c>
      <c r="B83" s="43">
        <v>4.3</v>
      </c>
      <c r="C83" s="43" t="s">
        <v>1461</v>
      </c>
      <c r="D83" s="43" t="s">
        <v>1461</v>
      </c>
      <c r="E83" s="43" t="s">
        <v>1461</v>
      </c>
      <c r="F83" s="43" t="s">
        <v>1461</v>
      </c>
      <c r="G83" s="43" t="s">
        <v>1461</v>
      </c>
    </row>
    <row r="84" spans="1:7" x14ac:dyDescent="0.15">
      <c r="A84" s="43" t="s">
        <v>15</v>
      </c>
      <c r="B84" s="43">
        <v>4.5</v>
      </c>
      <c r="C84" s="43" t="s">
        <v>1461</v>
      </c>
      <c r="D84" s="43" t="s">
        <v>1461</v>
      </c>
      <c r="E84" s="43" t="s">
        <v>1461</v>
      </c>
      <c r="F84" s="43" t="s">
        <v>1461</v>
      </c>
      <c r="G84" s="43" t="s">
        <v>1461</v>
      </c>
    </row>
    <row r="85" spans="1:7" x14ac:dyDescent="0.15">
      <c r="A85" s="43" t="s">
        <v>15</v>
      </c>
      <c r="B85" s="43">
        <v>5</v>
      </c>
      <c r="C85" s="43" t="s">
        <v>1460</v>
      </c>
      <c r="D85" s="43" t="s">
        <v>1460</v>
      </c>
      <c r="E85" s="43" t="s">
        <v>1460</v>
      </c>
      <c r="F85" s="43" t="s">
        <v>1460</v>
      </c>
      <c r="G85" s="43" t="s">
        <v>1460</v>
      </c>
    </row>
    <row r="86" spans="1:7" x14ac:dyDescent="0.15">
      <c r="A86" s="43" t="s">
        <v>15</v>
      </c>
      <c r="B86" s="43">
        <v>5</v>
      </c>
      <c r="C86" s="43" t="s">
        <v>1461</v>
      </c>
      <c r="D86" s="43" t="s">
        <v>1461</v>
      </c>
      <c r="E86" s="43" t="s">
        <v>1461</v>
      </c>
      <c r="F86" s="43" t="s">
        <v>1461</v>
      </c>
      <c r="G86" s="43" t="s">
        <v>1461</v>
      </c>
    </row>
    <row r="87" spans="1:7" x14ac:dyDescent="0.15">
      <c r="A87" s="43" t="s">
        <v>15</v>
      </c>
      <c r="B87" s="43">
        <v>5</v>
      </c>
      <c r="C87" s="43" t="s">
        <v>1461</v>
      </c>
      <c r="D87" s="43" t="s">
        <v>1461</v>
      </c>
      <c r="E87" s="43" t="s">
        <v>1461</v>
      </c>
      <c r="F87" s="43" t="s">
        <v>1461</v>
      </c>
      <c r="G87" s="43" t="s">
        <v>1461</v>
      </c>
    </row>
    <row r="88" spans="1:7" x14ac:dyDescent="0.15">
      <c r="A88" s="43" t="s">
        <v>15</v>
      </c>
      <c r="B88" s="43">
        <v>5</v>
      </c>
      <c r="C88" s="43" t="s">
        <v>1461</v>
      </c>
      <c r="D88" s="43" t="s">
        <v>1462</v>
      </c>
      <c r="E88" s="43" t="s">
        <v>1466</v>
      </c>
      <c r="F88" s="43" t="s">
        <v>1462</v>
      </c>
      <c r="G88" s="43" t="s">
        <v>1461</v>
      </c>
    </row>
    <row r="89" spans="1:7" x14ac:dyDescent="0.15">
      <c r="A89" s="43" t="s">
        <v>15</v>
      </c>
      <c r="B89" s="43">
        <v>5</v>
      </c>
      <c r="C89" s="43" t="s">
        <v>1461</v>
      </c>
      <c r="D89" s="43" t="s">
        <v>1461</v>
      </c>
      <c r="E89" s="43" t="s">
        <v>1461</v>
      </c>
      <c r="F89" s="43" t="s">
        <v>1461</v>
      </c>
      <c r="G89" s="43" t="s">
        <v>1461</v>
      </c>
    </row>
    <row r="90" spans="1:7" x14ac:dyDescent="0.15">
      <c r="A90" s="43" t="s">
        <v>15</v>
      </c>
      <c r="B90" s="43">
        <v>5</v>
      </c>
      <c r="C90" s="43" t="s">
        <v>1461</v>
      </c>
      <c r="D90" s="43" t="s">
        <v>1461</v>
      </c>
      <c r="E90" s="43" t="s">
        <v>1461</v>
      </c>
      <c r="F90" s="43" t="s">
        <v>1461</v>
      </c>
      <c r="G90" s="43" t="s">
        <v>1461</v>
      </c>
    </row>
    <row r="91" spans="1:7" x14ac:dyDescent="0.15">
      <c r="A91" s="43" t="s">
        <v>15</v>
      </c>
      <c r="B91" s="43">
        <v>5</v>
      </c>
      <c r="C91" s="43" t="s">
        <v>1461</v>
      </c>
      <c r="D91" s="43" t="s">
        <v>1461</v>
      </c>
      <c r="E91" s="43" t="s">
        <v>1461</v>
      </c>
      <c r="F91" s="43" t="s">
        <v>1461</v>
      </c>
      <c r="G91" s="43" t="s">
        <v>1461</v>
      </c>
    </row>
    <row r="92" spans="1:7" x14ac:dyDescent="0.15">
      <c r="A92" s="43" t="s">
        <v>15</v>
      </c>
      <c r="B92" s="43">
        <v>5</v>
      </c>
      <c r="C92" s="43" t="s">
        <v>1461</v>
      </c>
      <c r="D92" s="43" t="s">
        <v>1461</v>
      </c>
      <c r="E92" s="43" t="s">
        <v>1461</v>
      </c>
      <c r="F92" s="43" t="s">
        <v>1461</v>
      </c>
      <c r="G92" s="43" t="s">
        <v>1461</v>
      </c>
    </row>
    <row r="93" spans="1:7" x14ac:dyDescent="0.15">
      <c r="A93" s="43" t="s">
        <v>15</v>
      </c>
      <c r="B93" s="43">
        <v>5</v>
      </c>
      <c r="C93" s="43" t="s">
        <v>1464</v>
      </c>
      <c r="D93" s="43" t="s">
        <v>1464</v>
      </c>
      <c r="E93" s="43" t="s">
        <v>1464</v>
      </c>
      <c r="F93" s="43" t="s">
        <v>1464</v>
      </c>
      <c r="G93" s="43" t="s">
        <v>1464</v>
      </c>
    </row>
    <row r="94" spans="1:7" x14ac:dyDescent="0.15">
      <c r="A94" s="43" t="s">
        <v>15</v>
      </c>
      <c r="B94" s="43">
        <v>5.5</v>
      </c>
      <c r="C94" s="43" t="s">
        <v>1461</v>
      </c>
      <c r="D94" s="43" t="s">
        <v>1461</v>
      </c>
      <c r="E94" s="43" t="s">
        <v>1461</v>
      </c>
      <c r="F94" s="43" t="s">
        <v>1461</v>
      </c>
      <c r="G94" s="43" t="s">
        <v>1461</v>
      </c>
    </row>
    <row r="95" spans="1:7" x14ac:dyDescent="0.15">
      <c r="A95" s="43" t="s">
        <v>15</v>
      </c>
      <c r="B95" s="43">
        <v>5.7</v>
      </c>
      <c r="C95" s="43" t="s">
        <v>1464</v>
      </c>
      <c r="D95" s="43" t="s">
        <v>1464</v>
      </c>
      <c r="E95" s="43" t="s">
        <v>1464</v>
      </c>
      <c r="F95" s="43" t="s">
        <v>1464</v>
      </c>
      <c r="G95" s="43" t="s">
        <v>1464</v>
      </c>
    </row>
    <row r="96" spans="1:7" x14ac:dyDescent="0.15">
      <c r="A96" s="43" t="s">
        <v>15</v>
      </c>
      <c r="B96" s="43">
        <v>6</v>
      </c>
      <c r="C96" s="43" t="s">
        <v>1461</v>
      </c>
      <c r="D96" s="43" t="s">
        <v>1461</v>
      </c>
      <c r="E96" s="43" t="s">
        <v>1461</v>
      </c>
      <c r="F96" s="43" t="s">
        <v>1461</v>
      </c>
      <c r="G96" s="43" t="s">
        <v>1461</v>
      </c>
    </row>
    <row r="97" spans="1:7" x14ac:dyDescent="0.15">
      <c r="A97" s="43" t="s">
        <v>15</v>
      </c>
      <c r="B97" s="43">
        <v>6</v>
      </c>
      <c r="C97" s="43" t="s">
        <v>1461</v>
      </c>
      <c r="D97" s="43" t="s">
        <v>1461</v>
      </c>
      <c r="E97" s="43" t="s">
        <v>1461</v>
      </c>
      <c r="F97" s="43" t="s">
        <v>1461</v>
      </c>
      <c r="G97" s="43" t="s">
        <v>1461</v>
      </c>
    </row>
    <row r="98" spans="1:7" x14ac:dyDescent="0.15">
      <c r="A98" s="43" t="s">
        <v>15</v>
      </c>
      <c r="B98" s="43">
        <v>6</v>
      </c>
      <c r="C98" s="43" t="s">
        <v>1461</v>
      </c>
      <c r="D98" s="43" t="s">
        <v>1461</v>
      </c>
      <c r="E98" s="43" t="s">
        <v>1461</v>
      </c>
      <c r="F98" s="43" t="s">
        <v>1461</v>
      </c>
      <c r="G98" s="43" t="s">
        <v>1461</v>
      </c>
    </row>
    <row r="99" spans="1:7" x14ac:dyDescent="0.15">
      <c r="A99" s="43" t="s">
        <v>15</v>
      </c>
      <c r="B99" s="43">
        <v>6</v>
      </c>
      <c r="C99" s="43" t="s">
        <v>1464</v>
      </c>
      <c r="D99" s="43" t="s">
        <v>1464</v>
      </c>
      <c r="E99" s="43" t="s">
        <v>1464</v>
      </c>
      <c r="F99" s="43" t="s">
        <v>1464</v>
      </c>
      <c r="G99" s="43" t="s">
        <v>1464</v>
      </c>
    </row>
    <row r="100" spans="1:7" x14ac:dyDescent="0.15">
      <c r="A100" s="43" t="s">
        <v>15</v>
      </c>
      <c r="B100" s="43">
        <v>6</v>
      </c>
      <c r="C100" s="43" t="s">
        <v>1464</v>
      </c>
      <c r="D100" s="43" t="s">
        <v>1464</v>
      </c>
      <c r="E100" s="43" t="s">
        <v>1464</v>
      </c>
      <c r="F100" s="43" t="s">
        <v>1464</v>
      </c>
      <c r="G100" s="43" t="s">
        <v>1464</v>
      </c>
    </row>
    <row r="101" spans="1:7" x14ac:dyDescent="0.15">
      <c r="A101" s="43" t="s">
        <v>15</v>
      </c>
      <c r="B101" s="43">
        <v>6</v>
      </c>
      <c r="C101" s="43" t="s">
        <v>1461</v>
      </c>
      <c r="D101" s="43" t="s">
        <v>1461</v>
      </c>
      <c r="E101" s="43" t="s">
        <v>1461</v>
      </c>
      <c r="F101" s="43" t="s">
        <v>1461</v>
      </c>
      <c r="G101" s="43" t="s">
        <v>1461</v>
      </c>
    </row>
    <row r="102" spans="1:7" x14ac:dyDescent="0.15">
      <c r="A102" s="43" t="s">
        <v>15</v>
      </c>
      <c r="B102" s="43">
        <v>7</v>
      </c>
      <c r="C102" s="43" t="s">
        <v>1461</v>
      </c>
      <c r="D102" s="43" t="s">
        <v>1461</v>
      </c>
      <c r="E102" s="43" t="s">
        <v>1461</v>
      </c>
      <c r="F102" s="43" t="s">
        <v>1461</v>
      </c>
      <c r="G102" s="43" t="s">
        <v>1461</v>
      </c>
    </row>
    <row r="103" spans="1:7" x14ac:dyDescent="0.15">
      <c r="A103" s="43" t="s">
        <v>15</v>
      </c>
      <c r="B103" s="43">
        <v>7</v>
      </c>
      <c r="C103" s="43" t="s">
        <v>1461</v>
      </c>
      <c r="D103" s="43" t="s">
        <v>1461</v>
      </c>
      <c r="E103" s="43" t="s">
        <v>1461</v>
      </c>
      <c r="F103" s="43" t="s">
        <v>1461</v>
      </c>
      <c r="G103" s="43" t="s">
        <v>1461</v>
      </c>
    </row>
    <row r="104" spans="1:7" x14ac:dyDescent="0.15">
      <c r="A104" s="43" t="s">
        <v>15</v>
      </c>
      <c r="B104" s="43">
        <v>7</v>
      </c>
      <c r="C104" s="43" t="s">
        <v>1461</v>
      </c>
      <c r="D104" s="43" t="s">
        <v>1461</v>
      </c>
      <c r="E104" s="43" t="s">
        <v>1461</v>
      </c>
      <c r="F104" s="43" t="s">
        <v>1461</v>
      </c>
      <c r="G104" s="43" t="s">
        <v>1461</v>
      </c>
    </row>
    <row r="105" spans="1:7" x14ac:dyDescent="0.15">
      <c r="A105" s="43" t="s">
        <v>15</v>
      </c>
      <c r="B105" s="43">
        <v>7</v>
      </c>
      <c r="C105" s="43" t="s">
        <v>1461</v>
      </c>
      <c r="D105" s="43" t="s">
        <v>1461</v>
      </c>
      <c r="E105" s="43" t="s">
        <v>1461</v>
      </c>
      <c r="F105" s="43" t="s">
        <v>1461</v>
      </c>
      <c r="G105" s="43" t="s">
        <v>1461</v>
      </c>
    </row>
    <row r="106" spans="1:7" x14ac:dyDescent="0.15">
      <c r="A106" s="43" t="s">
        <v>15</v>
      </c>
      <c r="B106" s="43">
        <v>7</v>
      </c>
      <c r="C106" s="43" t="s">
        <v>1460</v>
      </c>
      <c r="D106" s="43" t="s">
        <v>1461</v>
      </c>
      <c r="E106" s="43" t="s">
        <v>1460</v>
      </c>
      <c r="F106" s="43" t="s">
        <v>1461</v>
      </c>
      <c r="G106" s="43" t="s">
        <v>1460</v>
      </c>
    </row>
    <row r="107" spans="1:7" x14ac:dyDescent="0.15">
      <c r="A107" s="43" t="s">
        <v>15</v>
      </c>
      <c r="B107" s="43">
        <v>7</v>
      </c>
      <c r="C107" s="43" t="s">
        <v>1461</v>
      </c>
      <c r="D107" s="43" t="s">
        <v>1461</v>
      </c>
      <c r="E107" s="43" t="s">
        <v>1461</v>
      </c>
      <c r="F107" s="43" t="s">
        <v>1461</v>
      </c>
      <c r="G107" s="43" t="s">
        <v>1461</v>
      </c>
    </row>
    <row r="108" spans="1:7" x14ac:dyDescent="0.15">
      <c r="A108" s="43" t="s">
        <v>15</v>
      </c>
      <c r="B108" s="43">
        <v>7</v>
      </c>
      <c r="C108" s="43" t="s">
        <v>1464</v>
      </c>
      <c r="D108" s="43" t="s">
        <v>1464</v>
      </c>
      <c r="E108" s="43" t="s">
        <v>1464</v>
      </c>
      <c r="F108" s="43" t="s">
        <v>1464</v>
      </c>
      <c r="G108" s="43" t="s">
        <v>1464</v>
      </c>
    </row>
    <row r="109" spans="1:7" x14ac:dyDescent="0.15">
      <c r="A109" s="43" t="s">
        <v>15</v>
      </c>
      <c r="B109" s="43">
        <v>7</v>
      </c>
      <c r="C109" s="43" t="s">
        <v>1461</v>
      </c>
      <c r="D109" s="43" t="s">
        <v>1461</v>
      </c>
      <c r="E109" s="43" t="s">
        <v>1461</v>
      </c>
      <c r="F109" s="43" t="s">
        <v>1461</v>
      </c>
      <c r="G109" s="43" t="s">
        <v>1461</v>
      </c>
    </row>
    <row r="110" spans="1:7" x14ac:dyDescent="0.15">
      <c r="A110" s="43" t="s">
        <v>15</v>
      </c>
      <c r="B110" s="43">
        <v>7</v>
      </c>
      <c r="C110" s="43" t="s">
        <v>1460</v>
      </c>
      <c r="D110" s="43" t="s">
        <v>1461</v>
      </c>
      <c r="E110" s="43" t="s">
        <v>1460</v>
      </c>
      <c r="F110" s="43" t="s">
        <v>1461</v>
      </c>
      <c r="G110" s="43" t="s">
        <v>1460</v>
      </c>
    </row>
    <row r="111" spans="1:7" x14ac:dyDescent="0.15">
      <c r="A111" s="43" t="s">
        <v>15</v>
      </c>
      <c r="B111" s="43">
        <v>7.5</v>
      </c>
      <c r="C111" s="43" t="s">
        <v>1461</v>
      </c>
      <c r="D111" s="43" t="s">
        <v>1461</v>
      </c>
      <c r="E111" s="43" t="s">
        <v>1461</v>
      </c>
      <c r="F111" s="43" t="s">
        <v>1461</v>
      </c>
      <c r="G111" s="43" t="s">
        <v>1461</v>
      </c>
    </row>
    <row r="112" spans="1:7" x14ac:dyDescent="0.15">
      <c r="A112" s="43" t="s">
        <v>15</v>
      </c>
      <c r="B112" s="43">
        <v>7.9</v>
      </c>
      <c r="C112" s="43" t="s">
        <v>1461</v>
      </c>
      <c r="D112" s="43" t="s">
        <v>1461</v>
      </c>
      <c r="E112" s="43" t="s">
        <v>1461</v>
      </c>
      <c r="F112" s="43" t="s">
        <v>1461</v>
      </c>
      <c r="G112" s="43" t="s">
        <v>1461</v>
      </c>
    </row>
    <row r="113" spans="1:7" x14ac:dyDescent="0.15">
      <c r="A113" s="43" t="s">
        <v>15</v>
      </c>
      <c r="B113" s="43">
        <v>8</v>
      </c>
      <c r="C113" s="43" t="s">
        <v>1461</v>
      </c>
      <c r="D113" s="43" t="s">
        <v>1461</v>
      </c>
      <c r="E113" s="43" t="s">
        <v>1461</v>
      </c>
      <c r="F113" s="43" t="s">
        <v>1461</v>
      </c>
      <c r="G113" s="43" t="s">
        <v>1461</v>
      </c>
    </row>
    <row r="114" spans="1:7" x14ac:dyDescent="0.15">
      <c r="A114" s="43" t="s">
        <v>15</v>
      </c>
      <c r="B114" s="43">
        <v>8.5</v>
      </c>
      <c r="C114" s="43" t="s">
        <v>1461</v>
      </c>
      <c r="D114" s="43" t="s">
        <v>1461</v>
      </c>
      <c r="E114" s="43" t="s">
        <v>1461</v>
      </c>
      <c r="F114" s="43" t="s">
        <v>1461</v>
      </c>
      <c r="G114" s="43" t="s">
        <v>1461</v>
      </c>
    </row>
    <row r="115" spans="1:7" x14ac:dyDescent="0.15">
      <c r="A115" s="43" t="s">
        <v>15</v>
      </c>
      <c r="B115" s="43">
        <v>8.5</v>
      </c>
      <c r="C115" s="43" t="s">
        <v>1461</v>
      </c>
      <c r="D115" s="43" t="s">
        <v>1461</v>
      </c>
      <c r="E115" s="43" t="s">
        <v>1461</v>
      </c>
      <c r="F115" s="43" t="s">
        <v>1461</v>
      </c>
      <c r="G115" s="43" t="s">
        <v>1461</v>
      </c>
    </row>
    <row r="116" spans="1:7" x14ac:dyDescent="0.15">
      <c r="A116" s="43" t="s">
        <v>15</v>
      </c>
      <c r="B116" s="43">
        <v>9</v>
      </c>
      <c r="C116" s="43" t="s">
        <v>1461</v>
      </c>
      <c r="D116" s="43" t="s">
        <v>1461</v>
      </c>
      <c r="E116" s="43" t="s">
        <v>1461</v>
      </c>
      <c r="F116" s="43" t="s">
        <v>1461</v>
      </c>
      <c r="G116" s="43" t="s">
        <v>1461</v>
      </c>
    </row>
    <row r="117" spans="1:7" x14ac:dyDescent="0.15">
      <c r="A117" s="43" t="s">
        <v>15</v>
      </c>
      <c r="B117" s="43">
        <v>9</v>
      </c>
      <c r="C117" s="43" t="s">
        <v>1461</v>
      </c>
      <c r="D117" s="43" t="s">
        <v>1461</v>
      </c>
      <c r="E117" s="43" t="s">
        <v>1461</v>
      </c>
      <c r="F117" s="43" t="s">
        <v>1461</v>
      </c>
      <c r="G117" s="43" t="s">
        <v>1461</v>
      </c>
    </row>
    <row r="118" spans="1:7" x14ac:dyDescent="0.15">
      <c r="A118" s="43" t="s">
        <v>15</v>
      </c>
      <c r="B118" s="43">
        <v>9.1999999999999993</v>
      </c>
      <c r="C118" s="43" t="s">
        <v>1461</v>
      </c>
      <c r="D118" s="43" t="s">
        <v>1461</v>
      </c>
      <c r="E118" s="43" t="s">
        <v>1461</v>
      </c>
      <c r="F118" s="43" t="s">
        <v>1461</v>
      </c>
      <c r="G118" s="43" t="s">
        <v>1461</v>
      </c>
    </row>
    <row r="119" spans="1:7" x14ac:dyDescent="0.15">
      <c r="A119" s="43" t="s">
        <v>15</v>
      </c>
      <c r="B119" s="43">
        <v>9.6</v>
      </c>
      <c r="C119" s="43" t="s">
        <v>1461</v>
      </c>
      <c r="D119" s="43" t="s">
        <v>1461</v>
      </c>
      <c r="E119" s="43" t="s">
        <v>1461</v>
      </c>
      <c r="F119" s="43" t="s">
        <v>1461</v>
      </c>
      <c r="G119" s="43" t="s">
        <v>1461</v>
      </c>
    </row>
    <row r="120" spans="1:7" x14ac:dyDescent="0.15">
      <c r="A120" s="43" t="s">
        <v>15</v>
      </c>
      <c r="B120" s="43">
        <v>10</v>
      </c>
      <c r="C120" s="43" t="s">
        <v>1461</v>
      </c>
      <c r="D120" s="43" t="s">
        <v>1461</v>
      </c>
      <c r="E120" s="43" t="s">
        <v>1461</v>
      </c>
      <c r="F120" s="43" t="s">
        <v>1461</v>
      </c>
      <c r="G120" s="43" t="s">
        <v>1461</v>
      </c>
    </row>
    <row r="121" spans="1:7" x14ac:dyDescent="0.15">
      <c r="A121" s="43" t="s">
        <v>15</v>
      </c>
      <c r="B121" s="43">
        <v>10</v>
      </c>
      <c r="C121" s="43" t="s">
        <v>1461</v>
      </c>
      <c r="D121" s="43" t="s">
        <v>1461</v>
      </c>
      <c r="E121" s="43" t="s">
        <v>1461</v>
      </c>
      <c r="F121" s="43" t="s">
        <v>1461</v>
      </c>
      <c r="G121" s="43" t="s">
        <v>1461</v>
      </c>
    </row>
    <row r="122" spans="1:7" x14ac:dyDescent="0.15">
      <c r="A122" s="43" t="s">
        <v>15</v>
      </c>
      <c r="B122" s="43">
        <v>10</v>
      </c>
      <c r="C122" s="43" t="s">
        <v>1464</v>
      </c>
      <c r="D122" s="43" t="s">
        <v>1464</v>
      </c>
      <c r="E122" s="43" t="s">
        <v>1464</v>
      </c>
      <c r="F122" s="43" t="s">
        <v>1464</v>
      </c>
      <c r="G122" s="43" t="s">
        <v>1464</v>
      </c>
    </row>
    <row r="123" spans="1:7" x14ac:dyDescent="0.15">
      <c r="A123" s="43" t="s">
        <v>15</v>
      </c>
      <c r="B123" s="43">
        <v>10</v>
      </c>
      <c r="C123" s="43" t="s">
        <v>1461</v>
      </c>
      <c r="D123" s="43" t="s">
        <v>1461</v>
      </c>
      <c r="E123" s="43" t="s">
        <v>1461</v>
      </c>
      <c r="F123" s="43" t="s">
        <v>1461</v>
      </c>
      <c r="G123" s="43" t="s">
        <v>1461</v>
      </c>
    </row>
    <row r="124" spans="1:7" x14ac:dyDescent="0.15">
      <c r="A124" s="43" t="s">
        <v>15</v>
      </c>
      <c r="B124" s="43">
        <v>10</v>
      </c>
      <c r="C124" s="43" t="s">
        <v>1464</v>
      </c>
      <c r="D124" s="43" t="s">
        <v>1461</v>
      </c>
      <c r="E124" s="43" t="s">
        <v>1464</v>
      </c>
      <c r="F124" s="43" t="s">
        <v>1464</v>
      </c>
      <c r="G124" s="43" t="s">
        <v>1461</v>
      </c>
    </row>
    <row r="125" spans="1:7" x14ac:dyDescent="0.15">
      <c r="A125" s="43" t="s">
        <v>15</v>
      </c>
      <c r="B125" s="43">
        <v>10</v>
      </c>
      <c r="C125" s="43" t="s">
        <v>1461</v>
      </c>
      <c r="D125" s="43" t="s">
        <v>1461</v>
      </c>
      <c r="E125" s="43" t="s">
        <v>1461</v>
      </c>
      <c r="F125" s="43" t="s">
        <v>1461</v>
      </c>
      <c r="G125" s="43" t="s">
        <v>1461</v>
      </c>
    </row>
    <row r="126" spans="1:7" x14ac:dyDescent="0.15">
      <c r="A126" s="43" t="s">
        <v>15</v>
      </c>
      <c r="B126" s="43">
        <v>10</v>
      </c>
      <c r="C126" s="43" t="s">
        <v>1461</v>
      </c>
      <c r="D126" s="43" t="s">
        <v>1461</v>
      </c>
      <c r="E126" s="43" t="s">
        <v>1461</v>
      </c>
      <c r="F126" s="43" t="s">
        <v>1461</v>
      </c>
      <c r="G126" s="43" t="s">
        <v>1461</v>
      </c>
    </row>
    <row r="127" spans="1:7" x14ac:dyDescent="0.15">
      <c r="A127" s="43" t="s">
        <v>15</v>
      </c>
      <c r="B127" s="43">
        <v>10</v>
      </c>
      <c r="C127" s="43" t="s">
        <v>1461</v>
      </c>
      <c r="D127" s="43" t="s">
        <v>1461</v>
      </c>
      <c r="E127" s="43" t="s">
        <v>1461</v>
      </c>
      <c r="F127" s="43" t="s">
        <v>1461</v>
      </c>
      <c r="G127" s="43" t="s">
        <v>1461</v>
      </c>
    </row>
    <row r="128" spans="1:7" x14ac:dyDescent="0.15">
      <c r="A128" s="43" t="s">
        <v>15</v>
      </c>
      <c r="B128" s="43">
        <v>10</v>
      </c>
      <c r="C128" s="43" t="s">
        <v>1461</v>
      </c>
      <c r="D128" s="43" t="s">
        <v>1461</v>
      </c>
      <c r="E128" s="43" t="s">
        <v>1461</v>
      </c>
      <c r="F128" s="43" t="s">
        <v>1461</v>
      </c>
      <c r="G128" s="43" t="s">
        <v>1461</v>
      </c>
    </row>
    <row r="129" spans="1:7" x14ac:dyDescent="0.15">
      <c r="A129" s="43" t="s">
        <v>15</v>
      </c>
      <c r="B129" s="43">
        <v>10</v>
      </c>
      <c r="C129" s="43" t="s">
        <v>1461</v>
      </c>
      <c r="D129" s="43" t="s">
        <v>1461</v>
      </c>
      <c r="E129" s="43" t="s">
        <v>1461</v>
      </c>
      <c r="F129" s="43" t="s">
        <v>1461</v>
      </c>
      <c r="G129" s="43" t="s">
        <v>1461</v>
      </c>
    </row>
    <row r="130" spans="1:7" x14ac:dyDescent="0.15">
      <c r="A130" s="43" t="s">
        <v>15</v>
      </c>
      <c r="B130" s="43">
        <v>10</v>
      </c>
      <c r="C130" s="43" t="s">
        <v>1461</v>
      </c>
      <c r="D130" s="43" t="s">
        <v>1461</v>
      </c>
      <c r="E130" s="43" t="s">
        <v>1461</v>
      </c>
      <c r="F130" s="43" t="s">
        <v>1461</v>
      </c>
      <c r="G130" s="43" t="s">
        <v>1461</v>
      </c>
    </row>
    <row r="131" spans="1:7" x14ac:dyDescent="0.15">
      <c r="A131" s="43" t="s">
        <v>15</v>
      </c>
      <c r="B131" s="43">
        <v>10</v>
      </c>
      <c r="C131" s="43" t="s">
        <v>1464</v>
      </c>
      <c r="D131" s="43" t="s">
        <v>1464</v>
      </c>
      <c r="E131" s="43" t="s">
        <v>1464</v>
      </c>
      <c r="F131" s="43" t="s">
        <v>1464</v>
      </c>
      <c r="G131" s="43" t="s">
        <v>1464</v>
      </c>
    </row>
    <row r="132" spans="1:7" x14ac:dyDescent="0.15">
      <c r="A132" s="43" t="s">
        <v>15</v>
      </c>
      <c r="B132" s="43">
        <v>10</v>
      </c>
      <c r="C132" s="43" t="s">
        <v>1461</v>
      </c>
      <c r="D132" s="43" t="s">
        <v>1461</v>
      </c>
      <c r="E132" s="43" t="s">
        <v>1461</v>
      </c>
      <c r="F132" s="43" t="s">
        <v>1461</v>
      </c>
      <c r="G132" s="43" t="s">
        <v>1461</v>
      </c>
    </row>
    <row r="133" spans="1:7" x14ac:dyDescent="0.15">
      <c r="A133" s="43" t="s">
        <v>15</v>
      </c>
      <c r="B133" s="43">
        <v>10</v>
      </c>
      <c r="C133" s="43" t="s">
        <v>1464</v>
      </c>
      <c r="D133" s="43" t="s">
        <v>1464</v>
      </c>
      <c r="E133" s="43" t="s">
        <v>1464</v>
      </c>
      <c r="F133" s="43" t="s">
        <v>1464</v>
      </c>
      <c r="G133" s="43" t="s">
        <v>1464</v>
      </c>
    </row>
    <row r="134" spans="1:7" x14ac:dyDescent="0.15">
      <c r="A134" s="43" t="s">
        <v>15</v>
      </c>
      <c r="B134" s="43">
        <v>10.36</v>
      </c>
      <c r="C134" s="43" t="s">
        <v>1461</v>
      </c>
      <c r="D134" s="43" t="s">
        <v>1461</v>
      </c>
      <c r="E134" s="43" t="s">
        <v>1461</v>
      </c>
      <c r="F134" s="43" t="s">
        <v>1461</v>
      </c>
      <c r="G134" s="43" t="s">
        <v>1461</v>
      </c>
    </row>
    <row r="135" spans="1:7" x14ac:dyDescent="0.15">
      <c r="A135" s="43" t="s">
        <v>15</v>
      </c>
      <c r="B135" s="43">
        <v>11</v>
      </c>
      <c r="C135" s="43" t="s">
        <v>1461</v>
      </c>
      <c r="D135" s="43" t="s">
        <v>1461</v>
      </c>
      <c r="E135" s="43" t="s">
        <v>1461</v>
      </c>
      <c r="F135" s="43" t="s">
        <v>1461</v>
      </c>
      <c r="G135" s="43" t="s">
        <v>1461</v>
      </c>
    </row>
    <row r="136" spans="1:7" x14ac:dyDescent="0.15">
      <c r="A136" s="43" t="s">
        <v>15</v>
      </c>
      <c r="B136" s="43">
        <v>11</v>
      </c>
      <c r="C136" s="43" t="s">
        <v>1461</v>
      </c>
      <c r="D136" s="43" t="s">
        <v>1461</v>
      </c>
      <c r="E136" s="43" t="s">
        <v>1461</v>
      </c>
      <c r="F136" s="43" t="s">
        <v>1461</v>
      </c>
      <c r="G136" s="43" t="s">
        <v>1461</v>
      </c>
    </row>
    <row r="137" spans="1:7" x14ac:dyDescent="0.15">
      <c r="A137" s="43" t="s">
        <v>15</v>
      </c>
      <c r="B137" s="43">
        <v>11</v>
      </c>
      <c r="C137" s="43" t="s">
        <v>1461</v>
      </c>
      <c r="D137" s="43" t="s">
        <v>1461</v>
      </c>
      <c r="E137" s="43" t="s">
        <v>1461</v>
      </c>
      <c r="F137" s="43" t="s">
        <v>1461</v>
      </c>
      <c r="G137" s="43" t="s">
        <v>1461</v>
      </c>
    </row>
    <row r="138" spans="1:7" x14ac:dyDescent="0.15">
      <c r="A138" s="43" t="s">
        <v>15</v>
      </c>
      <c r="B138" s="43">
        <v>11</v>
      </c>
      <c r="C138" s="43" t="s">
        <v>1461</v>
      </c>
      <c r="D138" s="43" t="s">
        <v>1461</v>
      </c>
      <c r="E138" s="43" t="s">
        <v>1461</v>
      </c>
      <c r="F138" s="43" t="s">
        <v>1461</v>
      </c>
      <c r="G138" s="43" t="s">
        <v>1461</v>
      </c>
    </row>
    <row r="139" spans="1:7" x14ac:dyDescent="0.15">
      <c r="A139" s="43" t="s">
        <v>15</v>
      </c>
      <c r="B139" s="43">
        <v>11.5</v>
      </c>
      <c r="C139" s="43" t="s">
        <v>1461</v>
      </c>
      <c r="D139" s="43" t="s">
        <v>1461</v>
      </c>
      <c r="E139" s="43" t="s">
        <v>1461</v>
      </c>
      <c r="F139" s="43" t="s">
        <v>1461</v>
      </c>
      <c r="G139" s="43" t="s">
        <v>1461</v>
      </c>
    </row>
    <row r="140" spans="1:7" x14ac:dyDescent="0.15">
      <c r="A140" s="43" t="s">
        <v>15</v>
      </c>
      <c r="B140" s="43">
        <v>12</v>
      </c>
      <c r="C140" s="43" t="s">
        <v>1461</v>
      </c>
      <c r="D140" s="43" t="s">
        <v>1461</v>
      </c>
      <c r="E140" s="43" t="s">
        <v>1461</v>
      </c>
      <c r="F140" s="43" t="s">
        <v>1461</v>
      </c>
      <c r="G140" s="43" t="s">
        <v>1461</v>
      </c>
    </row>
    <row r="141" spans="1:7" x14ac:dyDescent="0.15">
      <c r="A141" s="43" t="s">
        <v>15</v>
      </c>
      <c r="B141" s="43">
        <v>12</v>
      </c>
      <c r="C141" s="43" t="s">
        <v>1461</v>
      </c>
      <c r="D141" s="43" t="s">
        <v>1461</v>
      </c>
      <c r="E141" s="43" t="s">
        <v>1461</v>
      </c>
      <c r="F141" s="43" t="s">
        <v>1462</v>
      </c>
      <c r="G141" s="43" t="s">
        <v>1462</v>
      </c>
    </row>
    <row r="142" spans="1:7" x14ac:dyDescent="0.15">
      <c r="A142" s="43" t="s">
        <v>15</v>
      </c>
      <c r="B142" s="43">
        <v>12</v>
      </c>
      <c r="C142" s="43" t="s">
        <v>1461</v>
      </c>
      <c r="D142" s="43" t="s">
        <v>1461</v>
      </c>
      <c r="E142" s="43" t="s">
        <v>1461</v>
      </c>
      <c r="F142" s="43" t="s">
        <v>1461</v>
      </c>
      <c r="G142" s="43" t="s">
        <v>1461</v>
      </c>
    </row>
    <row r="143" spans="1:7" x14ac:dyDescent="0.15">
      <c r="A143" s="43" t="s">
        <v>15</v>
      </c>
      <c r="B143" s="43">
        <v>12</v>
      </c>
      <c r="C143" s="43" t="s">
        <v>1461</v>
      </c>
      <c r="D143" s="43" t="s">
        <v>1461</v>
      </c>
      <c r="E143" s="43" t="s">
        <v>1461</v>
      </c>
      <c r="F143" s="43" t="s">
        <v>1461</v>
      </c>
      <c r="G143" s="43" t="s">
        <v>1461</v>
      </c>
    </row>
    <row r="144" spans="1:7" x14ac:dyDescent="0.15">
      <c r="A144" s="43" t="s">
        <v>15</v>
      </c>
      <c r="B144" s="43">
        <v>12</v>
      </c>
      <c r="C144" s="43" t="s">
        <v>1461</v>
      </c>
      <c r="D144" s="43" t="s">
        <v>1461</v>
      </c>
      <c r="E144" s="43" t="s">
        <v>1461</v>
      </c>
      <c r="F144" s="43" t="s">
        <v>1461</v>
      </c>
      <c r="G144" s="43" t="s">
        <v>1461</v>
      </c>
    </row>
    <row r="145" spans="1:7" x14ac:dyDescent="0.15">
      <c r="A145" s="43" t="s">
        <v>15</v>
      </c>
      <c r="B145" s="43">
        <v>12.5</v>
      </c>
      <c r="C145" s="43" t="s">
        <v>1461</v>
      </c>
      <c r="D145" s="43" t="s">
        <v>1461</v>
      </c>
      <c r="E145" s="43" t="s">
        <v>1461</v>
      </c>
      <c r="F145" s="43" t="s">
        <v>1461</v>
      </c>
      <c r="G145" s="43" t="s">
        <v>1461</v>
      </c>
    </row>
    <row r="146" spans="1:7" x14ac:dyDescent="0.15">
      <c r="A146" s="43" t="s">
        <v>15</v>
      </c>
      <c r="B146" s="43">
        <v>13</v>
      </c>
      <c r="C146" s="43" t="s">
        <v>1461</v>
      </c>
      <c r="D146" s="43" t="s">
        <v>1461</v>
      </c>
      <c r="E146" s="43" t="s">
        <v>1461</v>
      </c>
      <c r="F146" s="43" t="s">
        <v>1461</v>
      </c>
      <c r="G146" s="43" t="s">
        <v>1461</v>
      </c>
    </row>
    <row r="147" spans="1:7" x14ac:dyDescent="0.15">
      <c r="A147" s="43" t="s">
        <v>15</v>
      </c>
      <c r="B147" s="43">
        <v>13</v>
      </c>
      <c r="C147" s="43" t="s">
        <v>1461</v>
      </c>
      <c r="D147" s="43" t="s">
        <v>1461</v>
      </c>
      <c r="E147" s="43" t="s">
        <v>1461</v>
      </c>
      <c r="F147" s="43" t="s">
        <v>1461</v>
      </c>
      <c r="G147" s="43" t="s">
        <v>1461</v>
      </c>
    </row>
    <row r="148" spans="1:7" x14ac:dyDescent="0.15">
      <c r="A148" s="43" t="s">
        <v>15</v>
      </c>
      <c r="B148" s="43">
        <v>13</v>
      </c>
      <c r="C148" s="43" t="s">
        <v>1461</v>
      </c>
      <c r="D148" s="43" t="s">
        <v>1461</v>
      </c>
      <c r="E148" s="43" t="s">
        <v>1461</v>
      </c>
      <c r="F148" s="43" t="s">
        <v>1461</v>
      </c>
      <c r="G148" s="43" t="s">
        <v>1461</v>
      </c>
    </row>
    <row r="149" spans="1:7" x14ac:dyDescent="0.15">
      <c r="A149" s="43" t="s">
        <v>15</v>
      </c>
      <c r="B149" s="43">
        <v>13</v>
      </c>
      <c r="C149" s="43" t="s">
        <v>1461</v>
      </c>
      <c r="D149" s="43" t="s">
        <v>1461</v>
      </c>
      <c r="E149" s="43" t="s">
        <v>1461</v>
      </c>
      <c r="F149" s="43" t="s">
        <v>1461</v>
      </c>
      <c r="G149" s="43" t="s">
        <v>1461</v>
      </c>
    </row>
    <row r="150" spans="1:7" x14ac:dyDescent="0.15">
      <c r="A150" s="43" t="s">
        <v>15</v>
      </c>
      <c r="B150" s="43">
        <v>13</v>
      </c>
      <c r="C150" s="43" t="s">
        <v>1461</v>
      </c>
      <c r="D150" s="43" t="s">
        <v>1461</v>
      </c>
      <c r="E150" s="43" t="s">
        <v>1461</v>
      </c>
      <c r="F150" s="43" t="s">
        <v>1461</v>
      </c>
      <c r="G150" s="43" t="s">
        <v>1461</v>
      </c>
    </row>
    <row r="151" spans="1:7" x14ac:dyDescent="0.15">
      <c r="A151" s="43" t="s">
        <v>15</v>
      </c>
      <c r="B151" s="43">
        <v>13</v>
      </c>
      <c r="C151" s="43" t="s">
        <v>1461</v>
      </c>
      <c r="D151" s="43" t="s">
        <v>1461</v>
      </c>
      <c r="E151" s="43" t="s">
        <v>1461</v>
      </c>
      <c r="F151" s="43" t="s">
        <v>1461</v>
      </c>
      <c r="G151" s="43" t="s">
        <v>1461</v>
      </c>
    </row>
    <row r="152" spans="1:7" x14ac:dyDescent="0.15">
      <c r="A152" s="43" t="s">
        <v>15</v>
      </c>
      <c r="B152" s="43">
        <v>14</v>
      </c>
      <c r="C152" s="43" t="s">
        <v>1461</v>
      </c>
      <c r="D152" s="43" t="s">
        <v>1461</v>
      </c>
      <c r="E152" s="43" t="s">
        <v>1461</v>
      </c>
      <c r="F152" s="43" t="s">
        <v>1461</v>
      </c>
      <c r="G152" s="43" t="s">
        <v>1461</v>
      </c>
    </row>
    <row r="153" spans="1:7" x14ac:dyDescent="0.15">
      <c r="A153" s="43" t="s">
        <v>15</v>
      </c>
      <c r="B153" s="43">
        <v>15</v>
      </c>
      <c r="C153" s="43" t="s">
        <v>1461</v>
      </c>
      <c r="D153" s="43" t="s">
        <v>1461</v>
      </c>
      <c r="E153" s="43" t="s">
        <v>1461</v>
      </c>
      <c r="F153" s="43" t="s">
        <v>1461</v>
      </c>
      <c r="G153" s="43" t="s">
        <v>1461</v>
      </c>
    </row>
    <row r="154" spans="1:7" x14ac:dyDescent="0.15">
      <c r="A154" s="43" t="s">
        <v>15</v>
      </c>
      <c r="B154" s="43">
        <v>15</v>
      </c>
      <c r="C154" s="43" t="s">
        <v>1461</v>
      </c>
      <c r="D154" s="43" t="s">
        <v>1461</v>
      </c>
      <c r="E154" s="43" t="s">
        <v>1461</v>
      </c>
      <c r="F154" s="43" t="s">
        <v>1461</v>
      </c>
      <c r="G154" s="43" t="s">
        <v>1461</v>
      </c>
    </row>
    <row r="155" spans="1:7" x14ac:dyDescent="0.15">
      <c r="A155" s="43" t="s">
        <v>15</v>
      </c>
      <c r="B155" s="43">
        <v>15</v>
      </c>
      <c r="C155" s="43" t="s">
        <v>1461</v>
      </c>
      <c r="D155" s="43" t="s">
        <v>1461</v>
      </c>
      <c r="E155" s="43" t="s">
        <v>1461</v>
      </c>
      <c r="F155" s="43" t="s">
        <v>1461</v>
      </c>
      <c r="G155" s="43" t="s">
        <v>1464</v>
      </c>
    </row>
    <row r="156" spans="1:7" x14ac:dyDescent="0.15">
      <c r="A156" s="43" t="s">
        <v>15</v>
      </c>
      <c r="B156" s="43">
        <v>15</v>
      </c>
      <c r="C156" s="43" t="s">
        <v>1461</v>
      </c>
      <c r="D156" s="43" t="s">
        <v>1461</v>
      </c>
      <c r="E156" s="43" t="s">
        <v>1461</v>
      </c>
      <c r="F156" s="43" t="s">
        <v>1461</v>
      </c>
      <c r="G156" s="43" t="s">
        <v>1461</v>
      </c>
    </row>
    <row r="157" spans="1:7" x14ac:dyDescent="0.15">
      <c r="A157" s="43" t="s">
        <v>15</v>
      </c>
      <c r="B157" s="43">
        <v>16</v>
      </c>
      <c r="C157" s="43" t="s">
        <v>1464</v>
      </c>
      <c r="D157" s="43" t="s">
        <v>1464</v>
      </c>
      <c r="E157" s="43" t="s">
        <v>1464</v>
      </c>
      <c r="F157" s="43" t="s">
        <v>1464</v>
      </c>
      <c r="G157" s="43" t="s">
        <v>1464</v>
      </c>
    </row>
    <row r="158" spans="1:7" x14ac:dyDescent="0.15">
      <c r="A158" s="43" t="s">
        <v>15</v>
      </c>
      <c r="B158" s="43">
        <v>16</v>
      </c>
      <c r="C158" s="43" t="s">
        <v>1464</v>
      </c>
      <c r="D158" s="43" t="s">
        <v>1464</v>
      </c>
      <c r="E158" s="43" t="s">
        <v>1464</v>
      </c>
      <c r="F158" s="43" t="s">
        <v>1464</v>
      </c>
      <c r="G158" s="43" t="s">
        <v>1464</v>
      </c>
    </row>
    <row r="159" spans="1:7" x14ac:dyDescent="0.15">
      <c r="A159" s="43" t="s">
        <v>15</v>
      </c>
      <c r="B159" s="43">
        <v>16</v>
      </c>
      <c r="C159" s="43" t="s">
        <v>1464</v>
      </c>
      <c r="D159" s="43" t="s">
        <v>1464</v>
      </c>
      <c r="E159" s="43" t="s">
        <v>1464</v>
      </c>
      <c r="F159" s="43" t="s">
        <v>1464</v>
      </c>
      <c r="G159" s="43" t="s">
        <v>1464</v>
      </c>
    </row>
    <row r="160" spans="1:7" x14ac:dyDescent="0.15">
      <c r="A160" s="43" t="s">
        <v>15</v>
      </c>
      <c r="B160" s="43">
        <v>16.2</v>
      </c>
      <c r="C160" s="43" t="s">
        <v>1464</v>
      </c>
      <c r="D160" s="43" t="s">
        <v>1464</v>
      </c>
      <c r="E160" s="43" t="s">
        <v>1464</v>
      </c>
      <c r="F160" s="43" t="s">
        <v>1464</v>
      </c>
      <c r="G160" s="43" t="s">
        <v>1464</v>
      </c>
    </row>
    <row r="161" spans="1:7" x14ac:dyDescent="0.15">
      <c r="A161" s="43" t="s">
        <v>15</v>
      </c>
      <c r="B161" s="43">
        <v>17</v>
      </c>
      <c r="C161" s="43" t="s">
        <v>1465</v>
      </c>
      <c r="D161" s="43" t="s">
        <v>1465</v>
      </c>
      <c r="E161" s="43" t="s">
        <v>1465</v>
      </c>
      <c r="F161" s="43" t="s">
        <v>1465</v>
      </c>
      <c r="G161" s="43" t="s">
        <v>1465</v>
      </c>
    </row>
    <row r="162" spans="1:7" x14ac:dyDescent="0.15">
      <c r="A162" s="43" t="s">
        <v>15</v>
      </c>
      <c r="B162" s="43">
        <v>17</v>
      </c>
      <c r="C162" s="43" t="s">
        <v>1461</v>
      </c>
      <c r="D162" s="43" t="s">
        <v>1461</v>
      </c>
      <c r="E162" s="43" t="s">
        <v>1461</v>
      </c>
      <c r="F162" s="43" t="s">
        <v>1461</v>
      </c>
      <c r="G162" s="43" t="s">
        <v>1461</v>
      </c>
    </row>
    <row r="163" spans="1:7" x14ac:dyDescent="0.15">
      <c r="A163" s="43" t="s">
        <v>15</v>
      </c>
      <c r="B163" s="43">
        <v>18</v>
      </c>
      <c r="C163" s="43" t="s">
        <v>1465</v>
      </c>
      <c r="D163" s="43" t="s">
        <v>1465</v>
      </c>
      <c r="E163" s="43" t="s">
        <v>1465</v>
      </c>
      <c r="F163" s="43" t="s">
        <v>1465</v>
      </c>
      <c r="G163" s="43" t="s">
        <v>1465</v>
      </c>
    </row>
    <row r="164" spans="1:7" x14ac:dyDescent="0.15">
      <c r="A164" s="43" t="s">
        <v>15</v>
      </c>
      <c r="B164" s="43">
        <v>18</v>
      </c>
      <c r="C164" s="43" t="s">
        <v>1461</v>
      </c>
      <c r="D164" s="43" t="s">
        <v>1461</v>
      </c>
      <c r="E164" s="43" t="s">
        <v>1461</v>
      </c>
      <c r="F164" s="43" t="s">
        <v>1461</v>
      </c>
      <c r="G164" s="43" t="s">
        <v>1461</v>
      </c>
    </row>
    <row r="165" spans="1:7" x14ac:dyDescent="0.15">
      <c r="A165" s="43" t="s">
        <v>15</v>
      </c>
      <c r="B165" s="43">
        <v>20</v>
      </c>
      <c r="C165" s="43" t="s">
        <v>1464</v>
      </c>
      <c r="D165" s="43" t="s">
        <v>1464</v>
      </c>
      <c r="E165" s="43" t="s">
        <v>1464</v>
      </c>
      <c r="F165" s="43" t="s">
        <v>1464</v>
      </c>
      <c r="G165" s="43" t="s">
        <v>1464</v>
      </c>
    </row>
    <row r="166" spans="1:7" x14ac:dyDescent="0.15">
      <c r="A166" s="43" t="s">
        <v>15</v>
      </c>
      <c r="B166" s="43">
        <v>20</v>
      </c>
      <c r="C166" s="43" t="s">
        <v>1461</v>
      </c>
      <c r="D166" s="43" t="s">
        <v>1461</v>
      </c>
      <c r="E166" s="43" t="s">
        <v>1461</v>
      </c>
      <c r="F166" s="43" t="s">
        <v>1461</v>
      </c>
      <c r="G166" s="43" t="s">
        <v>1461</v>
      </c>
    </row>
    <row r="167" spans="1:7" x14ac:dyDescent="0.15">
      <c r="A167" s="43" t="s">
        <v>15</v>
      </c>
      <c r="B167" s="43">
        <v>21</v>
      </c>
      <c r="C167" s="43" t="s">
        <v>1461</v>
      </c>
      <c r="D167" s="43" t="s">
        <v>1461</v>
      </c>
      <c r="E167" s="43" t="s">
        <v>1461</v>
      </c>
      <c r="F167" s="43" t="s">
        <v>1461</v>
      </c>
      <c r="G167" s="43" t="s">
        <v>1461</v>
      </c>
    </row>
    <row r="168" spans="1:7" x14ac:dyDescent="0.15">
      <c r="A168" s="43" t="s">
        <v>15</v>
      </c>
      <c r="B168" s="43">
        <v>22</v>
      </c>
      <c r="C168" s="43" t="s">
        <v>1464</v>
      </c>
      <c r="D168" s="43" t="s">
        <v>1464</v>
      </c>
      <c r="E168" s="43" t="s">
        <v>1464</v>
      </c>
      <c r="F168" s="43" t="s">
        <v>1464</v>
      </c>
      <c r="G168" s="43" t="s">
        <v>1464</v>
      </c>
    </row>
    <row r="169" spans="1:7" x14ac:dyDescent="0.15">
      <c r="A169" s="43" t="s">
        <v>15</v>
      </c>
      <c r="B169" s="43">
        <v>22</v>
      </c>
      <c r="C169" s="43" t="s">
        <v>1464</v>
      </c>
      <c r="D169" s="43" t="s">
        <v>1464</v>
      </c>
      <c r="E169" s="43" t="s">
        <v>1464</v>
      </c>
      <c r="F169" s="43" t="s">
        <v>1464</v>
      </c>
      <c r="G169" s="43" t="s">
        <v>1464</v>
      </c>
    </row>
    <row r="170" spans="1:7" x14ac:dyDescent="0.15">
      <c r="A170" s="43" t="s">
        <v>15</v>
      </c>
      <c r="B170" s="43">
        <v>24</v>
      </c>
      <c r="C170" s="43" t="s">
        <v>1461</v>
      </c>
      <c r="D170" s="43" t="s">
        <v>1461</v>
      </c>
      <c r="E170" s="43" t="s">
        <v>1461</v>
      </c>
      <c r="F170" s="43" t="s">
        <v>1461</v>
      </c>
      <c r="G170" s="43" t="s">
        <v>1461</v>
      </c>
    </row>
    <row r="171" spans="1:7" x14ac:dyDescent="0.15">
      <c r="A171" s="43" t="s">
        <v>15</v>
      </c>
      <c r="B171" s="43">
        <v>24</v>
      </c>
      <c r="C171" s="43" t="s">
        <v>1461</v>
      </c>
      <c r="D171" s="43" t="s">
        <v>1461</v>
      </c>
      <c r="E171" s="43" t="s">
        <v>1461</v>
      </c>
      <c r="F171" s="43" t="s">
        <v>1461</v>
      </c>
      <c r="G171" s="43" t="s">
        <v>1461</v>
      </c>
    </row>
    <row r="172" spans="1:7" x14ac:dyDescent="0.15">
      <c r="A172" s="43" t="s">
        <v>15</v>
      </c>
      <c r="B172" s="43">
        <v>24.5</v>
      </c>
      <c r="C172" s="43" t="s">
        <v>1465</v>
      </c>
      <c r="D172" s="43" t="s">
        <v>1465</v>
      </c>
      <c r="E172" s="43" t="s">
        <v>1465</v>
      </c>
      <c r="F172" s="43" t="s">
        <v>1465</v>
      </c>
      <c r="G172" s="43" t="s">
        <v>1465</v>
      </c>
    </row>
    <row r="173" spans="1:7" x14ac:dyDescent="0.15">
      <c r="A173" s="43" t="s">
        <v>15</v>
      </c>
      <c r="B173" s="43">
        <v>25</v>
      </c>
      <c r="C173" s="43" t="s">
        <v>1461</v>
      </c>
      <c r="D173" s="43" t="s">
        <v>1461</v>
      </c>
      <c r="E173" s="43" t="s">
        <v>1461</v>
      </c>
      <c r="F173" s="43" t="s">
        <v>1461</v>
      </c>
      <c r="G173" s="43" t="s">
        <v>1461</v>
      </c>
    </row>
    <row r="174" spans="1:7" x14ac:dyDescent="0.15">
      <c r="A174" s="43" t="s">
        <v>15</v>
      </c>
      <c r="B174" s="43">
        <v>25</v>
      </c>
      <c r="C174" s="43" t="s">
        <v>1461</v>
      </c>
      <c r="D174" s="43" t="s">
        <v>1461</v>
      </c>
      <c r="E174" s="43" t="s">
        <v>1461</v>
      </c>
      <c r="F174" s="43" t="s">
        <v>1461</v>
      </c>
      <c r="G174" s="43" t="s">
        <v>1461</v>
      </c>
    </row>
    <row r="175" spans="1:7" x14ac:dyDescent="0.15">
      <c r="A175" s="43" t="s">
        <v>15</v>
      </c>
      <c r="B175" s="43">
        <v>25</v>
      </c>
      <c r="C175" s="43" t="s">
        <v>1461</v>
      </c>
      <c r="D175" s="43" t="s">
        <v>1461</v>
      </c>
      <c r="E175" s="43" t="s">
        <v>1461</v>
      </c>
      <c r="F175" s="43" t="s">
        <v>1461</v>
      </c>
      <c r="G175" s="43" t="s">
        <v>1461</v>
      </c>
    </row>
    <row r="176" spans="1:7" x14ac:dyDescent="0.15">
      <c r="A176" s="43" t="s">
        <v>15</v>
      </c>
      <c r="B176" s="43">
        <v>25</v>
      </c>
      <c r="C176" s="43" t="s">
        <v>1461</v>
      </c>
      <c r="D176" s="43" t="s">
        <v>1461</v>
      </c>
      <c r="E176" s="43" t="s">
        <v>1461</v>
      </c>
      <c r="F176" s="43" t="s">
        <v>1461</v>
      </c>
      <c r="G176" s="43" t="s">
        <v>1461</v>
      </c>
    </row>
    <row r="177" spans="1:7" x14ac:dyDescent="0.15">
      <c r="A177" s="43" t="s">
        <v>15</v>
      </c>
      <c r="B177" s="43">
        <v>25</v>
      </c>
      <c r="C177" s="43" t="s">
        <v>1461</v>
      </c>
      <c r="D177" s="43" t="s">
        <v>1461</v>
      </c>
      <c r="E177" s="43" t="s">
        <v>1461</v>
      </c>
      <c r="F177" s="43" t="s">
        <v>1461</v>
      </c>
      <c r="G177" s="43" t="s">
        <v>1461</v>
      </c>
    </row>
    <row r="178" spans="1:7" x14ac:dyDescent="0.15">
      <c r="A178" s="43" t="s">
        <v>15</v>
      </c>
      <c r="B178" s="43">
        <v>25</v>
      </c>
      <c r="C178" s="43" t="s">
        <v>1461</v>
      </c>
      <c r="D178" s="43" t="s">
        <v>1461</v>
      </c>
      <c r="E178" s="43" t="s">
        <v>1461</v>
      </c>
      <c r="F178" s="43" t="s">
        <v>1461</v>
      </c>
      <c r="G178" s="43" t="s">
        <v>1461</v>
      </c>
    </row>
    <row r="179" spans="1:7" x14ac:dyDescent="0.15">
      <c r="A179" s="43" t="s">
        <v>15</v>
      </c>
      <c r="B179" s="43">
        <v>25</v>
      </c>
      <c r="C179" s="43" t="s">
        <v>1461</v>
      </c>
      <c r="D179" s="43" t="s">
        <v>1461</v>
      </c>
      <c r="E179" s="43" t="s">
        <v>1461</v>
      </c>
      <c r="F179" s="43" t="s">
        <v>1461</v>
      </c>
      <c r="G179" s="43" t="s">
        <v>1461</v>
      </c>
    </row>
    <row r="180" spans="1:7" x14ac:dyDescent="0.15">
      <c r="A180" s="43" t="s">
        <v>15</v>
      </c>
      <c r="B180" s="43">
        <v>25</v>
      </c>
      <c r="C180" s="43" t="s">
        <v>1461</v>
      </c>
      <c r="D180" s="43" t="s">
        <v>1464</v>
      </c>
      <c r="E180" s="43" t="s">
        <v>1461</v>
      </c>
      <c r="F180" s="43" t="s">
        <v>1461</v>
      </c>
      <c r="G180" s="43" t="s">
        <v>1462</v>
      </c>
    </row>
    <row r="181" spans="1:7" x14ac:dyDescent="0.15">
      <c r="A181" s="43" t="s">
        <v>15</v>
      </c>
      <c r="B181" s="43">
        <v>26</v>
      </c>
      <c r="C181" s="43" t="s">
        <v>1461</v>
      </c>
      <c r="D181" s="43" t="s">
        <v>1461</v>
      </c>
      <c r="E181" s="43" t="s">
        <v>1461</v>
      </c>
      <c r="F181" s="43" t="s">
        <v>1461</v>
      </c>
      <c r="G181" s="43" t="s">
        <v>1461</v>
      </c>
    </row>
    <row r="182" spans="1:7" x14ac:dyDescent="0.15">
      <c r="A182" s="43" t="s">
        <v>15</v>
      </c>
      <c r="B182" s="43">
        <v>27</v>
      </c>
      <c r="C182" s="43" t="s">
        <v>1461</v>
      </c>
      <c r="D182" s="43" t="s">
        <v>1461</v>
      </c>
      <c r="E182" s="43" t="s">
        <v>1461</v>
      </c>
      <c r="F182" s="43" t="s">
        <v>1461</v>
      </c>
      <c r="G182" s="43" t="s">
        <v>1461</v>
      </c>
    </row>
    <row r="183" spans="1:7" x14ac:dyDescent="0.15">
      <c r="A183" s="43" t="s">
        <v>15</v>
      </c>
      <c r="B183" s="43">
        <v>28</v>
      </c>
      <c r="C183" s="43" t="s">
        <v>1461</v>
      </c>
      <c r="D183" s="43" t="s">
        <v>1461</v>
      </c>
      <c r="E183" s="43" t="s">
        <v>1461</v>
      </c>
      <c r="F183" s="43" t="s">
        <v>1461</v>
      </c>
      <c r="G183" s="43" t="s">
        <v>1461</v>
      </c>
    </row>
    <row r="184" spans="1:7" x14ac:dyDescent="0.15">
      <c r="A184" s="43" t="s">
        <v>15</v>
      </c>
      <c r="B184" s="43">
        <v>28.9</v>
      </c>
      <c r="C184" s="43" t="s">
        <v>1464</v>
      </c>
      <c r="D184" s="43" t="s">
        <v>1461</v>
      </c>
      <c r="E184" s="43" t="s">
        <v>1464</v>
      </c>
      <c r="F184" s="43" t="s">
        <v>1461</v>
      </c>
      <c r="G184" s="43" t="s">
        <v>1464</v>
      </c>
    </row>
    <row r="185" spans="1:7" x14ac:dyDescent="0.15">
      <c r="A185" s="43" t="s">
        <v>15</v>
      </c>
      <c r="B185" s="43">
        <v>30</v>
      </c>
      <c r="C185" s="43" t="s">
        <v>1461</v>
      </c>
      <c r="D185" s="43" t="s">
        <v>1461</v>
      </c>
      <c r="E185" s="43" t="s">
        <v>1461</v>
      </c>
      <c r="F185" s="43" t="s">
        <v>1461</v>
      </c>
      <c r="G185" s="43" t="s">
        <v>1461</v>
      </c>
    </row>
    <row r="186" spans="1:7" x14ac:dyDescent="0.15">
      <c r="A186" s="43" t="s">
        <v>15</v>
      </c>
      <c r="B186" s="43">
        <v>30</v>
      </c>
      <c r="C186" s="43" t="s">
        <v>1461</v>
      </c>
      <c r="D186" s="43" t="s">
        <v>1461</v>
      </c>
      <c r="E186" s="43" t="s">
        <v>1461</v>
      </c>
      <c r="F186" s="43" t="s">
        <v>1461</v>
      </c>
      <c r="G186" s="43" t="s">
        <v>1461</v>
      </c>
    </row>
    <row r="187" spans="1:7" x14ac:dyDescent="0.15">
      <c r="A187" s="43" t="s">
        <v>15</v>
      </c>
      <c r="B187" s="43">
        <v>30</v>
      </c>
      <c r="C187" s="43" t="s">
        <v>1461</v>
      </c>
      <c r="D187" s="43" t="s">
        <v>1461</v>
      </c>
      <c r="E187" s="43" t="s">
        <v>1461</v>
      </c>
      <c r="F187" s="43" t="s">
        <v>1461</v>
      </c>
      <c r="G187" s="43" t="s">
        <v>1461</v>
      </c>
    </row>
    <row r="188" spans="1:7" x14ac:dyDescent="0.15">
      <c r="A188" s="43" t="s">
        <v>15</v>
      </c>
      <c r="B188" s="43">
        <v>30</v>
      </c>
      <c r="C188" s="43" t="s">
        <v>1461</v>
      </c>
      <c r="D188" s="43" t="s">
        <v>1461</v>
      </c>
      <c r="E188" s="43" t="s">
        <v>1461</v>
      </c>
      <c r="F188" s="43" t="s">
        <v>1461</v>
      </c>
      <c r="G188" s="43" t="s">
        <v>1461</v>
      </c>
    </row>
    <row r="189" spans="1:7" x14ac:dyDescent="0.15">
      <c r="A189" s="43" t="s">
        <v>15</v>
      </c>
      <c r="B189" s="43">
        <v>30</v>
      </c>
      <c r="C189" s="43" t="s">
        <v>1461</v>
      </c>
      <c r="D189" s="43" t="s">
        <v>1461</v>
      </c>
      <c r="E189" s="43" t="s">
        <v>1461</v>
      </c>
      <c r="F189" s="43" t="s">
        <v>1461</v>
      </c>
      <c r="G189" s="43" t="s">
        <v>1461</v>
      </c>
    </row>
    <row r="190" spans="1:7" x14ac:dyDescent="0.15">
      <c r="A190" s="43" t="s">
        <v>15</v>
      </c>
      <c r="B190" s="43">
        <v>31</v>
      </c>
      <c r="C190" s="43" t="s">
        <v>1461</v>
      </c>
      <c r="D190" s="43" t="s">
        <v>1461</v>
      </c>
      <c r="E190" s="43" t="s">
        <v>1461</v>
      </c>
      <c r="F190" s="43" t="s">
        <v>1461</v>
      </c>
      <c r="G190" s="43" t="s">
        <v>1461</v>
      </c>
    </row>
    <row r="191" spans="1:7" x14ac:dyDescent="0.15">
      <c r="A191" s="43" t="s">
        <v>15</v>
      </c>
      <c r="B191" s="43">
        <v>31.3</v>
      </c>
      <c r="C191" s="43" t="s">
        <v>1371</v>
      </c>
      <c r="D191" s="43" t="s">
        <v>1371</v>
      </c>
      <c r="E191" s="43" t="s">
        <v>1371</v>
      </c>
      <c r="F191" s="43" t="s">
        <v>1371</v>
      </c>
      <c r="G191" s="43" t="s">
        <v>1461</v>
      </c>
    </row>
    <row r="192" spans="1:7" x14ac:dyDescent="0.15">
      <c r="A192" s="43" t="s">
        <v>15</v>
      </c>
      <c r="B192" s="43">
        <v>32</v>
      </c>
      <c r="C192" s="43" t="s">
        <v>1461</v>
      </c>
      <c r="D192" s="43" t="s">
        <v>1464</v>
      </c>
      <c r="E192" s="43" t="s">
        <v>1461</v>
      </c>
      <c r="F192" s="43" t="s">
        <v>1464</v>
      </c>
      <c r="G192" s="43" t="s">
        <v>1462</v>
      </c>
    </row>
    <row r="193" spans="1:7" x14ac:dyDescent="0.15">
      <c r="A193" s="43" t="s">
        <v>15</v>
      </c>
      <c r="B193" s="43">
        <v>33</v>
      </c>
      <c r="C193" s="43" t="s">
        <v>1461</v>
      </c>
      <c r="D193" s="43" t="s">
        <v>1461</v>
      </c>
      <c r="E193" s="43" t="s">
        <v>1462</v>
      </c>
      <c r="F193" s="43" t="s">
        <v>1461</v>
      </c>
      <c r="G193" s="43" t="s">
        <v>1462</v>
      </c>
    </row>
    <row r="194" spans="1:7" x14ac:dyDescent="0.15">
      <c r="A194" s="43" t="s">
        <v>15</v>
      </c>
      <c r="B194" s="43">
        <v>33</v>
      </c>
      <c r="C194" s="43" t="s">
        <v>1461</v>
      </c>
      <c r="D194" s="43" t="s">
        <v>1461</v>
      </c>
      <c r="E194" s="43" t="s">
        <v>1461</v>
      </c>
      <c r="F194" s="43" t="s">
        <v>1462</v>
      </c>
      <c r="G194" s="43" t="s">
        <v>1461</v>
      </c>
    </row>
    <row r="195" spans="1:7" x14ac:dyDescent="0.15">
      <c r="A195" s="43" t="s">
        <v>15</v>
      </c>
      <c r="B195" s="43">
        <v>33</v>
      </c>
      <c r="C195" s="43" t="s">
        <v>1461</v>
      </c>
      <c r="D195" s="43" t="s">
        <v>1461</v>
      </c>
      <c r="E195" s="43" t="s">
        <v>1461</v>
      </c>
      <c r="F195" s="43" t="s">
        <v>1461</v>
      </c>
      <c r="G195" s="43" t="s">
        <v>1461</v>
      </c>
    </row>
    <row r="196" spans="1:7" x14ac:dyDescent="0.15">
      <c r="A196" s="43" t="s">
        <v>15</v>
      </c>
      <c r="B196" s="43">
        <v>33</v>
      </c>
      <c r="C196" s="43" t="s">
        <v>1461</v>
      </c>
      <c r="D196" s="43" t="s">
        <v>1461</v>
      </c>
      <c r="E196" s="43" t="s">
        <v>1461</v>
      </c>
      <c r="F196" s="43" t="s">
        <v>1461</v>
      </c>
      <c r="G196" s="43" t="s">
        <v>1461</v>
      </c>
    </row>
    <row r="197" spans="1:7" x14ac:dyDescent="0.15">
      <c r="A197" s="43" t="s">
        <v>15</v>
      </c>
      <c r="B197" s="43">
        <v>34</v>
      </c>
      <c r="C197" s="43" t="s">
        <v>1465</v>
      </c>
      <c r="D197" s="43" t="s">
        <v>1465</v>
      </c>
      <c r="E197" s="43" t="s">
        <v>1465</v>
      </c>
      <c r="F197" s="43" t="s">
        <v>1465</v>
      </c>
      <c r="G197" s="43" t="s">
        <v>1465</v>
      </c>
    </row>
    <row r="198" spans="1:7" x14ac:dyDescent="0.15">
      <c r="A198" s="43" t="s">
        <v>15</v>
      </c>
      <c r="B198" s="43">
        <v>34</v>
      </c>
      <c r="C198" s="43" t="s">
        <v>1461</v>
      </c>
      <c r="D198" s="43" t="s">
        <v>1461</v>
      </c>
      <c r="E198" s="43" t="s">
        <v>1461</v>
      </c>
      <c r="F198" s="43" t="s">
        <v>1461</v>
      </c>
      <c r="G198" s="43" t="s">
        <v>1461</v>
      </c>
    </row>
    <row r="199" spans="1:7" x14ac:dyDescent="0.15">
      <c r="A199" s="43" t="s">
        <v>15</v>
      </c>
      <c r="B199" s="43">
        <v>35</v>
      </c>
      <c r="C199" s="43" t="s">
        <v>1461</v>
      </c>
      <c r="D199" s="43" t="s">
        <v>1461</v>
      </c>
      <c r="E199" s="43" t="s">
        <v>1461</v>
      </c>
      <c r="F199" s="43" t="s">
        <v>1461</v>
      </c>
      <c r="G199" s="43" t="s">
        <v>1461</v>
      </c>
    </row>
    <row r="200" spans="1:7" x14ac:dyDescent="0.15">
      <c r="A200" s="43" t="s">
        <v>15</v>
      </c>
      <c r="B200" s="43">
        <v>35</v>
      </c>
      <c r="C200" s="43" t="s">
        <v>1461</v>
      </c>
      <c r="D200" s="43" t="s">
        <v>1461</v>
      </c>
      <c r="E200" s="43" t="s">
        <v>1461</v>
      </c>
      <c r="F200" s="43" t="s">
        <v>1461</v>
      </c>
      <c r="G200" s="43" t="s">
        <v>1461</v>
      </c>
    </row>
    <row r="201" spans="1:7" x14ac:dyDescent="0.15">
      <c r="A201" s="43" t="s">
        <v>15</v>
      </c>
      <c r="B201" s="43">
        <v>35</v>
      </c>
      <c r="C201" s="43" t="s">
        <v>1461</v>
      </c>
      <c r="D201" s="43" t="s">
        <v>1461</v>
      </c>
      <c r="E201" s="43" t="s">
        <v>1461</v>
      </c>
      <c r="F201" s="43" t="s">
        <v>1461</v>
      </c>
      <c r="G201" s="43" t="s">
        <v>1461</v>
      </c>
    </row>
    <row r="202" spans="1:7" x14ac:dyDescent="0.15">
      <c r="A202" s="43" t="s">
        <v>15</v>
      </c>
      <c r="B202" s="43">
        <v>35</v>
      </c>
      <c r="C202" s="43" t="s">
        <v>1461</v>
      </c>
      <c r="D202" s="43" t="s">
        <v>1461</v>
      </c>
      <c r="E202" s="43" t="s">
        <v>1461</v>
      </c>
      <c r="F202" s="43" t="s">
        <v>1461</v>
      </c>
      <c r="G202" s="43" t="s">
        <v>1461</v>
      </c>
    </row>
    <row r="203" spans="1:7" x14ac:dyDescent="0.15">
      <c r="A203" s="43" t="s">
        <v>15</v>
      </c>
      <c r="B203" s="43">
        <v>35</v>
      </c>
      <c r="C203" s="43" t="s">
        <v>1461</v>
      </c>
      <c r="D203" s="43" t="s">
        <v>1461</v>
      </c>
      <c r="E203" s="43" t="s">
        <v>1461</v>
      </c>
      <c r="F203" s="43" t="s">
        <v>1461</v>
      </c>
      <c r="G203" s="43" t="s">
        <v>1461</v>
      </c>
    </row>
    <row r="204" spans="1:7" x14ac:dyDescent="0.15">
      <c r="A204" s="43" t="s">
        <v>15</v>
      </c>
      <c r="B204" s="43">
        <v>35</v>
      </c>
      <c r="C204" s="43" t="s">
        <v>1461</v>
      </c>
      <c r="D204" s="43" t="s">
        <v>1461</v>
      </c>
      <c r="E204" s="43" t="s">
        <v>1461</v>
      </c>
      <c r="F204" s="43" t="s">
        <v>1461</v>
      </c>
      <c r="G204" s="43" t="s">
        <v>1461</v>
      </c>
    </row>
    <row r="205" spans="1:7" x14ac:dyDescent="0.15">
      <c r="A205" s="43" t="s">
        <v>15</v>
      </c>
      <c r="B205" s="43">
        <v>35</v>
      </c>
      <c r="C205" s="43" t="s">
        <v>1461</v>
      </c>
      <c r="D205" s="43" t="s">
        <v>1461</v>
      </c>
      <c r="E205" s="43" t="s">
        <v>1461</v>
      </c>
      <c r="F205" s="43" t="s">
        <v>1461</v>
      </c>
      <c r="G205" s="43" t="s">
        <v>1461</v>
      </c>
    </row>
    <row r="206" spans="1:7" x14ac:dyDescent="0.15">
      <c r="A206" s="43" t="s">
        <v>15</v>
      </c>
      <c r="B206" s="43">
        <v>36</v>
      </c>
      <c r="C206" s="43" t="s">
        <v>1461</v>
      </c>
      <c r="D206" s="43" t="s">
        <v>1461</v>
      </c>
      <c r="E206" s="43" t="s">
        <v>1461</v>
      </c>
      <c r="F206" s="43" t="s">
        <v>1461</v>
      </c>
      <c r="G206" s="43" t="s">
        <v>1461</v>
      </c>
    </row>
    <row r="207" spans="1:7" x14ac:dyDescent="0.15">
      <c r="A207" s="43" t="s">
        <v>15</v>
      </c>
      <c r="B207" s="43">
        <v>36.4</v>
      </c>
      <c r="C207" s="43" t="s">
        <v>1461</v>
      </c>
      <c r="D207" s="43" t="s">
        <v>1461</v>
      </c>
      <c r="E207" s="43" t="s">
        <v>1461</v>
      </c>
      <c r="F207" s="43" t="s">
        <v>1461</v>
      </c>
      <c r="G207" s="43" t="s">
        <v>1461</v>
      </c>
    </row>
    <row r="208" spans="1:7" x14ac:dyDescent="0.15">
      <c r="A208" s="43" t="s">
        <v>15</v>
      </c>
      <c r="B208" s="43">
        <v>38</v>
      </c>
      <c r="C208" s="43" t="s">
        <v>1461</v>
      </c>
      <c r="D208" s="43" t="s">
        <v>1461</v>
      </c>
      <c r="E208" s="43" t="s">
        <v>1461</v>
      </c>
      <c r="F208" s="43" t="s">
        <v>1461</v>
      </c>
      <c r="G208" s="43" t="s">
        <v>1461</v>
      </c>
    </row>
    <row r="209" spans="1:7" x14ac:dyDescent="0.15">
      <c r="A209" s="43" t="s">
        <v>15</v>
      </c>
      <c r="B209" s="43">
        <v>38</v>
      </c>
      <c r="C209" s="43" t="s">
        <v>1464</v>
      </c>
      <c r="D209" s="43" t="s">
        <v>1464</v>
      </c>
      <c r="E209" s="43" t="s">
        <v>1464</v>
      </c>
      <c r="F209" s="43" t="s">
        <v>1464</v>
      </c>
      <c r="G209" s="43" t="s">
        <v>1464</v>
      </c>
    </row>
    <row r="210" spans="1:7" x14ac:dyDescent="0.15">
      <c r="A210" s="43" t="s">
        <v>15</v>
      </c>
      <c r="B210" s="43">
        <v>40</v>
      </c>
      <c r="C210" s="43" t="s">
        <v>1461</v>
      </c>
      <c r="D210" s="43" t="s">
        <v>1465</v>
      </c>
      <c r="E210" s="43" t="s">
        <v>1462</v>
      </c>
      <c r="F210" s="43" t="s">
        <v>1461</v>
      </c>
      <c r="G210" s="43" t="s">
        <v>1461</v>
      </c>
    </row>
    <row r="211" spans="1:7" x14ac:dyDescent="0.15">
      <c r="A211" s="43" t="s">
        <v>15</v>
      </c>
      <c r="B211" s="43">
        <v>40</v>
      </c>
      <c r="C211" s="43" t="s">
        <v>1464</v>
      </c>
      <c r="D211" s="43" t="s">
        <v>1464</v>
      </c>
      <c r="E211" s="43" t="s">
        <v>1464</v>
      </c>
      <c r="F211" s="43" t="s">
        <v>1464</v>
      </c>
      <c r="G211" s="43" t="s">
        <v>1464</v>
      </c>
    </row>
    <row r="212" spans="1:7" x14ac:dyDescent="0.15">
      <c r="A212" s="43" t="s">
        <v>15</v>
      </c>
      <c r="B212" s="43">
        <v>40</v>
      </c>
      <c r="C212" s="43" t="s">
        <v>1464</v>
      </c>
      <c r="D212" s="43" t="s">
        <v>1464</v>
      </c>
      <c r="E212" s="43" t="s">
        <v>1464</v>
      </c>
      <c r="F212" s="43" t="s">
        <v>1464</v>
      </c>
      <c r="G212" s="43" t="s">
        <v>1464</v>
      </c>
    </row>
    <row r="213" spans="1:7" x14ac:dyDescent="0.15">
      <c r="A213" s="43" t="s">
        <v>15</v>
      </c>
      <c r="B213" s="43">
        <v>45</v>
      </c>
      <c r="C213" s="43" t="s">
        <v>1464</v>
      </c>
      <c r="D213" s="43" t="s">
        <v>1464</v>
      </c>
      <c r="E213" s="43" t="s">
        <v>1464</v>
      </c>
      <c r="F213" s="43" t="s">
        <v>1464</v>
      </c>
      <c r="G213" s="43" t="s">
        <v>1464</v>
      </c>
    </row>
    <row r="214" spans="1:7" x14ac:dyDescent="0.15">
      <c r="A214" s="43" t="s">
        <v>15</v>
      </c>
      <c r="B214" s="43">
        <v>45</v>
      </c>
      <c r="C214" s="43" t="s">
        <v>1461</v>
      </c>
      <c r="D214" s="43" t="s">
        <v>1461</v>
      </c>
      <c r="E214" s="43" t="s">
        <v>1461</v>
      </c>
      <c r="F214" s="43" t="s">
        <v>1461</v>
      </c>
      <c r="G214" s="43" t="s">
        <v>1461</v>
      </c>
    </row>
    <row r="215" spans="1:7" x14ac:dyDescent="0.15">
      <c r="A215" s="43" t="s">
        <v>15</v>
      </c>
      <c r="B215" s="43">
        <v>45</v>
      </c>
      <c r="C215" s="43" t="s">
        <v>1461</v>
      </c>
      <c r="D215" s="43" t="s">
        <v>1461</v>
      </c>
      <c r="E215" s="43" t="s">
        <v>1461</v>
      </c>
      <c r="F215" s="43" t="s">
        <v>1461</v>
      </c>
      <c r="G215" s="43" t="s">
        <v>1461</v>
      </c>
    </row>
    <row r="216" spans="1:7" x14ac:dyDescent="0.15">
      <c r="A216" s="43" t="s">
        <v>15</v>
      </c>
      <c r="B216" s="43">
        <v>45</v>
      </c>
      <c r="C216" s="43" t="s">
        <v>1461</v>
      </c>
      <c r="D216" s="43" t="s">
        <v>1461</v>
      </c>
      <c r="E216" s="43" t="s">
        <v>1461</v>
      </c>
      <c r="F216" s="43" t="s">
        <v>1461</v>
      </c>
      <c r="G216" s="43" t="s">
        <v>1461</v>
      </c>
    </row>
    <row r="217" spans="1:7" x14ac:dyDescent="0.15">
      <c r="A217" s="43" t="s">
        <v>15</v>
      </c>
      <c r="B217" s="43">
        <v>50</v>
      </c>
      <c r="C217" s="43" t="s">
        <v>1465</v>
      </c>
      <c r="D217" s="43" t="s">
        <v>1465</v>
      </c>
      <c r="E217" s="43" t="s">
        <v>1465</v>
      </c>
      <c r="F217" s="43" t="s">
        <v>1462</v>
      </c>
      <c r="G217" s="43" t="s">
        <v>1462</v>
      </c>
    </row>
    <row r="218" spans="1:7" x14ac:dyDescent="0.15">
      <c r="A218" s="43" t="s">
        <v>15</v>
      </c>
      <c r="B218" s="43">
        <v>50</v>
      </c>
      <c r="C218" s="43" t="s">
        <v>1464</v>
      </c>
      <c r="D218" s="43" t="s">
        <v>1464</v>
      </c>
      <c r="E218" s="43" t="s">
        <v>1464</v>
      </c>
      <c r="F218" s="43" t="s">
        <v>1464</v>
      </c>
      <c r="G218" s="43" t="s">
        <v>1464</v>
      </c>
    </row>
    <row r="219" spans="1:7" x14ac:dyDescent="0.15">
      <c r="A219" s="43" t="s">
        <v>15</v>
      </c>
      <c r="B219" s="43">
        <v>51</v>
      </c>
      <c r="C219" s="43" t="s">
        <v>1464</v>
      </c>
      <c r="D219" s="43" t="s">
        <v>1464</v>
      </c>
      <c r="E219" s="43" t="s">
        <v>1464</v>
      </c>
      <c r="F219" s="43" t="s">
        <v>1464</v>
      </c>
      <c r="G219" s="43" t="s">
        <v>1464</v>
      </c>
    </row>
    <row r="220" spans="1:7" x14ac:dyDescent="0.15">
      <c r="A220" s="43" t="s">
        <v>15</v>
      </c>
      <c r="B220" s="43">
        <v>59</v>
      </c>
      <c r="C220" s="43" t="s">
        <v>1461</v>
      </c>
      <c r="D220" s="43" t="s">
        <v>1461</v>
      </c>
      <c r="E220" s="43" t="s">
        <v>1461</v>
      </c>
      <c r="F220" s="43" t="s">
        <v>1461</v>
      </c>
      <c r="G220" s="43" t="s">
        <v>1461</v>
      </c>
    </row>
    <row r="221" spans="1:7" x14ac:dyDescent="0.15">
      <c r="A221" s="43" t="s">
        <v>15</v>
      </c>
      <c r="B221" s="43">
        <v>60</v>
      </c>
      <c r="C221" s="43" t="s">
        <v>1461</v>
      </c>
      <c r="D221" s="43" t="s">
        <v>1461</v>
      </c>
      <c r="E221" s="43" t="s">
        <v>1461</v>
      </c>
      <c r="F221" s="43" t="s">
        <v>1461</v>
      </c>
      <c r="G221" s="43" t="s">
        <v>1461</v>
      </c>
    </row>
    <row r="222" spans="1:7" x14ac:dyDescent="0.15">
      <c r="A222" s="43" t="s">
        <v>15</v>
      </c>
      <c r="B222" s="43">
        <v>60</v>
      </c>
      <c r="C222" s="43" t="s">
        <v>1461</v>
      </c>
      <c r="D222" s="43" t="s">
        <v>1461</v>
      </c>
      <c r="E222" s="43" t="s">
        <v>1461</v>
      </c>
      <c r="F222" s="43" t="s">
        <v>1461</v>
      </c>
      <c r="G222" s="43" t="s">
        <v>1462</v>
      </c>
    </row>
    <row r="223" spans="1:7" x14ac:dyDescent="0.15">
      <c r="A223" s="43" t="s">
        <v>15</v>
      </c>
      <c r="B223" s="43">
        <v>69</v>
      </c>
      <c r="C223" s="43" t="s">
        <v>1461</v>
      </c>
      <c r="D223" s="43" t="s">
        <v>1461</v>
      </c>
      <c r="E223" s="43" t="s">
        <v>1461</v>
      </c>
      <c r="F223" s="43" t="s">
        <v>1461</v>
      </c>
      <c r="G223" s="43" t="s">
        <v>1461</v>
      </c>
    </row>
  </sheetData>
  <mergeCells count="12">
    <mergeCell ref="I1:S1"/>
    <mergeCell ref="I8:T8"/>
    <mergeCell ref="K12:M12"/>
    <mergeCell ref="K13:L13"/>
    <mergeCell ref="K14:L14"/>
    <mergeCell ref="K20:L20"/>
    <mergeCell ref="K21:L21"/>
    <mergeCell ref="K15:L15"/>
    <mergeCell ref="K16:L16"/>
    <mergeCell ref="K17:L17"/>
    <mergeCell ref="K18:L18"/>
    <mergeCell ref="K19:L19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CD9D-F7EC-4DC7-B952-3A143EF90B84}">
  <dimension ref="A1:T403"/>
  <sheetViews>
    <sheetView topLeftCell="G17" workbookViewId="0">
      <selection activeCell="N32" sqref="N32"/>
    </sheetView>
  </sheetViews>
  <sheetFormatPr baseColWidth="10" defaultColWidth="8.83203125" defaultRowHeight="15" x14ac:dyDescent="0.2"/>
  <cols>
    <col min="1" max="1" width="16.5" customWidth="1"/>
    <col min="2" max="2" width="17.1640625" bestFit="1" customWidth="1"/>
    <col min="3" max="7" width="37.5" bestFit="1" customWidth="1"/>
    <col min="9" max="9" width="34.83203125" customWidth="1"/>
    <col min="10" max="10" width="14.6640625" customWidth="1"/>
    <col min="11" max="11" width="9.1640625" bestFit="1" customWidth="1"/>
    <col min="12" max="12" width="12.6640625" customWidth="1"/>
    <col min="13" max="13" width="16.33203125" customWidth="1"/>
    <col min="14" max="14" width="17.33203125" customWidth="1"/>
    <col min="15" max="15" width="13.6640625" customWidth="1"/>
    <col min="16" max="16" width="13.83203125" customWidth="1"/>
    <col min="17" max="17" width="18.5" customWidth="1"/>
    <col min="18" max="18" width="15" customWidth="1"/>
    <col min="19" max="19" width="9.1640625" bestFit="1" customWidth="1"/>
    <col min="20" max="20" width="17.1640625" customWidth="1"/>
  </cols>
  <sheetData>
    <row r="1" spans="1:20" x14ac:dyDescent="0.2">
      <c r="A1" s="52" t="s">
        <v>1414</v>
      </c>
      <c r="B1" s="52" t="s">
        <v>1349</v>
      </c>
      <c r="C1" s="52" t="s">
        <v>6</v>
      </c>
      <c r="D1" s="52" t="s">
        <v>7</v>
      </c>
      <c r="E1" s="52" t="s">
        <v>8</v>
      </c>
      <c r="F1" s="52" t="s">
        <v>9</v>
      </c>
      <c r="G1" s="52" t="s">
        <v>10</v>
      </c>
      <c r="I1" s="79" t="s">
        <v>11</v>
      </c>
      <c r="J1" s="80"/>
      <c r="K1" s="80"/>
      <c r="L1" s="80"/>
      <c r="M1" s="80"/>
      <c r="N1" s="80"/>
      <c r="O1" s="80"/>
      <c r="P1" s="80"/>
      <c r="Q1" s="80"/>
      <c r="R1" s="80"/>
      <c r="S1" s="81"/>
    </row>
    <row r="2" spans="1:20" x14ac:dyDescent="0.2">
      <c r="A2" s="53" t="s">
        <v>914</v>
      </c>
      <c r="B2" s="53">
        <v>2500</v>
      </c>
      <c r="C2" s="53" t="s">
        <v>1351</v>
      </c>
      <c r="D2" s="53" t="s">
        <v>1351</v>
      </c>
      <c r="E2" s="53" t="s">
        <v>1351</v>
      </c>
      <c r="F2" s="53" t="s">
        <v>1351</v>
      </c>
      <c r="G2" s="53" t="s">
        <v>1351</v>
      </c>
      <c r="I2" s="18"/>
      <c r="J2" s="18" t="s">
        <v>17</v>
      </c>
      <c r="K2" s="18" t="s">
        <v>18</v>
      </c>
      <c r="L2" s="18" t="s">
        <v>19</v>
      </c>
      <c r="M2" s="18" t="s">
        <v>20</v>
      </c>
      <c r="N2" s="18" t="s">
        <v>21</v>
      </c>
      <c r="O2" s="18" t="s">
        <v>22</v>
      </c>
      <c r="P2" s="18" t="s">
        <v>23</v>
      </c>
      <c r="Q2" s="18" t="s">
        <v>24</v>
      </c>
      <c r="R2" s="19" t="s">
        <v>25</v>
      </c>
      <c r="S2" s="20" t="s">
        <v>26</v>
      </c>
    </row>
    <row r="3" spans="1:20" x14ac:dyDescent="0.2">
      <c r="A3" s="53" t="s">
        <v>914</v>
      </c>
      <c r="B3" s="53">
        <v>96</v>
      </c>
      <c r="C3" s="53" t="s">
        <v>1353</v>
      </c>
      <c r="D3" s="53" t="s">
        <v>1353</v>
      </c>
      <c r="E3" s="53" t="s">
        <v>1353</v>
      </c>
      <c r="F3" s="53" t="s">
        <v>1353</v>
      </c>
      <c r="G3" s="53" t="s">
        <v>1353</v>
      </c>
      <c r="I3" s="10" t="s">
        <v>32</v>
      </c>
      <c r="J3" s="24" cm="1">
        <f t="array" ref="J3">SUM(COUNTIF(C:G,{"A.*","B.*"}))/S10</f>
        <v>0.69558189655172409</v>
      </c>
      <c r="K3" s="21">
        <f>COUNTIF(C:G,"T.*")/S10</f>
        <v>3.017241379310345E-2</v>
      </c>
      <c r="L3" s="21" cm="1">
        <f t="array" ref="L3">SUM(COUNTIF(C:G,{"C.*","D.*","E.*","F.*","G.*","H.*","I.*","J.*","K.*","L.*","M.*","N.*","O.*","P.*"})/S10)</f>
        <v>0.16379310344827586</v>
      </c>
      <c r="M3" s="21">
        <f>COUNTIF(C:G,"R.*")/S10</f>
        <v>2.5323275862068964E-2</v>
      </c>
      <c r="N3" s="21">
        <f>COUNTIF(C:G,"U.*")/S10</f>
        <v>2.6939655172413795E-3</v>
      </c>
      <c r="O3" s="21">
        <v>0</v>
      </c>
      <c r="P3" s="21">
        <f>COUNTIF(C:G,"Q.*")/S10</f>
        <v>1.1314655172413793E-2</v>
      </c>
      <c r="Q3" s="21">
        <f>COUNTIF(C:G,"V.*")/S10</f>
        <v>4.3103448275862068E-3</v>
      </c>
      <c r="R3" s="21">
        <f>COUNTIF(C:G,"S.*")/S10</f>
        <v>6.6810344827586202E-2</v>
      </c>
      <c r="S3" s="21">
        <f>SUM(J3:R3)</f>
        <v>0.99999999999999989</v>
      </c>
    </row>
    <row r="4" spans="1:20" ht="16" x14ac:dyDescent="0.2">
      <c r="A4" s="53" t="s">
        <v>914</v>
      </c>
      <c r="B4" s="53">
        <v>69</v>
      </c>
      <c r="C4" s="53" t="s">
        <v>1353</v>
      </c>
      <c r="D4" s="53" t="s">
        <v>1353</v>
      </c>
      <c r="E4" s="53" t="s">
        <v>1353</v>
      </c>
      <c r="F4" s="53" t="s">
        <v>1353</v>
      </c>
      <c r="G4" s="53" t="s">
        <v>1353</v>
      </c>
      <c r="I4" s="29" t="s">
        <v>38</v>
      </c>
      <c r="J4" s="30" cm="1">
        <f t="array" ref="J4">SUM(_xlfn.BYCOL(C:G,_xlfn.LAMBDA(_xlpm.col,SUMIF(_xlpm.col,"A.*",B:B)+SUMIF(_xlpm.col,"B.*",B:B))))/J10</f>
        <v>13.73338497288923</v>
      </c>
      <c r="K4" s="31" cm="1">
        <f t="array" ref="K4">SUM(_xlfn.BYCOL(C:G,_xlfn.LAMBDA(_xlpm.col,SUMIF(_xlpm.col,"T.*",B:B))))/K10</f>
        <v>2.0625</v>
      </c>
      <c r="L4" s="32" cm="1">
        <f t="array" ref="L4">SUM(_xlfn.BYCOL($D:$H,_xlfn.LAMBDA(_xlpm.col,SUMIF(_xlpm.col,"C.*",B:B)+SUMIF(_xlpm.col,"D.*",B:B)+SUMIF(_xlpm.col,"E.*",B:B)+SUMIF(_xlpm.col,"F.*",B:B)+SUMIF(_xlpm.col,"G.*",B:B)+SUMIF(_xlpm.col,"H.*",B:B)+SUMIF(_xlpm.col,"I.*",B:B)+SUMIF(_xlpm.col,"J.*",B:B)+SUMIF(_xlpm.col,"K.*",B:B)+SUMIF(_xlpm.col,"L.*",B:B)+SUMIF(_xlpm.col,"M.*",B:B)+SUMIF(_xlpm.col,"N.*",B:B)+SUMIF(_xlpm.col,"O.*",B:B)+SUMIF(_xlpm.col,"P.*",B:B))))/L10</f>
        <v>9.8132565789473691</v>
      </c>
      <c r="M4" s="32" cm="1">
        <f t="array" ref="M4">SUM(_xlfn.BYCOL(C:G,_xlfn.LAMBDA(_xlpm.col,SUMIF(_xlpm.col,"R.*",B:B))))/M10</f>
        <v>29.574468085106382</v>
      </c>
      <c r="N4" s="32" cm="1">
        <f t="array" ref="N4">SUM(_xlfn.BYCOL(C:G,_xlfn.LAMBDA(_xlpm.col,SUMIF(_xlpm.col,"U.*",B:B))))/N10</f>
        <v>35</v>
      </c>
      <c r="O4" s="32"/>
      <c r="P4" s="32" cm="1">
        <f t="array" ref="P4">SUM(_xlfn.BYCOL(C:G,_xlfn.LAMBDA(_xlpm.col,SUMIF(_xlpm.col,"Q.*",B:B))))/P10</f>
        <v>11.376190476190475</v>
      </c>
      <c r="Q4" s="32"/>
      <c r="R4" s="32" cm="1">
        <f t="array" ref="R4">SUM(_xlfn.BYCOL(C:G,_xlfn.LAMBDA(_xlpm.col,SUMIF(_xlpm.col,"S.*",B:B))))/S10</f>
        <v>6.6998922413793113E-2</v>
      </c>
      <c r="S4" s="30">
        <f>AVERAGE(J4:R4)</f>
        <v>14.51811414793532</v>
      </c>
    </row>
    <row r="5" spans="1:20" x14ac:dyDescent="0.2">
      <c r="A5" s="53" t="s">
        <v>914</v>
      </c>
      <c r="B5" s="53">
        <v>60</v>
      </c>
      <c r="C5" s="53" t="s">
        <v>1353</v>
      </c>
      <c r="D5" s="53" t="s">
        <v>1353</v>
      </c>
      <c r="E5" s="53" t="s">
        <v>1353</v>
      </c>
      <c r="F5" s="53" t="s">
        <v>1353</v>
      </c>
      <c r="G5" s="53" t="s">
        <v>191</v>
      </c>
      <c r="I5" s="33" t="s">
        <v>44</v>
      </c>
      <c r="J5" s="33"/>
      <c r="K5" s="33"/>
      <c r="L5" s="39" cm="1">
        <f t="array" ref="L5">SUM(_xlfn.BYCOL(C:G,_xlfn.LAMBDA(_xlpm.col,SUMIF(_xlpm.col,"C.*",B:B)*2+SUMIF(_xlpm.col,"D.*",B:B)*3+SUMIF(_xlpm.col,"E.*",B:B)*4+SUMIF(_xlpm.col,"F.*",B:B)*5+SUMIF(_xlpm.col,"G.*",B:B)*6+SUMIF(_xlpm.col,"H.*",B:B)*7+SUMIF(_xlpm.col,"I.*",B:B)*8+SUMIF(_xlpm.col,"J.*",B:B)*9+SUMIF(_xlpm.col,"K.*",B:B)*10+SUMIF(_xlpm.col,"L.*",B:B)*11+SUMIF(_xlpm.col,"M.*",B:B)*12+SUMIF(_xlpm.col,"N.*",B:B)*13+SUMIF(_xlpm.col,"O.*",B:B)*14+SUMIF(_xlpm.col,"P.*",B:B)*15)))/L10</f>
        <v>26.937171052631584</v>
      </c>
      <c r="M5" s="33"/>
      <c r="N5" s="33"/>
      <c r="O5" s="33"/>
      <c r="P5" s="33"/>
      <c r="Q5" s="33"/>
      <c r="R5" s="33"/>
      <c r="S5" s="33"/>
    </row>
    <row r="6" spans="1:20" x14ac:dyDescent="0.2">
      <c r="A6" s="53" t="s">
        <v>914</v>
      </c>
      <c r="B6" s="53">
        <v>60</v>
      </c>
      <c r="C6" s="53" t="s">
        <v>1353</v>
      </c>
      <c r="D6" s="53" t="s">
        <v>1353</v>
      </c>
      <c r="E6" s="53" t="s">
        <v>1353</v>
      </c>
      <c r="F6" s="53" t="s">
        <v>1353</v>
      </c>
      <c r="G6" s="53" t="s">
        <v>1353</v>
      </c>
      <c r="I6" s="40" t="s">
        <v>47</v>
      </c>
      <c r="J6" s="40"/>
      <c r="K6" s="40"/>
      <c r="L6" s="41">
        <f>L5/L4</f>
        <v>2.7449777590061784</v>
      </c>
      <c r="M6" s="40"/>
      <c r="N6" s="40"/>
      <c r="O6" s="40"/>
      <c r="P6" s="40"/>
      <c r="Q6" s="40"/>
      <c r="R6" s="40"/>
      <c r="S6" s="40"/>
    </row>
    <row r="7" spans="1:20" x14ac:dyDescent="0.2">
      <c r="A7" s="53" t="s">
        <v>914</v>
      </c>
      <c r="B7" s="53">
        <v>57</v>
      </c>
      <c r="C7" s="53" t="s">
        <v>1353</v>
      </c>
      <c r="D7" s="53" t="s">
        <v>1353</v>
      </c>
      <c r="E7" s="53" t="s">
        <v>191</v>
      </c>
      <c r="F7" s="53" t="s">
        <v>1353</v>
      </c>
      <c r="G7" s="53" t="s">
        <v>1353</v>
      </c>
      <c r="L7" s="35"/>
    </row>
    <row r="8" spans="1:20" x14ac:dyDescent="0.2">
      <c r="A8" s="53" t="s">
        <v>914</v>
      </c>
      <c r="B8" s="53">
        <v>56</v>
      </c>
      <c r="C8" s="53" t="s">
        <v>1353</v>
      </c>
      <c r="D8" s="53" t="s">
        <v>1353</v>
      </c>
      <c r="E8" s="53" t="s">
        <v>1353</v>
      </c>
      <c r="F8" s="53" t="s">
        <v>1353</v>
      </c>
      <c r="G8" s="53" t="s">
        <v>1353</v>
      </c>
      <c r="I8" s="69" t="s">
        <v>54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0"/>
    </row>
    <row r="9" spans="1:20" x14ac:dyDescent="0.2">
      <c r="A9" s="53" t="s">
        <v>914</v>
      </c>
      <c r="B9" s="53">
        <v>51</v>
      </c>
      <c r="C9" s="53" t="s">
        <v>1353</v>
      </c>
      <c r="D9" s="53" t="s">
        <v>1353</v>
      </c>
      <c r="E9" s="53" t="s">
        <v>1353</v>
      </c>
      <c r="F9" s="53" t="s">
        <v>1353</v>
      </c>
      <c r="G9" s="53" t="s">
        <v>1353</v>
      </c>
      <c r="I9" s="36"/>
      <c r="J9" s="36" t="s">
        <v>17</v>
      </c>
      <c r="K9" s="36" t="s">
        <v>18</v>
      </c>
      <c r="L9" s="36" t="s">
        <v>19</v>
      </c>
      <c r="M9" s="36" t="s">
        <v>20</v>
      </c>
      <c r="N9" s="36" t="s">
        <v>21</v>
      </c>
      <c r="O9" s="36" t="s">
        <v>22</v>
      </c>
      <c r="P9" s="36" t="s">
        <v>23</v>
      </c>
      <c r="Q9" s="36" t="s">
        <v>24</v>
      </c>
      <c r="R9" s="36" t="s">
        <v>25</v>
      </c>
      <c r="S9" s="37" t="s">
        <v>26</v>
      </c>
      <c r="T9" s="36" t="s">
        <v>59</v>
      </c>
    </row>
    <row r="10" spans="1:20" x14ac:dyDescent="0.2">
      <c r="A10" s="53" t="s">
        <v>914</v>
      </c>
      <c r="B10" s="53">
        <v>50</v>
      </c>
      <c r="C10" s="53" t="s">
        <v>1352</v>
      </c>
      <c r="D10" s="53" t="s">
        <v>1352</v>
      </c>
      <c r="E10" s="53" t="s">
        <v>1367</v>
      </c>
      <c r="F10" s="53" t="s">
        <v>1352</v>
      </c>
      <c r="G10" s="53" t="s">
        <v>1352</v>
      </c>
      <c r="I10" s="4" t="s">
        <v>63</v>
      </c>
      <c r="J10" s="4" cm="1">
        <f t="array" ref="J10">SUM(COUNTIF(C:G,{"A.*","B.*"}))</f>
        <v>1291</v>
      </c>
      <c r="K10" s="4">
        <f>COUNTIF(C:G,"T.*")</f>
        <v>56</v>
      </c>
      <c r="L10" s="4" cm="1">
        <f t="array" ref="L10">SUM(COUNTIF(C:G,{"C.*","D.*","E.*","F.*","G.*","H.*","I.*","J.*","K.*","L.*","M.*","N.*","O.*","P.*"}))</f>
        <v>304</v>
      </c>
      <c r="M10" s="23">
        <f>COUNTIF(C:G,"R.*")</f>
        <v>47</v>
      </c>
      <c r="N10" s="4">
        <f>COUNTIF(C:G,"U.*")</f>
        <v>5</v>
      </c>
      <c r="O10" s="4">
        <v>0</v>
      </c>
      <c r="P10" s="4">
        <f>COUNTIF(C:G,"Q.*")</f>
        <v>21</v>
      </c>
      <c r="Q10" s="4">
        <f>COUNTIF(C:G,"V.*")</f>
        <v>8</v>
      </c>
      <c r="R10" s="4">
        <f>COUNTIF(C:G,"S.*")</f>
        <v>124</v>
      </c>
      <c r="S10" s="14">
        <f>SUM(J10:R10)</f>
        <v>1856</v>
      </c>
      <c r="T10" s="4">
        <f>COUNTIFS(C2:G1000,"&lt;&gt;",C2:G1000,"&lt;&gt;OFF.*",C2:G1000,"&lt;&gt;AA.*",C2:G1000,"&lt;&gt;BB.*",C2:G1000,"&lt;&gt;W.*",C2:G1000,"&lt;&gt;X.*",C2:G1000,"&lt;&gt;Y.*",C2:G1000,"&lt;&gt;CC.*")</f>
        <v>1856</v>
      </c>
    </row>
    <row r="11" spans="1:20" x14ac:dyDescent="0.2">
      <c r="A11" s="53" t="s">
        <v>914</v>
      </c>
      <c r="B11" s="53">
        <v>50</v>
      </c>
      <c r="C11" s="53" t="s">
        <v>1367</v>
      </c>
      <c r="D11" s="53" t="s">
        <v>1367</v>
      </c>
      <c r="E11" s="53" t="s">
        <v>1367</v>
      </c>
      <c r="F11" s="53" t="s">
        <v>1367</v>
      </c>
      <c r="G11" s="53" t="s">
        <v>1367</v>
      </c>
    </row>
    <row r="12" spans="1:20" ht="16" x14ac:dyDescent="0.2">
      <c r="A12" s="53" t="s">
        <v>914</v>
      </c>
      <c r="B12" s="53">
        <v>50</v>
      </c>
      <c r="C12" s="53" t="s">
        <v>1353</v>
      </c>
      <c r="D12" s="53" t="s">
        <v>1353</v>
      </c>
      <c r="E12" s="53" t="s">
        <v>1353</v>
      </c>
      <c r="F12" s="53" t="s">
        <v>1353</v>
      </c>
      <c r="G12" s="53" t="s">
        <v>1353</v>
      </c>
      <c r="I12" s="83" t="s">
        <v>1453</v>
      </c>
      <c r="J12" s="84"/>
      <c r="L12" s="69" t="s">
        <v>69</v>
      </c>
      <c r="M12" s="73"/>
      <c r="N12" s="70"/>
      <c r="S12" t="s">
        <v>75</v>
      </c>
    </row>
    <row r="13" spans="1:20" ht="16" x14ac:dyDescent="0.2">
      <c r="A13" s="53" t="s">
        <v>914</v>
      </c>
      <c r="B13" s="53">
        <v>47</v>
      </c>
      <c r="C13" s="53" t="s">
        <v>1352</v>
      </c>
      <c r="D13" s="53" t="s">
        <v>1352</v>
      </c>
      <c r="E13" s="53" t="s">
        <v>1352</v>
      </c>
      <c r="F13" s="53" t="s">
        <v>1352</v>
      </c>
      <c r="G13" s="53" t="s">
        <v>1353</v>
      </c>
      <c r="I13" s="5" t="s">
        <v>1353</v>
      </c>
      <c r="L13" s="74" t="s">
        <v>75</v>
      </c>
      <c r="M13" s="74"/>
      <c r="N13" s="36">
        <f>2*S10/COUNTIF(B2:B1000,"&lt;&gt;")</f>
        <v>9.2338308457711449</v>
      </c>
      <c r="S13">
        <f>2*S10/COUNTIF(A2:A1000,"&lt;&gt;")</f>
        <v>9.2338308457711449</v>
      </c>
    </row>
    <row r="14" spans="1:20" ht="16" x14ac:dyDescent="0.2">
      <c r="A14" s="53" t="s">
        <v>914</v>
      </c>
      <c r="B14" s="53">
        <v>47</v>
      </c>
      <c r="C14" s="53" t="s">
        <v>1352</v>
      </c>
      <c r="D14" s="53" t="s">
        <v>1352</v>
      </c>
      <c r="E14" s="53" t="s">
        <v>1352</v>
      </c>
      <c r="F14" s="53" t="s">
        <v>1352</v>
      </c>
      <c r="G14" s="53" t="s">
        <v>1352</v>
      </c>
      <c r="I14" s="5" t="s">
        <v>1355</v>
      </c>
      <c r="L14" s="72" t="s">
        <v>82</v>
      </c>
      <c r="M14" s="72"/>
      <c r="N14" s="4">
        <v>723</v>
      </c>
    </row>
    <row r="15" spans="1:20" ht="16" x14ac:dyDescent="0.2">
      <c r="A15" s="53" t="s">
        <v>914</v>
      </c>
      <c r="B15" s="53">
        <v>45</v>
      </c>
      <c r="C15" s="53" t="s">
        <v>1352</v>
      </c>
      <c r="D15" s="53" t="s">
        <v>1352</v>
      </c>
      <c r="E15" s="53" t="s">
        <v>1352</v>
      </c>
      <c r="F15" s="53" t="s">
        <v>1352</v>
      </c>
      <c r="G15" s="53" t="s">
        <v>1352</v>
      </c>
      <c r="I15" s="5" t="s">
        <v>1352</v>
      </c>
      <c r="L15" s="75" t="s">
        <v>86</v>
      </c>
      <c r="M15" s="75"/>
      <c r="N15" s="59">
        <f>COUNTIF(B2:B1000,"&lt;&gt;")</f>
        <v>402</v>
      </c>
    </row>
    <row r="16" spans="1:20" ht="16" x14ac:dyDescent="0.2">
      <c r="A16" s="53" t="s">
        <v>914</v>
      </c>
      <c r="B16" s="53">
        <v>45</v>
      </c>
      <c r="C16" s="53" t="s">
        <v>1352</v>
      </c>
      <c r="D16" s="53" t="s">
        <v>1352</v>
      </c>
      <c r="E16" s="53" t="s">
        <v>191</v>
      </c>
      <c r="F16" s="53" t="s">
        <v>1352</v>
      </c>
      <c r="G16" s="53" t="s">
        <v>1352</v>
      </c>
      <c r="I16" s="5" t="s">
        <v>1356</v>
      </c>
      <c r="L16" s="72" t="s">
        <v>93</v>
      </c>
      <c r="M16" s="69"/>
      <c r="N16" s="61">
        <f>N15/N14</f>
        <v>0.55601659751037347</v>
      </c>
    </row>
    <row r="17" spans="1:19" ht="16" x14ac:dyDescent="0.2">
      <c r="A17" s="53" t="s">
        <v>914</v>
      </c>
      <c r="B17" s="53">
        <v>45</v>
      </c>
      <c r="C17" s="53" t="s">
        <v>1353</v>
      </c>
      <c r="D17" s="53" t="s">
        <v>1353</v>
      </c>
      <c r="E17" s="53" t="s">
        <v>1353</v>
      </c>
      <c r="F17" s="53" t="s">
        <v>1353</v>
      </c>
      <c r="G17" s="53" t="s">
        <v>1353</v>
      </c>
      <c r="I17" s="5" t="s">
        <v>1357</v>
      </c>
      <c r="L17" s="77" t="s">
        <v>99</v>
      </c>
      <c r="M17" s="78"/>
      <c r="N17" s="60">
        <v>49</v>
      </c>
      <c r="Q17" t="s">
        <v>126</v>
      </c>
      <c r="R17" t="s">
        <v>127</v>
      </c>
      <c r="S17" t="s">
        <v>128</v>
      </c>
    </row>
    <row r="18" spans="1:19" ht="16" x14ac:dyDescent="0.2">
      <c r="A18" s="53" t="s">
        <v>914</v>
      </c>
      <c r="B18" s="53">
        <v>43</v>
      </c>
      <c r="C18" s="53" t="s">
        <v>1353</v>
      </c>
      <c r="D18" s="53" t="s">
        <v>1353</v>
      </c>
      <c r="E18" s="53" t="s">
        <v>1353</v>
      </c>
      <c r="F18" s="53" t="s">
        <v>1353</v>
      </c>
      <c r="G18" s="53" t="s">
        <v>191</v>
      </c>
      <c r="I18" s="5" t="s">
        <v>1359</v>
      </c>
      <c r="L18" s="69" t="s">
        <v>104</v>
      </c>
      <c r="M18" s="70"/>
      <c r="N18" s="4">
        <f>AVERAGE(B3:B1000)</f>
        <v>12.663591022443889</v>
      </c>
      <c r="P18" t="s">
        <v>133</v>
      </c>
      <c r="Q18">
        <f>J4*J10</f>
        <v>17729.799999999996</v>
      </c>
      <c r="R18">
        <f>Q18*(723/N15)</f>
        <v>31887.177611940289</v>
      </c>
      <c r="S18">
        <f>R18*49</f>
        <v>1562471.7029850741</v>
      </c>
    </row>
    <row r="19" spans="1:19" ht="16" x14ac:dyDescent="0.2">
      <c r="A19" s="53" t="s">
        <v>914</v>
      </c>
      <c r="B19" s="53">
        <v>40</v>
      </c>
      <c r="C19" s="53" t="s">
        <v>1353</v>
      </c>
      <c r="D19" s="53" t="s">
        <v>1353</v>
      </c>
      <c r="E19" s="53" t="s">
        <v>1353</v>
      </c>
      <c r="F19" s="53" t="s">
        <v>1353</v>
      </c>
      <c r="G19" s="53" t="s">
        <v>1353</v>
      </c>
      <c r="I19" s="5" t="s">
        <v>1360</v>
      </c>
      <c r="L19" s="69" t="s">
        <v>109</v>
      </c>
      <c r="M19" s="70"/>
      <c r="N19" s="4">
        <f>MEDIAN(B2:B1000)</f>
        <v>7.1</v>
      </c>
    </row>
    <row r="20" spans="1:19" ht="16" x14ac:dyDescent="0.2">
      <c r="A20" s="53" t="s">
        <v>914</v>
      </c>
      <c r="B20" s="53">
        <v>40</v>
      </c>
      <c r="C20" s="53" t="s">
        <v>1352</v>
      </c>
      <c r="D20" s="53" t="s">
        <v>1352</v>
      </c>
      <c r="E20" s="53" t="s">
        <v>1352</v>
      </c>
      <c r="F20" s="53" t="s">
        <v>1352</v>
      </c>
      <c r="G20" s="53" t="s">
        <v>191</v>
      </c>
      <c r="I20" s="5" t="s">
        <v>1361</v>
      </c>
      <c r="L20" s="69" t="s">
        <v>114</v>
      </c>
      <c r="M20" s="70"/>
      <c r="N20" s="4">
        <f>SUM(B2:B1000)</f>
        <v>7578.1</v>
      </c>
    </row>
    <row r="21" spans="1:19" ht="16" x14ac:dyDescent="0.2">
      <c r="A21" s="53" t="s">
        <v>914</v>
      </c>
      <c r="B21" s="53">
        <v>40</v>
      </c>
      <c r="C21" s="53" t="s">
        <v>1353</v>
      </c>
      <c r="D21" s="53" t="s">
        <v>1353</v>
      </c>
      <c r="E21" s="53" t="s">
        <v>1353</v>
      </c>
      <c r="F21" s="53" t="s">
        <v>1353</v>
      </c>
      <c r="G21" s="53" t="s">
        <v>1353</v>
      </c>
      <c r="I21" s="5" t="s">
        <v>1362</v>
      </c>
      <c r="L21" s="69" t="s">
        <v>119</v>
      </c>
      <c r="M21" s="70"/>
      <c r="N21" s="61">
        <f>COUNTIF(B:B,"&lt;=5")/N15</f>
        <v>0.4228855721393035</v>
      </c>
    </row>
    <row r="22" spans="1:19" ht="16" x14ac:dyDescent="0.2">
      <c r="A22" s="53" t="s">
        <v>914</v>
      </c>
      <c r="B22" s="53">
        <v>40</v>
      </c>
      <c r="C22" s="53" t="s">
        <v>1367</v>
      </c>
      <c r="D22" s="53" t="s">
        <v>1367</v>
      </c>
      <c r="E22" s="53" t="s">
        <v>1353</v>
      </c>
      <c r="F22" s="53" t="s">
        <v>191</v>
      </c>
      <c r="G22" s="53" t="s">
        <v>1353</v>
      </c>
      <c r="I22" s="5" t="s">
        <v>1363</v>
      </c>
    </row>
    <row r="23" spans="1:19" ht="16" x14ac:dyDescent="0.2">
      <c r="A23" s="53" t="s">
        <v>914</v>
      </c>
      <c r="B23" s="53">
        <v>40</v>
      </c>
      <c r="C23" s="53" t="s">
        <v>1353</v>
      </c>
      <c r="D23" s="53" t="s">
        <v>1353</v>
      </c>
      <c r="E23" s="53" t="s">
        <v>1353</v>
      </c>
      <c r="F23" s="53" t="s">
        <v>1353</v>
      </c>
      <c r="G23" s="53" t="s">
        <v>1353</v>
      </c>
      <c r="I23" s="5" t="s">
        <v>1364</v>
      </c>
    </row>
    <row r="24" spans="1:19" ht="16" x14ac:dyDescent="0.2">
      <c r="A24" s="53" t="s">
        <v>914</v>
      </c>
      <c r="B24" s="53">
        <v>40</v>
      </c>
      <c r="C24" s="53" t="s">
        <v>1353</v>
      </c>
      <c r="D24" s="53" t="s">
        <v>1353</v>
      </c>
      <c r="E24" s="53" t="s">
        <v>1353</v>
      </c>
      <c r="F24" s="53" t="s">
        <v>1353</v>
      </c>
      <c r="G24" s="53" t="s">
        <v>1353</v>
      </c>
      <c r="I24" s="5" t="s">
        <v>1365</v>
      </c>
    </row>
    <row r="25" spans="1:19" ht="16" x14ac:dyDescent="0.2">
      <c r="A25" s="53" t="s">
        <v>914</v>
      </c>
      <c r="B25" s="53">
        <v>40</v>
      </c>
      <c r="C25" s="53" t="s">
        <v>1353</v>
      </c>
      <c r="D25" s="53" t="s">
        <v>1353</v>
      </c>
      <c r="E25" s="53" t="s">
        <v>1353</v>
      </c>
      <c r="F25" s="53" t="s">
        <v>1353</v>
      </c>
      <c r="G25" s="53" t="s">
        <v>1353</v>
      </c>
      <c r="I25" s="5" t="s">
        <v>1366</v>
      </c>
    </row>
    <row r="26" spans="1:19" ht="16" x14ac:dyDescent="0.2">
      <c r="A26" s="53" t="s">
        <v>914</v>
      </c>
      <c r="B26" s="53">
        <v>39</v>
      </c>
      <c r="C26" s="53" t="s">
        <v>1353</v>
      </c>
      <c r="D26" s="53" t="s">
        <v>1353</v>
      </c>
      <c r="E26" s="53" t="s">
        <v>1353</v>
      </c>
      <c r="F26" s="53" t="s">
        <v>1353</v>
      </c>
      <c r="G26" s="53" t="s">
        <v>1353</v>
      </c>
      <c r="I26" s="5" t="s">
        <v>1368</v>
      </c>
    </row>
    <row r="27" spans="1:19" ht="16" x14ac:dyDescent="0.2">
      <c r="A27" s="53" t="s">
        <v>914</v>
      </c>
      <c r="B27" s="53">
        <v>38</v>
      </c>
      <c r="C27" s="53" t="s">
        <v>1353</v>
      </c>
      <c r="D27" s="53" t="s">
        <v>1353</v>
      </c>
      <c r="E27" s="53" t="s">
        <v>1353</v>
      </c>
      <c r="F27" s="53" t="s">
        <v>1353</v>
      </c>
      <c r="G27" s="53" t="s">
        <v>1353</v>
      </c>
      <c r="I27" s="5" t="s">
        <v>1369</v>
      </c>
    </row>
    <row r="28" spans="1:19" ht="16" x14ac:dyDescent="0.2">
      <c r="A28" s="53" t="s">
        <v>914</v>
      </c>
      <c r="B28" s="53">
        <v>38</v>
      </c>
      <c r="C28" s="53" t="s">
        <v>1353</v>
      </c>
      <c r="D28" s="53" t="s">
        <v>1353</v>
      </c>
      <c r="E28" s="53" t="s">
        <v>1353</v>
      </c>
      <c r="F28" s="53" t="s">
        <v>199</v>
      </c>
      <c r="G28" s="53" t="s">
        <v>199</v>
      </c>
      <c r="I28" s="5" t="s">
        <v>1370</v>
      </c>
    </row>
    <row r="29" spans="1:19" ht="16" x14ac:dyDescent="0.2">
      <c r="A29" s="53" t="s">
        <v>914</v>
      </c>
      <c r="B29" s="53">
        <v>37</v>
      </c>
      <c r="C29" s="53" t="s">
        <v>191</v>
      </c>
      <c r="D29" s="53" t="s">
        <v>191</v>
      </c>
      <c r="E29" s="53" t="s">
        <v>191</v>
      </c>
      <c r="F29" s="53" t="s">
        <v>191</v>
      </c>
      <c r="G29" s="53" t="s">
        <v>191</v>
      </c>
      <c r="I29" s="5" t="s">
        <v>1371</v>
      </c>
    </row>
    <row r="30" spans="1:19" ht="16" x14ac:dyDescent="0.2">
      <c r="A30" s="53" t="s">
        <v>914</v>
      </c>
      <c r="B30" s="53">
        <v>35</v>
      </c>
      <c r="C30" s="53" t="s">
        <v>1353</v>
      </c>
      <c r="D30" s="53" t="s">
        <v>1353</v>
      </c>
      <c r="E30" s="53" t="s">
        <v>191</v>
      </c>
      <c r="F30" s="53" t="s">
        <v>1353</v>
      </c>
      <c r="G30" s="53" t="s">
        <v>199</v>
      </c>
      <c r="I30" s="5" t="s">
        <v>1367</v>
      </c>
    </row>
    <row r="31" spans="1:19" ht="16" x14ac:dyDescent="0.2">
      <c r="A31" s="53" t="s">
        <v>914</v>
      </c>
      <c r="B31" s="53">
        <v>35</v>
      </c>
      <c r="C31" s="53" t="s">
        <v>1353</v>
      </c>
      <c r="D31" s="53" t="s">
        <v>1353</v>
      </c>
      <c r="E31" s="53" t="s">
        <v>1353</v>
      </c>
      <c r="F31" s="53" t="s">
        <v>1353</v>
      </c>
      <c r="G31" s="53" t="s">
        <v>1353</v>
      </c>
      <c r="I31" s="5" t="s">
        <v>1372</v>
      </c>
    </row>
    <row r="32" spans="1:19" ht="16" x14ac:dyDescent="0.2">
      <c r="A32" s="53" t="s">
        <v>914</v>
      </c>
      <c r="B32" s="53">
        <v>35</v>
      </c>
      <c r="C32" s="53" t="s">
        <v>1353</v>
      </c>
      <c r="D32" s="53" t="s">
        <v>1353</v>
      </c>
      <c r="E32" s="53" t="s">
        <v>1353</v>
      </c>
      <c r="F32" s="53" t="s">
        <v>1353</v>
      </c>
      <c r="G32" s="53" t="s">
        <v>1353</v>
      </c>
      <c r="I32" s="5" t="s">
        <v>1373</v>
      </c>
    </row>
    <row r="33" spans="1:9" ht="16" x14ac:dyDescent="0.2">
      <c r="A33" s="53" t="s">
        <v>914</v>
      </c>
      <c r="B33" s="53">
        <v>35</v>
      </c>
      <c r="C33" s="53" t="s">
        <v>1353</v>
      </c>
      <c r="D33" s="53" t="s">
        <v>1353</v>
      </c>
      <c r="E33" s="53" t="s">
        <v>1353</v>
      </c>
      <c r="F33" s="53" t="s">
        <v>1353</v>
      </c>
      <c r="G33" s="53" t="s">
        <v>1353</v>
      </c>
      <c r="I33" s="5" t="s">
        <v>1358</v>
      </c>
    </row>
    <row r="34" spans="1:9" ht="16" x14ac:dyDescent="0.2">
      <c r="A34" s="53" t="s">
        <v>914</v>
      </c>
      <c r="B34" s="53">
        <v>35</v>
      </c>
      <c r="C34" s="53" t="s">
        <v>1367</v>
      </c>
      <c r="D34" s="53" t="s">
        <v>1367</v>
      </c>
      <c r="E34" s="53" t="s">
        <v>1367</v>
      </c>
      <c r="F34" s="53" t="s">
        <v>1367</v>
      </c>
      <c r="G34" s="53" t="s">
        <v>1367</v>
      </c>
      <c r="I34" s="5" t="s">
        <v>1351</v>
      </c>
    </row>
    <row r="35" spans="1:9" ht="16" x14ac:dyDescent="0.2">
      <c r="A35" s="53" t="s">
        <v>914</v>
      </c>
      <c r="B35" s="53">
        <v>35</v>
      </c>
      <c r="C35" s="53" t="s">
        <v>199</v>
      </c>
      <c r="D35" s="53" t="s">
        <v>1352</v>
      </c>
      <c r="E35" s="53" t="s">
        <v>1352</v>
      </c>
      <c r="F35" s="53" t="s">
        <v>195</v>
      </c>
      <c r="G35" s="53" t="s">
        <v>1352</v>
      </c>
      <c r="I35" s="5" t="s">
        <v>1374</v>
      </c>
    </row>
    <row r="36" spans="1:9" ht="16" x14ac:dyDescent="0.2">
      <c r="A36" s="53" t="s">
        <v>914</v>
      </c>
      <c r="B36" s="53">
        <v>35</v>
      </c>
      <c r="C36" s="53" t="s">
        <v>1358</v>
      </c>
      <c r="D36" s="53" t="s">
        <v>1358</v>
      </c>
      <c r="E36" s="53" t="s">
        <v>1358</v>
      </c>
      <c r="F36" s="53" t="s">
        <v>1358</v>
      </c>
      <c r="G36" s="53" t="s">
        <v>1358</v>
      </c>
      <c r="I36" s="5" t="s">
        <v>179</v>
      </c>
    </row>
    <row r="37" spans="1:9" ht="16" x14ac:dyDescent="0.2">
      <c r="A37" s="53" t="s">
        <v>914</v>
      </c>
      <c r="B37" s="53">
        <v>35</v>
      </c>
      <c r="C37" s="53" t="s">
        <v>1367</v>
      </c>
      <c r="D37" s="53" t="s">
        <v>1367</v>
      </c>
      <c r="E37" s="53" t="s">
        <v>1367</v>
      </c>
      <c r="F37" s="53" t="s">
        <v>1367</v>
      </c>
      <c r="G37" s="53" t="s">
        <v>1367</v>
      </c>
      <c r="I37" s="5" t="s">
        <v>1467</v>
      </c>
    </row>
    <row r="38" spans="1:9" ht="16" x14ac:dyDescent="0.2">
      <c r="A38" s="53" t="s">
        <v>914</v>
      </c>
      <c r="B38" s="53">
        <v>34</v>
      </c>
      <c r="C38" s="53" t="s">
        <v>1353</v>
      </c>
      <c r="D38" s="53" t="s">
        <v>1353</v>
      </c>
      <c r="E38" s="53" t="s">
        <v>1353</v>
      </c>
      <c r="F38" s="53" t="s">
        <v>1353</v>
      </c>
      <c r="G38" s="53" t="s">
        <v>1353</v>
      </c>
      <c r="I38" s="5" t="s">
        <v>191</v>
      </c>
    </row>
    <row r="39" spans="1:9" ht="16" x14ac:dyDescent="0.2">
      <c r="A39" s="53" t="s">
        <v>914</v>
      </c>
      <c r="B39" s="53">
        <v>34</v>
      </c>
      <c r="C39" s="53" t="s">
        <v>1388</v>
      </c>
      <c r="D39" s="53" t="s">
        <v>1388</v>
      </c>
      <c r="E39" s="53" t="s">
        <v>1353</v>
      </c>
      <c r="F39" s="53" t="s">
        <v>1353</v>
      </c>
      <c r="G39" s="53" t="s">
        <v>1353</v>
      </c>
      <c r="I39" s="5" t="s">
        <v>195</v>
      </c>
    </row>
    <row r="40" spans="1:9" ht="16" x14ac:dyDescent="0.2">
      <c r="A40" s="53" t="s">
        <v>914</v>
      </c>
      <c r="B40" s="53">
        <v>33</v>
      </c>
      <c r="C40" s="53" t="s">
        <v>1353</v>
      </c>
      <c r="D40" s="53" t="s">
        <v>1353</v>
      </c>
      <c r="E40" s="53" t="s">
        <v>1353</v>
      </c>
      <c r="F40" s="53" t="s">
        <v>1353</v>
      </c>
      <c r="G40" s="53" t="s">
        <v>1353</v>
      </c>
      <c r="I40" s="5" t="s">
        <v>199</v>
      </c>
    </row>
    <row r="41" spans="1:9" ht="16" x14ac:dyDescent="0.2">
      <c r="A41" s="53" t="s">
        <v>914</v>
      </c>
      <c r="B41" s="53">
        <v>32</v>
      </c>
      <c r="C41" s="53" t="s">
        <v>1353</v>
      </c>
      <c r="D41" s="53" t="s">
        <v>1353</v>
      </c>
      <c r="E41" s="53" t="s">
        <v>1351</v>
      </c>
      <c r="F41" s="53" t="s">
        <v>1353</v>
      </c>
      <c r="G41" s="53" t="s">
        <v>1353</v>
      </c>
      <c r="I41" s="6" t="s">
        <v>202</v>
      </c>
    </row>
    <row r="42" spans="1:9" x14ac:dyDescent="0.2">
      <c r="A42" s="53" t="s">
        <v>914</v>
      </c>
      <c r="B42" s="53">
        <v>32</v>
      </c>
      <c r="C42" s="53" t="s">
        <v>1353</v>
      </c>
      <c r="D42" s="53" t="s">
        <v>1353</v>
      </c>
      <c r="E42" s="53" t="s">
        <v>1353</v>
      </c>
      <c r="F42" s="53" t="s">
        <v>1353</v>
      </c>
      <c r="G42" s="53" t="s">
        <v>1353</v>
      </c>
    </row>
    <row r="43" spans="1:9" x14ac:dyDescent="0.2">
      <c r="A43" s="53" t="s">
        <v>914</v>
      </c>
      <c r="B43" s="53">
        <v>31.3</v>
      </c>
      <c r="C43" s="53" t="s">
        <v>1371</v>
      </c>
      <c r="D43" s="53" t="s">
        <v>1371</v>
      </c>
      <c r="E43" s="53" t="s">
        <v>202</v>
      </c>
      <c r="F43" s="53" t="s">
        <v>202</v>
      </c>
      <c r="G43" s="53" t="s">
        <v>1371</v>
      </c>
    </row>
    <row r="44" spans="1:9" x14ac:dyDescent="0.2">
      <c r="A44" s="53" t="s">
        <v>914</v>
      </c>
      <c r="B44" s="53">
        <v>30</v>
      </c>
      <c r="C44" s="53" t="s">
        <v>1353</v>
      </c>
      <c r="D44" s="53" t="s">
        <v>1353</v>
      </c>
      <c r="E44" s="53" t="s">
        <v>1353</v>
      </c>
      <c r="F44" s="53" t="s">
        <v>1353</v>
      </c>
      <c r="G44" s="53" t="s">
        <v>1353</v>
      </c>
    </row>
    <row r="45" spans="1:9" x14ac:dyDescent="0.2">
      <c r="A45" s="53" t="s">
        <v>914</v>
      </c>
      <c r="B45" s="53">
        <v>30</v>
      </c>
      <c r="C45" s="53" t="s">
        <v>1353</v>
      </c>
      <c r="D45" s="53" t="s">
        <v>1353</v>
      </c>
      <c r="E45" s="53" t="s">
        <v>1351</v>
      </c>
      <c r="F45" s="53" t="s">
        <v>1353</v>
      </c>
      <c r="G45" s="53" t="s">
        <v>1351</v>
      </c>
    </row>
    <row r="46" spans="1:9" x14ac:dyDescent="0.2">
      <c r="A46" s="53" t="s">
        <v>914</v>
      </c>
      <c r="B46" s="53">
        <v>30</v>
      </c>
      <c r="C46" s="53" t="s">
        <v>1353</v>
      </c>
      <c r="D46" s="53" t="s">
        <v>1353</v>
      </c>
      <c r="E46" s="53" t="s">
        <v>1353</v>
      </c>
      <c r="F46" s="53" t="s">
        <v>1353</v>
      </c>
      <c r="G46" s="53" t="s">
        <v>1353</v>
      </c>
    </row>
    <row r="47" spans="1:9" x14ac:dyDescent="0.2">
      <c r="A47" s="53" t="s">
        <v>914</v>
      </c>
      <c r="B47" s="53">
        <v>30</v>
      </c>
      <c r="C47" s="53" t="s">
        <v>1353</v>
      </c>
      <c r="D47" s="53" t="s">
        <v>1353</v>
      </c>
      <c r="E47" s="53" t="s">
        <v>1353</v>
      </c>
      <c r="F47" s="53" t="s">
        <v>1353</v>
      </c>
      <c r="G47" s="53" t="s">
        <v>1353</v>
      </c>
    </row>
    <row r="48" spans="1:9" x14ac:dyDescent="0.2">
      <c r="A48" s="53" t="s">
        <v>914</v>
      </c>
      <c r="B48" s="53">
        <v>30</v>
      </c>
      <c r="C48" s="53" t="s">
        <v>1367</v>
      </c>
      <c r="D48" s="53" t="s">
        <v>1367</v>
      </c>
      <c r="E48" s="53" t="s">
        <v>1367</v>
      </c>
      <c r="F48" s="53" t="s">
        <v>1367</v>
      </c>
      <c r="G48" s="53" t="s">
        <v>1367</v>
      </c>
    </row>
    <row r="49" spans="1:7" x14ac:dyDescent="0.2">
      <c r="A49" s="53" t="s">
        <v>914</v>
      </c>
      <c r="B49" s="53">
        <v>30</v>
      </c>
      <c r="C49" s="53" t="s">
        <v>1353</v>
      </c>
      <c r="D49" s="53" t="s">
        <v>1353</v>
      </c>
      <c r="E49" s="53" t="s">
        <v>1353</v>
      </c>
      <c r="F49" s="53" t="s">
        <v>1353</v>
      </c>
      <c r="G49" s="53" t="s">
        <v>1353</v>
      </c>
    </row>
    <row r="50" spans="1:7" x14ac:dyDescent="0.2">
      <c r="A50" s="53" t="s">
        <v>914</v>
      </c>
      <c r="B50" s="53">
        <v>30</v>
      </c>
      <c r="C50" s="53" t="s">
        <v>1353</v>
      </c>
      <c r="D50" s="53" t="s">
        <v>1353</v>
      </c>
      <c r="E50" s="53" t="s">
        <v>1353</v>
      </c>
      <c r="F50" s="53" t="s">
        <v>1353</v>
      </c>
      <c r="G50" s="53" t="s">
        <v>1353</v>
      </c>
    </row>
    <row r="51" spans="1:7" x14ac:dyDescent="0.2">
      <c r="A51" s="53" t="s">
        <v>914</v>
      </c>
      <c r="B51" s="53">
        <v>30</v>
      </c>
      <c r="C51" s="53" t="s">
        <v>1353</v>
      </c>
      <c r="D51" s="53" t="s">
        <v>1353</v>
      </c>
      <c r="E51" s="53" t="s">
        <v>1353</v>
      </c>
      <c r="F51" s="53" t="s">
        <v>1353</v>
      </c>
      <c r="G51" s="53" t="s">
        <v>1353</v>
      </c>
    </row>
    <row r="52" spans="1:7" x14ac:dyDescent="0.2">
      <c r="A52" s="53" t="s">
        <v>914</v>
      </c>
      <c r="B52" s="53">
        <v>30</v>
      </c>
      <c r="C52" s="53" t="s">
        <v>1353</v>
      </c>
      <c r="D52" s="53" t="s">
        <v>1353</v>
      </c>
      <c r="E52" s="53" t="s">
        <v>1353</v>
      </c>
      <c r="F52" s="53" t="s">
        <v>1353</v>
      </c>
      <c r="G52" s="53" t="s">
        <v>1353</v>
      </c>
    </row>
    <row r="53" spans="1:7" x14ac:dyDescent="0.2">
      <c r="A53" s="53" t="s">
        <v>914</v>
      </c>
      <c r="B53" s="53">
        <v>30</v>
      </c>
      <c r="C53" s="53" t="s">
        <v>1353</v>
      </c>
      <c r="D53" s="53" t="s">
        <v>1353</v>
      </c>
      <c r="E53" s="53" t="s">
        <v>1353</v>
      </c>
      <c r="F53" s="53" t="s">
        <v>1353</v>
      </c>
      <c r="G53" s="53" t="s">
        <v>199</v>
      </c>
    </row>
    <row r="54" spans="1:7" x14ac:dyDescent="0.2">
      <c r="A54" s="53" t="s">
        <v>914</v>
      </c>
      <c r="B54" s="53">
        <v>30</v>
      </c>
      <c r="C54" s="53" t="s">
        <v>1353</v>
      </c>
      <c r="D54" s="53" t="s">
        <v>1353</v>
      </c>
      <c r="E54" s="53" t="s">
        <v>1353</v>
      </c>
      <c r="F54" s="53" t="s">
        <v>1353</v>
      </c>
      <c r="G54" s="53" t="s">
        <v>1353</v>
      </c>
    </row>
    <row r="55" spans="1:7" x14ac:dyDescent="0.2">
      <c r="A55" s="53" t="s">
        <v>914</v>
      </c>
      <c r="B55" s="53">
        <v>30</v>
      </c>
      <c r="C55" s="53" t="s">
        <v>1353</v>
      </c>
      <c r="D55" s="53" t="s">
        <v>1353</v>
      </c>
      <c r="E55" s="53" t="s">
        <v>1353</v>
      </c>
      <c r="F55" s="53" t="s">
        <v>1353</v>
      </c>
      <c r="G55" s="53" t="s">
        <v>1353</v>
      </c>
    </row>
    <row r="56" spans="1:7" x14ac:dyDescent="0.2">
      <c r="A56" s="53" t="s">
        <v>914</v>
      </c>
      <c r="B56" s="53">
        <v>29</v>
      </c>
      <c r="C56" s="53" t="s">
        <v>1353</v>
      </c>
      <c r="D56" s="53" t="s">
        <v>1353</v>
      </c>
      <c r="E56" s="53" t="s">
        <v>1353</v>
      </c>
      <c r="F56" s="53" t="s">
        <v>1353</v>
      </c>
      <c r="G56" s="53" t="s">
        <v>1353</v>
      </c>
    </row>
    <row r="57" spans="1:7" x14ac:dyDescent="0.2">
      <c r="A57" s="53" t="s">
        <v>914</v>
      </c>
      <c r="B57" s="53">
        <v>28</v>
      </c>
      <c r="C57" s="53" t="s">
        <v>1353</v>
      </c>
      <c r="D57" s="53" t="s">
        <v>1353</v>
      </c>
      <c r="E57" s="53" t="s">
        <v>1353</v>
      </c>
      <c r="F57" s="53" t="s">
        <v>1353</v>
      </c>
      <c r="G57" s="53" t="s">
        <v>1353</v>
      </c>
    </row>
    <row r="58" spans="1:7" x14ac:dyDescent="0.2">
      <c r="A58" s="53" t="s">
        <v>914</v>
      </c>
      <c r="B58" s="53">
        <v>28</v>
      </c>
      <c r="C58" s="53" t="s">
        <v>1353</v>
      </c>
      <c r="D58" s="53" t="s">
        <v>1353</v>
      </c>
      <c r="E58" s="53" t="s">
        <v>1353</v>
      </c>
      <c r="F58" s="53" t="s">
        <v>1353</v>
      </c>
      <c r="G58" s="53" t="s">
        <v>1353</v>
      </c>
    </row>
    <row r="59" spans="1:7" x14ac:dyDescent="0.2">
      <c r="A59" s="53" t="s">
        <v>914</v>
      </c>
      <c r="B59" s="53">
        <v>28</v>
      </c>
      <c r="C59" s="53" t="s">
        <v>1353</v>
      </c>
      <c r="D59" s="53" t="s">
        <v>1353</v>
      </c>
      <c r="E59" s="53" t="s">
        <v>1353</v>
      </c>
      <c r="F59" s="53" t="s">
        <v>1353</v>
      </c>
      <c r="G59" s="53" t="s">
        <v>1353</v>
      </c>
    </row>
    <row r="60" spans="1:7" x14ac:dyDescent="0.2">
      <c r="A60" s="53" t="s">
        <v>914</v>
      </c>
      <c r="B60" s="53">
        <v>28</v>
      </c>
      <c r="C60" s="53" t="s">
        <v>202</v>
      </c>
      <c r="D60" s="53" t="s">
        <v>1353</v>
      </c>
      <c r="E60" s="53" t="s">
        <v>202</v>
      </c>
      <c r="F60" s="53" t="s">
        <v>1353</v>
      </c>
      <c r="G60" s="53" t="s">
        <v>1353</v>
      </c>
    </row>
    <row r="61" spans="1:7" x14ac:dyDescent="0.2">
      <c r="A61" s="53" t="s">
        <v>914</v>
      </c>
      <c r="B61" s="53">
        <v>28</v>
      </c>
      <c r="C61" s="53" t="s">
        <v>1353</v>
      </c>
      <c r="D61" s="53" t="s">
        <v>1356</v>
      </c>
      <c r="E61" s="53" t="s">
        <v>1353</v>
      </c>
      <c r="F61" s="53" t="s">
        <v>1356</v>
      </c>
      <c r="G61" s="53" t="s">
        <v>1353</v>
      </c>
    </row>
    <row r="62" spans="1:7" x14ac:dyDescent="0.2">
      <c r="A62" s="53" t="s">
        <v>914</v>
      </c>
      <c r="B62" s="53">
        <v>27</v>
      </c>
      <c r="C62" s="53" t="s">
        <v>1367</v>
      </c>
      <c r="D62" s="53" t="s">
        <v>1367</v>
      </c>
      <c r="E62" s="53" t="s">
        <v>1367</v>
      </c>
      <c r="F62" s="53" t="s">
        <v>1367</v>
      </c>
      <c r="G62" s="53" t="s">
        <v>1367</v>
      </c>
    </row>
    <row r="63" spans="1:7" x14ac:dyDescent="0.2">
      <c r="A63" s="53" t="s">
        <v>914</v>
      </c>
      <c r="B63" s="53">
        <v>26.7</v>
      </c>
      <c r="C63" s="53" t="s">
        <v>1353</v>
      </c>
      <c r="D63" s="53" t="s">
        <v>1353</v>
      </c>
      <c r="E63" s="53" t="s">
        <v>1353</v>
      </c>
      <c r="F63" s="53" t="s">
        <v>1353</v>
      </c>
      <c r="G63" s="53" t="s">
        <v>1353</v>
      </c>
    </row>
    <row r="64" spans="1:7" x14ac:dyDescent="0.2">
      <c r="A64" s="53" t="s">
        <v>914</v>
      </c>
      <c r="B64" s="53">
        <v>26</v>
      </c>
      <c r="C64" s="53" t="s">
        <v>1353</v>
      </c>
      <c r="D64" s="53" t="s">
        <v>1353</v>
      </c>
      <c r="E64" s="53" t="s">
        <v>1353</v>
      </c>
      <c r="F64" s="53" t="s">
        <v>1353</v>
      </c>
      <c r="G64" s="53" t="s">
        <v>1353</v>
      </c>
    </row>
    <row r="65" spans="1:7" x14ac:dyDescent="0.2">
      <c r="A65" s="53" t="s">
        <v>914</v>
      </c>
      <c r="B65" s="53">
        <v>26</v>
      </c>
      <c r="C65" s="53" t="s">
        <v>1353</v>
      </c>
      <c r="D65" s="53" t="s">
        <v>1353</v>
      </c>
      <c r="E65" s="53" t="s">
        <v>1353</v>
      </c>
      <c r="F65" s="53" t="s">
        <v>1353</v>
      </c>
      <c r="G65" s="53" t="s">
        <v>1353</v>
      </c>
    </row>
    <row r="66" spans="1:7" x14ac:dyDescent="0.2">
      <c r="A66" s="53" t="s">
        <v>914</v>
      </c>
      <c r="B66" s="53">
        <v>26</v>
      </c>
      <c r="C66" s="53" t="s">
        <v>1352</v>
      </c>
      <c r="D66" s="53" t="s">
        <v>1352</v>
      </c>
      <c r="E66" s="53" t="s">
        <v>1352</v>
      </c>
      <c r="F66" s="53" t="s">
        <v>1352</v>
      </c>
      <c r="G66" s="53" t="s">
        <v>1352</v>
      </c>
    </row>
    <row r="67" spans="1:7" x14ac:dyDescent="0.2">
      <c r="A67" s="53" t="s">
        <v>914</v>
      </c>
      <c r="B67" s="53">
        <v>26</v>
      </c>
      <c r="C67" s="53" t="s">
        <v>1353</v>
      </c>
      <c r="D67" s="53" t="s">
        <v>1353</v>
      </c>
      <c r="E67" s="53" t="s">
        <v>1353</v>
      </c>
      <c r="F67" s="53" t="s">
        <v>1353</v>
      </c>
      <c r="G67" s="53" t="s">
        <v>1353</v>
      </c>
    </row>
    <row r="68" spans="1:7" x14ac:dyDescent="0.2">
      <c r="A68" s="53" t="s">
        <v>914</v>
      </c>
      <c r="B68" s="53">
        <v>25</v>
      </c>
      <c r="C68" s="53" t="s">
        <v>1353</v>
      </c>
      <c r="D68" s="53" t="s">
        <v>1353</v>
      </c>
      <c r="E68" s="53" t="s">
        <v>1353</v>
      </c>
      <c r="F68" s="53" t="s">
        <v>1353</v>
      </c>
      <c r="G68" s="53" t="s">
        <v>1353</v>
      </c>
    </row>
    <row r="69" spans="1:7" x14ac:dyDescent="0.2">
      <c r="A69" s="53" t="s">
        <v>914</v>
      </c>
      <c r="B69" s="53">
        <v>25</v>
      </c>
      <c r="C69" s="53" t="s">
        <v>1353</v>
      </c>
      <c r="D69" s="53" t="s">
        <v>1353</v>
      </c>
      <c r="E69" s="53" t="s">
        <v>1353</v>
      </c>
      <c r="F69" s="53" t="s">
        <v>1353</v>
      </c>
      <c r="G69" s="53" t="s">
        <v>1353</v>
      </c>
    </row>
    <row r="70" spans="1:7" x14ac:dyDescent="0.2">
      <c r="A70" s="53" t="s">
        <v>914</v>
      </c>
      <c r="B70" s="53">
        <v>25</v>
      </c>
      <c r="C70" s="53" t="s">
        <v>1353</v>
      </c>
      <c r="D70" s="53" t="s">
        <v>1353</v>
      </c>
      <c r="E70" s="53" t="s">
        <v>1353</v>
      </c>
      <c r="F70" s="53" t="s">
        <v>1353</v>
      </c>
      <c r="G70" s="53" t="s">
        <v>1353</v>
      </c>
    </row>
    <row r="71" spans="1:7" x14ac:dyDescent="0.2">
      <c r="A71" s="53" t="s">
        <v>914</v>
      </c>
      <c r="B71" s="53">
        <v>25</v>
      </c>
      <c r="C71" s="53" t="s">
        <v>1353</v>
      </c>
      <c r="D71" s="53" t="s">
        <v>1353</v>
      </c>
      <c r="E71" s="53" t="s">
        <v>1353</v>
      </c>
      <c r="F71" s="53" t="s">
        <v>1353</v>
      </c>
      <c r="G71" s="53" t="s">
        <v>1353</v>
      </c>
    </row>
    <row r="72" spans="1:7" x14ac:dyDescent="0.2">
      <c r="A72" s="53" t="s">
        <v>914</v>
      </c>
      <c r="B72" s="53">
        <v>25</v>
      </c>
      <c r="C72" s="53" t="s">
        <v>1353</v>
      </c>
      <c r="D72" s="53" t="s">
        <v>1353</v>
      </c>
      <c r="E72" s="53" t="s">
        <v>1353</v>
      </c>
      <c r="F72" s="53" t="s">
        <v>1353</v>
      </c>
      <c r="G72" s="53" t="s">
        <v>1353</v>
      </c>
    </row>
    <row r="73" spans="1:7" x14ac:dyDescent="0.2">
      <c r="A73" s="53" t="s">
        <v>914</v>
      </c>
      <c r="B73" s="53">
        <v>25</v>
      </c>
      <c r="C73" s="53" t="s">
        <v>1353</v>
      </c>
      <c r="D73" s="53" t="s">
        <v>1353</v>
      </c>
      <c r="E73" s="53" t="s">
        <v>1355</v>
      </c>
      <c r="F73" s="53" t="s">
        <v>1355</v>
      </c>
      <c r="G73" s="53" t="s">
        <v>1353</v>
      </c>
    </row>
    <row r="74" spans="1:7" x14ac:dyDescent="0.2">
      <c r="A74" s="53" t="s">
        <v>914</v>
      </c>
      <c r="B74" s="53">
        <v>25</v>
      </c>
      <c r="C74" s="53" t="s">
        <v>1367</v>
      </c>
      <c r="D74" s="53" t="s">
        <v>1367</v>
      </c>
      <c r="E74" s="53" t="s">
        <v>1367</v>
      </c>
      <c r="F74" s="53" t="s">
        <v>1367</v>
      </c>
      <c r="G74" s="53" t="s">
        <v>1367</v>
      </c>
    </row>
    <row r="75" spans="1:7" x14ac:dyDescent="0.2">
      <c r="A75" s="53" t="s">
        <v>914</v>
      </c>
      <c r="B75" s="53">
        <v>25</v>
      </c>
      <c r="C75" s="53" t="s">
        <v>1353</v>
      </c>
      <c r="D75" s="53" t="s">
        <v>1353</v>
      </c>
      <c r="E75" s="53" t="s">
        <v>1353</v>
      </c>
      <c r="F75" s="53" t="s">
        <v>1353</v>
      </c>
      <c r="G75" s="53" t="s">
        <v>1353</v>
      </c>
    </row>
    <row r="76" spans="1:7" x14ac:dyDescent="0.2">
      <c r="A76" s="53" t="s">
        <v>914</v>
      </c>
      <c r="B76" s="53">
        <v>25</v>
      </c>
      <c r="C76" s="53" t="s">
        <v>1353</v>
      </c>
      <c r="D76" s="53" t="s">
        <v>1353</v>
      </c>
      <c r="E76" s="53" t="s">
        <v>199</v>
      </c>
      <c r="F76" s="53" t="s">
        <v>199</v>
      </c>
      <c r="G76" s="53" t="s">
        <v>1353</v>
      </c>
    </row>
    <row r="77" spans="1:7" x14ac:dyDescent="0.2">
      <c r="A77" s="53" t="s">
        <v>914</v>
      </c>
      <c r="B77" s="53">
        <v>25</v>
      </c>
      <c r="C77" s="53" t="s">
        <v>1352</v>
      </c>
      <c r="D77" s="53" t="s">
        <v>1352</v>
      </c>
      <c r="E77" s="53" t="s">
        <v>1352</v>
      </c>
      <c r="F77" s="53" t="s">
        <v>1352</v>
      </c>
      <c r="G77" s="53" t="s">
        <v>1352</v>
      </c>
    </row>
    <row r="78" spans="1:7" x14ac:dyDescent="0.2">
      <c r="A78" s="53" t="s">
        <v>914</v>
      </c>
      <c r="B78" s="53">
        <v>25</v>
      </c>
      <c r="C78" s="53" t="s">
        <v>1353</v>
      </c>
      <c r="D78" s="53" t="s">
        <v>1353</v>
      </c>
      <c r="E78" s="53" t="s">
        <v>1353</v>
      </c>
      <c r="F78" s="53" t="s">
        <v>1353</v>
      </c>
      <c r="G78" s="53" t="s">
        <v>1353</v>
      </c>
    </row>
    <row r="79" spans="1:7" x14ac:dyDescent="0.2">
      <c r="A79" s="53" t="s">
        <v>914</v>
      </c>
      <c r="B79" s="53">
        <v>25</v>
      </c>
      <c r="C79" s="53" t="s">
        <v>1353</v>
      </c>
      <c r="D79" s="53" t="s">
        <v>1353</v>
      </c>
      <c r="E79" s="53" t="s">
        <v>1353</v>
      </c>
      <c r="F79" s="53" t="s">
        <v>1353</v>
      </c>
      <c r="G79" s="53" t="s">
        <v>1353</v>
      </c>
    </row>
    <row r="80" spans="1:7" x14ac:dyDescent="0.2">
      <c r="A80" s="53" t="s">
        <v>914</v>
      </c>
      <c r="B80" s="53">
        <v>25</v>
      </c>
      <c r="C80" s="53" t="s">
        <v>1353</v>
      </c>
      <c r="D80" s="53" t="s">
        <v>1353</v>
      </c>
      <c r="E80" s="53" t="s">
        <v>1353</v>
      </c>
      <c r="F80" s="53" t="s">
        <v>1353</v>
      </c>
      <c r="G80" s="53" t="s">
        <v>1353</v>
      </c>
    </row>
    <row r="81" spans="1:7" x14ac:dyDescent="0.2">
      <c r="A81" s="53" t="s">
        <v>914</v>
      </c>
      <c r="B81" s="53">
        <v>25</v>
      </c>
      <c r="C81" s="53" t="s">
        <v>199</v>
      </c>
      <c r="D81" s="53" t="s">
        <v>1353</v>
      </c>
      <c r="E81" s="53" t="s">
        <v>1353</v>
      </c>
      <c r="F81" s="53" t="s">
        <v>1353</v>
      </c>
      <c r="G81" s="53" t="s">
        <v>1353</v>
      </c>
    </row>
    <row r="82" spans="1:7" x14ac:dyDescent="0.2">
      <c r="A82" s="53" t="s">
        <v>914</v>
      </c>
      <c r="B82" s="53">
        <v>25</v>
      </c>
      <c r="C82" s="53" t="s">
        <v>1367</v>
      </c>
      <c r="D82" s="53" t="s">
        <v>1367</v>
      </c>
      <c r="E82" s="53" t="s">
        <v>1367</v>
      </c>
      <c r="F82" s="53" t="s">
        <v>1367</v>
      </c>
      <c r="G82" s="53" t="s">
        <v>1367</v>
      </c>
    </row>
    <row r="83" spans="1:7" x14ac:dyDescent="0.2">
      <c r="A83" s="53" t="s">
        <v>914</v>
      </c>
      <c r="B83" s="53">
        <v>24</v>
      </c>
      <c r="C83" s="53" t="s">
        <v>1353</v>
      </c>
      <c r="D83" s="53" t="s">
        <v>1353</v>
      </c>
      <c r="E83" s="53" t="s">
        <v>1353</v>
      </c>
      <c r="F83" s="53" t="s">
        <v>1353</v>
      </c>
      <c r="G83" s="53" t="s">
        <v>199</v>
      </c>
    </row>
    <row r="84" spans="1:7" x14ac:dyDescent="0.2">
      <c r="A84" s="53" t="s">
        <v>914</v>
      </c>
      <c r="B84" s="53">
        <v>24</v>
      </c>
      <c r="C84" s="53" t="s">
        <v>199</v>
      </c>
      <c r="D84" s="53" t="s">
        <v>1353</v>
      </c>
      <c r="E84" s="53" t="s">
        <v>199</v>
      </c>
      <c r="F84" s="53" t="s">
        <v>1353</v>
      </c>
      <c r="G84" s="53" t="s">
        <v>1353</v>
      </c>
    </row>
    <row r="85" spans="1:7" x14ac:dyDescent="0.2">
      <c r="A85" s="53" t="s">
        <v>914</v>
      </c>
      <c r="B85" s="53">
        <v>23</v>
      </c>
      <c r="C85" s="53" t="s">
        <v>1353</v>
      </c>
      <c r="D85" s="53" t="s">
        <v>1353</v>
      </c>
      <c r="E85" s="53" t="s">
        <v>1353</v>
      </c>
      <c r="F85" s="53" t="s">
        <v>1353</v>
      </c>
      <c r="G85" s="53" t="s">
        <v>1353</v>
      </c>
    </row>
    <row r="86" spans="1:7" x14ac:dyDescent="0.2">
      <c r="A86" s="53" t="s">
        <v>914</v>
      </c>
      <c r="B86" s="53">
        <v>23</v>
      </c>
      <c r="C86" s="53" t="s">
        <v>1353</v>
      </c>
      <c r="D86" s="53" t="s">
        <v>1353</v>
      </c>
      <c r="E86" s="53" t="s">
        <v>1353</v>
      </c>
      <c r="F86" s="53" t="s">
        <v>1353</v>
      </c>
      <c r="G86" s="53" t="s">
        <v>1353</v>
      </c>
    </row>
    <row r="87" spans="1:7" x14ac:dyDescent="0.2">
      <c r="A87" s="53" t="s">
        <v>914</v>
      </c>
      <c r="B87" s="53">
        <v>23</v>
      </c>
      <c r="C87" s="53" t="s">
        <v>1355</v>
      </c>
      <c r="D87" s="53" t="s">
        <v>1355</v>
      </c>
      <c r="E87" s="53" t="s">
        <v>1355</v>
      </c>
      <c r="F87" s="53" t="s">
        <v>1355</v>
      </c>
      <c r="G87" s="53" t="s">
        <v>1355</v>
      </c>
    </row>
    <row r="88" spans="1:7" x14ac:dyDescent="0.2">
      <c r="A88" s="53" t="s">
        <v>914</v>
      </c>
      <c r="B88" s="53">
        <v>22</v>
      </c>
      <c r="C88" s="53" t="s">
        <v>1355</v>
      </c>
      <c r="D88" s="53" t="s">
        <v>1355</v>
      </c>
      <c r="E88" s="53" t="s">
        <v>1355</v>
      </c>
      <c r="F88" s="53" t="s">
        <v>1355</v>
      </c>
      <c r="G88" s="53" t="s">
        <v>1355</v>
      </c>
    </row>
    <row r="89" spans="1:7" x14ac:dyDescent="0.2">
      <c r="A89" s="53" t="s">
        <v>914</v>
      </c>
      <c r="B89" s="53">
        <v>22</v>
      </c>
      <c r="C89" s="53" t="s">
        <v>1353</v>
      </c>
      <c r="D89" s="53" t="s">
        <v>1353</v>
      </c>
      <c r="E89" s="53" t="s">
        <v>1353</v>
      </c>
      <c r="F89" s="53" t="s">
        <v>1353</v>
      </c>
      <c r="G89" s="53" t="s">
        <v>1353</v>
      </c>
    </row>
    <row r="90" spans="1:7" x14ac:dyDescent="0.2">
      <c r="A90" s="53" t="s">
        <v>914</v>
      </c>
      <c r="B90" s="53">
        <v>21</v>
      </c>
      <c r="C90" s="53" t="s">
        <v>1353</v>
      </c>
      <c r="D90" s="53" t="s">
        <v>1353</v>
      </c>
      <c r="E90" s="53" t="s">
        <v>1353</v>
      </c>
      <c r="F90" s="53" t="s">
        <v>1353</v>
      </c>
      <c r="G90" s="53" t="s">
        <v>1353</v>
      </c>
    </row>
    <row r="91" spans="1:7" x14ac:dyDescent="0.2">
      <c r="A91" s="53" t="s">
        <v>914</v>
      </c>
      <c r="B91" s="53">
        <v>21</v>
      </c>
      <c r="C91" s="53" t="s">
        <v>1352</v>
      </c>
      <c r="D91" s="53" t="s">
        <v>1352</v>
      </c>
      <c r="E91" s="53" t="s">
        <v>1352</v>
      </c>
      <c r="F91" s="53" t="s">
        <v>1352</v>
      </c>
      <c r="G91" s="53" t="s">
        <v>1352</v>
      </c>
    </row>
    <row r="92" spans="1:7" x14ac:dyDescent="0.2">
      <c r="A92" s="53" t="s">
        <v>914</v>
      </c>
      <c r="B92" s="53">
        <v>21</v>
      </c>
      <c r="C92" s="53" t="s">
        <v>1353</v>
      </c>
      <c r="D92" s="53" t="s">
        <v>1353</v>
      </c>
      <c r="E92" s="53" t="s">
        <v>1353</v>
      </c>
      <c r="F92" s="53" t="s">
        <v>1353</v>
      </c>
      <c r="G92" s="53" t="s">
        <v>1353</v>
      </c>
    </row>
    <row r="93" spans="1:7" x14ac:dyDescent="0.2">
      <c r="A93" s="53" t="s">
        <v>914</v>
      </c>
      <c r="B93" s="53">
        <v>20</v>
      </c>
      <c r="C93" s="53" t="s">
        <v>1353</v>
      </c>
      <c r="D93" s="53" t="s">
        <v>1353</v>
      </c>
      <c r="E93" s="53" t="s">
        <v>1353</v>
      </c>
      <c r="F93" s="53" t="s">
        <v>1353</v>
      </c>
      <c r="G93" s="53" t="s">
        <v>1353</v>
      </c>
    </row>
    <row r="94" spans="1:7" x14ac:dyDescent="0.2">
      <c r="A94" s="53" t="s">
        <v>914</v>
      </c>
      <c r="B94" s="53">
        <v>20</v>
      </c>
      <c r="C94" s="53" t="s">
        <v>1353</v>
      </c>
      <c r="D94" s="53" t="s">
        <v>1353</v>
      </c>
      <c r="E94" s="53" t="s">
        <v>1353</v>
      </c>
      <c r="F94" s="53" t="s">
        <v>1353</v>
      </c>
      <c r="G94" s="53" t="s">
        <v>1353</v>
      </c>
    </row>
    <row r="95" spans="1:7" x14ac:dyDescent="0.2">
      <c r="A95" s="53" t="s">
        <v>914</v>
      </c>
      <c r="B95" s="53">
        <v>20</v>
      </c>
      <c r="C95" s="53" t="s">
        <v>1353</v>
      </c>
      <c r="D95" s="53" t="s">
        <v>1353</v>
      </c>
      <c r="E95" s="53" t="s">
        <v>1353</v>
      </c>
      <c r="F95" s="53" t="s">
        <v>1353</v>
      </c>
      <c r="G95" s="53" t="s">
        <v>199</v>
      </c>
    </row>
    <row r="96" spans="1:7" x14ac:dyDescent="0.2">
      <c r="A96" s="53" t="s">
        <v>914</v>
      </c>
      <c r="B96" s="53">
        <v>20</v>
      </c>
      <c r="C96" s="53" t="s">
        <v>1353</v>
      </c>
      <c r="D96" s="53" t="s">
        <v>1353</v>
      </c>
      <c r="E96" s="53" t="s">
        <v>1353</v>
      </c>
      <c r="F96" s="53" t="s">
        <v>1353</v>
      </c>
      <c r="G96" s="53" t="s">
        <v>199</v>
      </c>
    </row>
    <row r="97" spans="1:7" x14ac:dyDescent="0.2">
      <c r="A97" s="53" t="s">
        <v>914</v>
      </c>
      <c r="B97" s="53">
        <v>20</v>
      </c>
      <c r="C97" s="53" t="s">
        <v>199</v>
      </c>
      <c r="D97" s="53" t="s">
        <v>1353</v>
      </c>
      <c r="E97" s="53" t="s">
        <v>1353</v>
      </c>
      <c r="F97" s="53" t="s">
        <v>1353</v>
      </c>
      <c r="G97" s="53" t="s">
        <v>1353</v>
      </c>
    </row>
    <row r="98" spans="1:7" x14ac:dyDescent="0.2">
      <c r="A98" s="53" t="s">
        <v>914</v>
      </c>
      <c r="B98" s="53">
        <v>20</v>
      </c>
      <c r="C98" s="53" t="s">
        <v>1353</v>
      </c>
      <c r="D98" s="53" t="s">
        <v>1353</v>
      </c>
      <c r="E98" s="53" t="s">
        <v>1353</v>
      </c>
      <c r="F98" s="53" t="s">
        <v>1353</v>
      </c>
      <c r="G98" s="53" t="s">
        <v>1353</v>
      </c>
    </row>
    <row r="99" spans="1:7" x14ac:dyDescent="0.2">
      <c r="A99" s="53" t="s">
        <v>1390</v>
      </c>
      <c r="B99" s="53">
        <v>20</v>
      </c>
      <c r="C99" s="53" t="s">
        <v>1353</v>
      </c>
      <c r="D99" s="53" t="s">
        <v>1353</v>
      </c>
      <c r="E99" s="53" t="s">
        <v>1353</v>
      </c>
      <c r="F99" s="53" t="s">
        <v>1353</v>
      </c>
      <c r="G99" s="53" t="s">
        <v>1353</v>
      </c>
    </row>
    <row r="100" spans="1:7" x14ac:dyDescent="0.2">
      <c r="A100" s="53" t="s">
        <v>914</v>
      </c>
      <c r="B100" s="53">
        <v>19</v>
      </c>
      <c r="C100" s="53" t="s">
        <v>1353</v>
      </c>
      <c r="D100" s="53" t="s">
        <v>1353</v>
      </c>
      <c r="E100" s="53" t="s">
        <v>1353</v>
      </c>
      <c r="F100" s="53" t="s">
        <v>1353</v>
      </c>
      <c r="G100" s="53" t="s">
        <v>1353</v>
      </c>
    </row>
    <row r="101" spans="1:7" x14ac:dyDescent="0.2">
      <c r="A101" s="53" t="s">
        <v>914</v>
      </c>
      <c r="B101" s="53">
        <v>19</v>
      </c>
      <c r="C101" s="53" t="s">
        <v>1367</v>
      </c>
      <c r="D101" s="53" t="s">
        <v>1367</v>
      </c>
      <c r="E101" s="53" t="s">
        <v>1367</v>
      </c>
      <c r="F101" s="53" t="s">
        <v>1367</v>
      </c>
      <c r="G101" s="53" t="s">
        <v>1367</v>
      </c>
    </row>
    <row r="102" spans="1:7" x14ac:dyDescent="0.2">
      <c r="A102" s="53" t="s">
        <v>914</v>
      </c>
      <c r="B102" s="53">
        <v>19</v>
      </c>
      <c r="C102" s="53" t="s">
        <v>1352</v>
      </c>
      <c r="D102" s="53" t="s">
        <v>1352</v>
      </c>
      <c r="E102" s="53" t="s">
        <v>1352</v>
      </c>
      <c r="F102" s="53" t="s">
        <v>1352</v>
      </c>
      <c r="G102" s="53" t="s">
        <v>1352</v>
      </c>
    </row>
    <row r="103" spans="1:7" x14ac:dyDescent="0.2">
      <c r="A103" s="53" t="s">
        <v>914</v>
      </c>
      <c r="B103" s="53">
        <v>19</v>
      </c>
      <c r="C103" s="53" t="s">
        <v>1353</v>
      </c>
      <c r="D103" s="53" t="s">
        <v>1353</v>
      </c>
      <c r="E103" s="53" t="s">
        <v>1353</v>
      </c>
      <c r="F103" s="53" t="s">
        <v>1353</v>
      </c>
      <c r="G103" s="53" t="s">
        <v>1353</v>
      </c>
    </row>
    <row r="104" spans="1:7" x14ac:dyDescent="0.2">
      <c r="A104" s="53" t="s">
        <v>914</v>
      </c>
      <c r="B104" s="53">
        <v>18</v>
      </c>
      <c r="C104" s="53" t="s">
        <v>1352</v>
      </c>
      <c r="D104" s="53" t="s">
        <v>1352</v>
      </c>
      <c r="E104" s="53" t="s">
        <v>1352</v>
      </c>
      <c r="F104" s="53" t="s">
        <v>1352</v>
      </c>
      <c r="G104" s="53" t="s">
        <v>1353</v>
      </c>
    </row>
    <row r="105" spans="1:7" x14ac:dyDescent="0.2">
      <c r="A105" s="53" t="s">
        <v>914</v>
      </c>
      <c r="B105" s="53">
        <v>18</v>
      </c>
      <c r="C105" s="53" t="s">
        <v>1353</v>
      </c>
      <c r="D105" s="53" t="s">
        <v>1353</v>
      </c>
      <c r="E105" s="53" t="s">
        <v>1353</v>
      </c>
      <c r="F105" s="53" t="s">
        <v>1353</v>
      </c>
      <c r="G105" s="53" t="s">
        <v>1353</v>
      </c>
    </row>
    <row r="106" spans="1:7" x14ac:dyDescent="0.2">
      <c r="A106" s="53" t="s">
        <v>914</v>
      </c>
      <c r="B106" s="53">
        <v>18</v>
      </c>
      <c r="C106" s="53" t="s">
        <v>1356</v>
      </c>
      <c r="D106" s="53" t="s">
        <v>1356</v>
      </c>
      <c r="E106" s="53" t="s">
        <v>1367</v>
      </c>
      <c r="F106" s="53" t="s">
        <v>1356</v>
      </c>
      <c r="G106" s="53" t="s">
        <v>1356</v>
      </c>
    </row>
    <row r="107" spans="1:7" x14ac:dyDescent="0.2">
      <c r="A107" s="53" t="s">
        <v>914</v>
      </c>
      <c r="B107" s="53">
        <v>18</v>
      </c>
      <c r="C107" s="53" t="s">
        <v>1353</v>
      </c>
      <c r="D107" s="53" t="s">
        <v>1353</v>
      </c>
      <c r="E107" s="53" t="s">
        <v>1353</v>
      </c>
      <c r="F107" s="53" t="s">
        <v>1353</v>
      </c>
      <c r="G107" s="53" t="s">
        <v>1353</v>
      </c>
    </row>
    <row r="108" spans="1:7" x14ac:dyDescent="0.2">
      <c r="A108" s="53" t="s">
        <v>914</v>
      </c>
      <c r="B108" s="53">
        <v>17.399999999999899</v>
      </c>
      <c r="C108" s="53" t="s">
        <v>1353</v>
      </c>
      <c r="D108" s="53" t="s">
        <v>1353</v>
      </c>
      <c r="E108" s="53" t="s">
        <v>1353</v>
      </c>
      <c r="F108" s="53" t="s">
        <v>1353</v>
      </c>
      <c r="G108" s="53" t="s">
        <v>1353</v>
      </c>
    </row>
    <row r="109" spans="1:7" x14ac:dyDescent="0.2">
      <c r="A109" s="53" t="s">
        <v>914</v>
      </c>
      <c r="B109" s="53">
        <v>17</v>
      </c>
      <c r="C109" s="53" t="s">
        <v>1353</v>
      </c>
      <c r="D109" s="53" t="s">
        <v>202</v>
      </c>
      <c r="E109" s="53" t="s">
        <v>202</v>
      </c>
      <c r="F109" s="53" t="s">
        <v>1353</v>
      </c>
      <c r="G109" s="53" t="s">
        <v>1353</v>
      </c>
    </row>
    <row r="110" spans="1:7" x14ac:dyDescent="0.2">
      <c r="A110" s="53" t="s">
        <v>914</v>
      </c>
      <c r="B110" s="53">
        <v>17</v>
      </c>
      <c r="C110" s="53" t="s">
        <v>1353</v>
      </c>
      <c r="D110" s="53" t="s">
        <v>1353</v>
      </c>
      <c r="E110" s="53" t="s">
        <v>191</v>
      </c>
      <c r="F110" s="53" t="s">
        <v>191</v>
      </c>
      <c r="G110" s="53" t="s">
        <v>191</v>
      </c>
    </row>
    <row r="111" spans="1:7" x14ac:dyDescent="0.2">
      <c r="A111" s="53" t="s">
        <v>914</v>
      </c>
      <c r="B111" s="53">
        <v>17</v>
      </c>
      <c r="C111" s="53" t="s">
        <v>1352</v>
      </c>
      <c r="D111" s="53" t="s">
        <v>1352</v>
      </c>
      <c r="E111" s="53" t="s">
        <v>1352</v>
      </c>
      <c r="F111" s="53" t="s">
        <v>1352</v>
      </c>
      <c r="G111" s="53" t="s">
        <v>1352</v>
      </c>
    </row>
    <row r="112" spans="1:7" x14ac:dyDescent="0.2">
      <c r="A112" s="53" t="s">
        <v>914</v>
      </c>
      <c r="B112" s="53">
        <v>17</v>
      </c>
      <c r="C112" s="53" t="s">
        <v>1352</v>
      </c>
      <c r="D112" s="53" t="s">
        <v>1352</v>
      </c>
      <c r="E112" s="53" t="s">
        <v>1352</v>
      </c>
      <c r="F112" s="53" t="s">
        <v>1352</v>
      </c>
      <c r="G112" s="53" t="s">
        <v>1352</v>
      </c>
    </row>
    <row r="113" spans="1:7" x14ac:dyDescent="0.2">
      <c r="A113" s="53" t="s">
        <v>914</v>
      </c>
      <c r="B113" s="53">
        <v>17</v>
      </c>
      <c r="C113" s="53" t="s">
        <v>1356</v>
      </c>
      <c r="D113" s="53" t="s">
        <v>1356</v>
      </c>
      <c r="E113" s="53" t="s">
        <v>1353</v>
      </c>
      <c r="F113" s="53" t="s">
        <v>1356</v>
      </c>
      <c r="G113" s="53" t="s">
        <v>1356</v>
      </c>
    </row>
    <row r="114" spans="1:7" x14ac:dyDescent="0.2">
      <c r="A114" s="53" t="s">
        <v>914</v>
      </c>
      <c r="B114" s="53">
        <v>17</v>
      </c>
      <c r="C114" s="53" t="s">
        <v>1353</v>
      </c>
      <c r="D114" s="53" t="s">
        <v>1353</v>
      </c>
      <c r="E114" s="53" t="s">
        <v>1353</v>
      </c>
      <c r="F114" s="53" t="s">
        <v>1353</v>
      </c>
      <c r="G114" s="53" t="s">
        <v>1353</v>
      </c>
    </row>
    <row r="115" spans="1:7" x14ac:dyDescent="0.2">
      <c r="A115" s="53" t="s">
        <v>914</v>
      </c>
      <c r="B115" s="53">
        <v>17</v>
      </c>
      <c r="C115" s="53" t="s">
        <v>1353</v>
      </c>
      <c r="D115" s="53" t="s">
        <v>1353</v>
      </c>
      <c r="E115" s="53" t="s">
        <v>1353</v>
      </c>
      <c r="F115" s="53" t="s">
        <v>1353</v>
      </c>
      <c r="G115" s="53" t="s">
        <v>1353</v>
      </c>
    </row>
    <row r="116" spans="1:7" x14ac:dyDescent="0.2">
      <c r="A116" s="53" t="s">
        <v>914</v>
      </c>
      <c r="B116" s="53">
        <v>17</v>
      </c>
      <c r="C116" s="53" t="s">
        <v>1353</v>
      </c>
      <c r="D116" s="53" t="s">
        <v>1353</v>
      </c>
      <c r="E116" s="53" t="s">
        <v>1353</v>
      </c>
      <c r="F116" s="53" t="s">
        <v>1353</v>
      </c>
      <c r="G116" s="53" t="s">
        <v>1353</v>
      </c>
    </row>
    <row r="117" spans="1:7" x14ac:dyDescent="0.2">
      <c r="A117" s="53" t="s">
        <v>914</v>
      </c>
      <c r="B117" s="53">
        <v>16</v>
      </c>
      <c r="C117" s="53" t="s">
        <v>1356</v>
      </c>
      <c r="D117" s="53" t="s">
        <v>1356</v>
      </c>
      <c r="E117" s="53" t="s">
        <v>1373</v>
      </c>
      <c r="F117" s="53" t="s">
        <v>1356</v>
      </c>
      <c r="G117" s="53" t="s">
        <v>1356</v>
      </c>
    </row>
    <row r="118" spans="1:7" x14ac:dyDescent="0.2">
      <c r="A118" s="53" t="s">
        <v>914</v>
      </c>
      <c r="B118" s="53">
        <v>16</v>
      </c>
      <c r="C118" s="53" t="s">
        <v>1352</v>
      </c>
      <c r="D118" s="53" t="s">
        <v>1356</v>
      </c>
      <c r="E118" s="53" t="s">
        <v>1352</v>
      </c>
      <c r="F118" s="53" t="s">
        <v>1356</v>
      </c>
      <c r="G118" s="53" t="s">
        <v>1352</v>
      </c>
    </row>
    <row r="119" spans="1:7" x14ac:dyDescent="0.2">
      <c r="A119" s="53" t="s">
        <v>914</v>
      </c>
      <c r="B119" s="53">
        <v>15</v>
      </c>
      <c r="C119" s="53" t="s">
        <v>1353</v>
      </c>
      <c r="D119" s="53" t="s">
        <v>1353</v>
      </c>
      <c r="E119" s="53" t="s">
        <v>1353</v>
      </c>
      <c r="F119" s="53" t="s">
        <v>1353</v>
      </c>
      <c r="G119" s="53" t="s">
        <v>1353</v>
      </c>
    </row>
    <row r="120" spans="1:7" x14ac:dyDescent="0.2">
      <c r="A120" s="53" t="s">
        <v>914</v>
      </c>
      <c r="B120" s="53">
        <v>15</v>
      </c>
      <c r="C120" s="53" t="s">
        <v>1353</v>
      </c>
      <c r="D120" s="53" t="s">
        <v>1353</v>
      </c>
      <c r="E120" s="53" t="s">
        <v>1353</v>
      </c>
      <c r="F120" s="53" t="s">
        <v>1353</v>
      </c>
      <c r="G120" s="53" t="s">
        <v>1353</v>
      </c>
    </row>
    <row r="121" spans="1:7" x14ac:dyDescent="0.2">
      <c r="A121" s="53" t="s">
        <v>914</v>
      </c>
      <c r="B121" s="53">
        <v>15</v>
      </c>
      <c r="C121" s="53" t="s">
        <v>195</v>
      </c>
      <c r="D121" s="53" t="s">
        <v>195</v>
      </c>
      <c r="E121" s="53" t="s">
        <v>195</v>
      </c>
      <c r="F121" s="53" t="s">
        <v>195</v>
      </c>
      <c r="G121" s="53" t="s">
        <v>195</v>
      </c>
    </row>
    <row r="122" spans="1:7" x14ac:dyDescent="0.2">
      <c r="A122" s="53" t="s">
        <v>914</v>
      </c>
      <c r="B122" s="53">
        <v>15</v>
      </c>
      <c r="C122" s="53" t="s">
        <v>1353</v>
      </c>
      <c r="D122" s="53" t="s">
        <v>1353</v>
      </c>
      <c r="E122" s="53" t="s">
        <v>1353</v>
      </c>
      <c r="F122" s="53" t="s">
        <v>1353</v>
      </c>
      <c r="G122" s="53" t="s">
        <v>1353</v>
      </c>
    </row>
    <row r="123" spans="1:7" x14ac:dyDescent="0.2">
      <c r="A123" s="53" t="s">
        <v>914</v>
      </c>
      <c r="B123" s="53">
        <v>15</v>
      </c>
      <c r="C123" s="53" t="s">
        <v>1353</v>
      </c>
      <c r="D123" s="53" t="s">
        <v>1353</v>
      </c>
      <c r="E123" s="53" t="s">
        <v>1353</v>
      </c>
      <c r="F123" s="53" t="s">
        <v>1353</v>
      </c>
      <c r="G123" s="53" t="s">
        <v>1353</v>
      </c>
    </row>
    <row r="124" spans="1:7" x14ac:dyDescent="0.2">
      <c r="A124" s="53" t="s">
        <v>914</v>
      </c>
      <c r="B124" s="53">
        <v>15</v>
      </c>
      <c r="C124" s="53" t="s">
        <v>1353</v>
      </c>
      <c r="D124" s="53" t="s">
        <v>1353</v>
      </c>
      <c r="E124" s="53" t="s">
        <v>1353</v>
      </c>
      <c r="F124" s="53" t="s">
        <v>1353</v>
      </c>
      <c r="G124" s="53" t="s">
        <v>191</v>
      </c>
    </row>
    <row r="125" spans="1:7" x14ac:dyDescent="0.2">
      <c r="A125" s="53" t="s">
        <v>914</v>
      </c>
      <c r="B125" s="53">
        <v>15</v>
      </c>
      <c r="C125" s="53" t="s">
        <v>1353</v>
      </c>
      <c r="D125" s="53" t="s">
        <v>1353</v>
      </c>
      <c r="E125" s="53" t="s">
        <v>1353</v>
      </c>
      <c r="F125" s="53" t="s">
        <v>1353</v>
      </c>
      <c r="G125" s="53" t="s">
        <v>1353</v>
      </c>
    </row>
    <row r="126" spans="1:7" x14ac:dyDescent="0.2">
      <c r="A126" s="53" t="s">
        <v>914</v>
      </c>
      <c r="B126" s="53">
        <v>15</v>
      </c>
      <c r="C126" s="53" t="s">
        <v>191</v>
      </c>
      <c r="D126" s="53" t="s">
        <v>1353</v>
      </c>
      <c r="E126" s="53" t="s">
        <v>1353</v>
      </c>
      <c r="F126" s="53" t="s">
        <v>1353</v>
      </c>
      <c r="G126" s="53" t="s">
        <v>1353</v>
      </c>
    </row>
    <row r="127" spans="1:7" x14ac:dyDescent="0.2">
      <c r="A127" s="53" t="s">
        <v>914</v>
      </c>
      <c r="B127" s="53">
        <v>15</v>
      </c>
      <c r="C127" s="53" t="s">
        <v>1353</v>
      </c>
      <c r="D127" s="53" t="s">
        <v>1353</v>
      </c>
      <c r="E127" s="53" t="s">
        <v>1353</v>
      </c>
      <c r="F127" s="53" t="s">
        <v>195</v>
      </c>
      <c r="G127" s="53" t="s">
        <v>195</v>
      </c>
    </row>
    <row r="128" spans="1:7" x14ac:dyDescent="0.2">
      <c r="A128" s="53" t="s">
        <v>914</v>
      </c>
      <c r="B128" s="53">
        <v>15</v>
      </c>
      <c r="C128" s="53" t="s">
        <v>1352</v>
      </c>
      <c r="D128" s="53" t="s">
        <v>1352</v>
      </c>
      <c r="E128" s="53" t="s">
        <v>1352</v>
      </c>
      <c r="F128" s="53" t="s">
        <v>1352</v>
      </c>
      <c r="G128" s="53" t="s">
        <v>1352</v>
      </c>
    </row>
    <row r="129" spans="1:7" x14ac:dyDescent="0.2">
      <c r="A129" s="53" t="s">
        <v>914</v>
      </c>
      <c r="B129" s="53">
        <v>15</v>
      </c>
      <c r="C129" s="53" t="s">
        <v>1371</v>
      </c>
      <c r="D129" s="53" t="s">
        <v>1371</v>
      </c>
      <c r="E129" s="53" t="s">
        <v>1371</v>
      </c>
      <c r="F129" s="53" t="s">
        <v>1371</v>
      </c>
      <c r="G129" s="53" t="s">
        <v>1371</v>
      </c>
    </row>
    <row r="130" spans="1:7" x14ac:dyDescent="0.2">
      <c r="A130" s="53" t="s">
        <v>914</v>
      </c>
      <c r="B130" s="53">
        <v>15</v>
      </c>
      <c r="C130" s="53" t="s">
        <v>1352</v>
      </c>
      <c r="D130" s="53" t="s">
        <v>1356</v>
      </c>
      <c r="E130" s="53" t="s">
        <v>1352</v>
      </c>
      <c r="F130" s="53" t="s">
        <v>1356</v>
      </c>
      <c r="G130" s="53" t="s">
        <v>1352</v>
      </c>
    </row>
    <row r="131" spans="1:7" x14ac:dyDescent="0.2">
      <c r="A131" s="53" t="s">
        <v>914</v>
      </c>
      <c r="B131" s="53">
        <v>15</v>
      </c>
      <c r="C131" s="53" t="s">
        <v>1353</v>
      </c>
      <c r="D131" s="53" t="s">
        <v>1353</v>
      </c>
      <c r="E131" s="53" t="s">
        <v>1353</v>
      </c>
      <c r="F131" s="53" t="s">
        <v>1353</v>
      </c>
      <c r="G131" s="53" t="s">
        <v>1353</v>
      </c>
    </row>
    <row r="132" spans="1:7" x14ac:dyDescent="0.2">
      <c r="A132" s="53" t="s">
        <v>914</v>
      </c>
      <c r="B132" s="53">
        <v>15</v>
      </c>
      <c r="C132" s="53" t="s">
        <v>1353</v>
      </c>
      <c r="D132" s="53" t="s">
        <v>1353</v>
      </c>
      <c r="E132" s="53" t="s">
        <v>1353</v>
      </c>
      <c r="F132" s="53" t="s">
        <v>1353</v>
      </c>
      <c r="G132" s="53" t="s">
        <v>1353</v>
      </c>
    </row>
    <row r="133" spans="1:7" x14ac:dyDescent="0.2">
      <c r="A133" s="53" t="s">
        <v>914</v>
      </c>
      <c r="B133" s="53">
        <v>15</v>
      </c>
      <c r="C133" s="53" t="s">
        <v>1353</v>
      </c>
      <c r="D133" s="53" t="s">
        <v>1353</v>
      </c>
      <c r="E133" s="53" t="s">
        <v>1353</v>
      </c>
      <c r="F133" s="53" t="s">
        <v>1353</v>
      </c>
      <c r="G133" s="53" t="s">
        <v>1353</v>
      </c>
    </row>
    <row r="134" spans="1:7" x14ac:dyDescent="0.2">
      <c r="A134" s="53" t="s">
        <v>914</v>
      </c>
      <c r="B134" s="53">
        <v>14</v>
      </c>
      <c r="C134" s="53" t="s">
        <v>1357</v>
      </c>
      <c r="D134" s="53" t="s">
        <v>1357</v>
      </c>
      <c r="E134" s="53" t="s">
        <v>1356</v>
      </c>
      <c r="F134" s="53" t="s">
        <v>1356</v>
      </c>
      <c r="G134" s="53" t="s">
        <v>1356</v>
      </c>
    </row>
    <row r="135" spans="1:7" x14ac:dyDescent="0.2">
      <c r="A135" s="53" t="s">
        <v>914</v>
      </c>
      <c r="B135" s="53">
        <v>14</v>
      </c>
      <c r="C135" s="53" t="s">
        <v>1353</v>
      </c>
      <c r="D135" s="53" t="s">
        <v>1353</v>
      </c>
      <c r="E135" s="53" t="s">
        <v>1353</v>
      </c>
      <c r="F135" s="53" t="s">
        <v>1353</v>
      </c>
      <c r="G135" s="53" t="s">
        <v>1353</v>
      </c>
    </row>
    <row r="136" spans="1:7" x14ac:dyDescent="0.2">
      <c r="A136" s="53" t="s">
        <v>914</v>
      </c>
      <c r="B136" s="53">
        <v>14</v>
      </c>
      <c r="C136" s="53" t="s">
        <v>1353</v>
      </c>
      <c r="D136" s="53" t="s">
        <v>1353</v>
      </c>
      <c r="E136" s="53" t="s">
        <v>1353</v>
      </c>
      <c r="F136" s="53" t="s">
        <v>1353</v>
      </c>
      <c r="G136" s="53" t="s">
        <v>202</v>
      </c>
    </row>
    <row r="137" spans="1:7" x14ac:dyDescent="0.2">
      <c r="A137" s="53" t="s">
        <v>914</v>
      </c>
      <c r="B137" s="53">
        <v>13.6</v>
      </c>
      <c r="C137" s="53" t="s">
        <v>1353</v>
      </c>
      <c r="D137" s="53" t="s">
        <v>1353</v>
      </c>
      <c r="E137" s="53" t="s">
        <v>1353</v>
      </c>
      <c r="F137" s="53" t="s">
        <v>1353</v>
      </c>
      <c r="G137" s="53" t="s">
        <v>1353</v>
      </c>
    </row>
    <row r="138" spans="1:7" x14ac:dyDescent="0.2">
      <c r="A138" s="53" t="s">
        <v>914</v>
      </c>
      <c r="B138" s="53">
        <v>13.43</v>
      </c>
      <c r="C138" s="53" t="s">
        <v>1353</v>
      </c>
      <c r="D138" s="53" t="s">
        <v>1353</v>
      </c>
      <c r="E138" s="53" t="s">
        <v>1353</v>
      </c>
      <c r="F138" s="53" t="s">
        <v>1353</v>
      </c>
      <c r="G138" s="53" t="s">
        <v>1353</v>
      </c>
    </row>
    <row r="139" spans="1:7" x14ac:dyDescent="0.2">
      <c r="A139" s="53" t="s">
        <v>914</v>
      </c>
      <c r="B139" s="53">
        <v>13</v>
      </c>
      <c r="C139" s="53" t="s">
        <v>1353</v>
      </c>
      <c r="D139" s="53" t="s">
        <v>1353</v>
      </c>
      <c r="E139" s="53" t="s">
        <v>1353</v>
      </c>
      <c r="F139" s="53" t="s">
        <v>1353</v>
      </c>
      <c r="G139" s="53" t="s">
        <v>1353</v>
      </c>
    </row>
    <row r="140" spans="1:7" x14ac:dyDescent="0.2">
      <c r="A140" s="53" t="s">
        <v>914</v>
      </c>
      <c r="B140" s="53">
        <v>13</v>
      </c>
      <c r="C140" s="53" t="s">
        <v>1353</v>
      </c>
      <c r="D140" s="53" t="s">
        <v>1353</v>
      </c>
      <c r="E140" s="53" t="s">
        <v>1353</v>
      </c>
      <c r="F140" s="53" t="s">
        <v>1353</v>
      </c>
      <c r="G140" s="53" t="s">
        <v>1353</v>
      </c>
    </row>
    <row r="141" spans="1:7" x14ac:dyDescent="0.2">
      <c r="A141" s="53" t="s">
        <v>914</v>
      </c>
      <c r="B141" s="53">
        <v>13</v>
      </c>
      <c r="C141" s="53" t="s">
        <v>1353</v>
      </c>
      <c r="D141" s="53" t="s">
        <v>1353</v>
      </c>
      <c r="E141" s="53" t="s">
        <v>1353</v>
      </c>
      <c r="F141" s="53" t="s">
        <v>1353</v>
      </c>
      <c r="G141" s="53" t="s">
        <v>1353</v>
      </c>
    </row>
    <row r="142" spans="1:7" x14ac:dyDescent="0.2">
      <c r="A142" s="53" t="s">
        <v>914</v>
      </c>
      <c r="B142" s="53">
        <v>13</v>
      </c>
      <c r="C142" s="53" t="s">
        <v>1352</v>
      </c>
      <c r="D142" s="53" t="s">
        <v>1352</v>
      </c>
      <c r="E142" s="53" t="s">
        <v>1352</v>
      </c>
      <c r="F142" s="53" t="s">
        <v>1352</v>
      </c>
      <c r="G142" s="53" t="s">
        <v>1353</v>
      </c>
    </row>
    <row r="143" spans="1:7" x14ac:dyDescent="0.2">
      <c r="A143" s="53" t="s">
        <v>914</v>
      </c>
      <c r="B143" s="53">
        <v>13</v>
      </c>
      <c r="C143" s="53" t="s">
        <v>1353</v>
      </c>
      <c r="D143" s="53" t="s">
        <v>1353</v>
      </c>
      <c r="E143" s="53" t="s">
        <v>1353</v>
      </c>
      <c r="F143" s="53" t="s">
        <v>1353</v>
      </c>
      <c r="G143" s="53" t="s">
        <v>1353</v>
      </c>
    </row>
    <row r="144" spans="1:7" x14ac:dyDescent="0.2">
      <c r="A144" s="53" t="s">
        <v>914</v>
      </c>
      <c r="B144" s="53">
        <v>13</v>
      </c>
      <c r="C144" s="53" t="s">
        <v>1353</v>
      </c>
      <c r="D144" s="53" t="s">
        <v>1353</v>
      </c>
      <c r="E144" s="53" t="s">
        <v>1353</v>
      </c>
      <c r="F144" s="53" t="s">
        <v>1353</v>
      </c>
      <c r="G144" s="53" t="s">
        <v>1353</v>
      </c>
    </row>
    <row r="145" spans="1:7" x14ac:dyDescent="0.2">
      <c r="A145" s="53" t="s">
        <v>914</v>
      </c>
      <c r="B145" s="53">
        <v>12</v>
      </c>
      <c r="C145" s="53" t="s">
        <v>1353</v>
      </c>
      <c r="D145" s="53" t="s">
        <v>1353</v>
      </c>
      <c r="E145" s="53" t="s">
        <v>1353</v>
      </c>
      <c r="F145" s="53" t="s">
        <v>1353</v>
      </c>
      <c r="G145" s="53" t="s">
        <v>1353</v>
      </c>
    </row>
    <row r="146" spans="1:7" x14ac:dyDescent="0.2">
      <c r="A146" s="53" t="s">
        <v>914</v>
      </c>
      <c r="B146" s="53">
        <v>12</v>
      </c>
      <c r="C146" s="53" t="s">
        <v>1352</v>
      </c>
      <c r="D146" s="53" t="s">
        <v>1356</v>
      </c>
      <c r="E146" s="53" t="s">
        <v>1352</v>
      </c>
      <c r="F146" s="53" t="s">
        <v>1353</v>
      </c>
      <c r="G146" s="53" t="s">
        <v>1353</v>
      </c>
    </row>
    <row r="147" spans="1:7" x14ac:dyDescent="0.2">
      <c r="A147" s="53" t="s">
        <v>914</v>
      </c>
      <c r="B147" s="53">
        <v>12</v>
      </c>
      <c r="C147" s="53" t="s">
        <v>1353</v>
      </c>
      <c r="D147" s="53" t="s">
        <v>1353</v>
      </c>
      <c r="E147" s="53" t="s">
        <v>1353</v>
      </c>
      <c r="F147" s="53" t="s">
        <v>1353</v>
      </c>
      <c r="G147" s="53" t="s">
        <v>1353</v>
      </c>
    </row>
    <row r="148" spans="1:7" x14ac:dyDescent="0.2">
      <c r="A148" s="53" t="s">
        <v>914</v>
      </c>
      <c r="B148" s="53">
        <v>12</v>
      </c>
      <c r="C148" s="53" t="s">
        <v>1352</v>
      </c>
      <c r="D148" s="53" t="s">
        <v>1352</v>
      </c>
      <c r="E148" s="53" t="s">
        <v>1352</v>
      </c>
      <c r="F148" s="53" t="s">
        <v>1352</v>
      </c>
      <c r="G148" s="53" t="s">
        <v>1352</v>
      </c>
    </row>
    <row r="149" spans="1:7" x14ac:dyDescent="0.2">
      <c r="A149" s="53" t="s">
        <v>914</v>
      </c>
      <c r="B149" s="53">
        <v>12</v>
      </c>
      <c r="C149" s="53" t="s">
        <v>1353</v>
      </c>
      <c r="D149" s="53" t="s">
        <v>1353</v>
      </c>
      <c r="E149" s="53" t="s">
        <v>1353</v>
      </c>
      <c r="F149" s="53" t="s">
        <v>1353</v>
      </c>
      <c r="G149" s="53" t="s">
        <v>1353</v>
      </c>
    </row>
    <row r="150" spans="1:7" x14ac:dyDescent="0.2">
      <c r="A150" s="53" t="s">
        <v>914</v>
      </c>
      <c r="B150" s="53">
        <v>12</v>
      </c>
      <c r="C150" s="53" t="s">
        <v>191</v>
      </c>
      <c r="D150" s="53" t="s">
        <v>191</v>
      </c>
      <c r="E150" s="53" t="s">
        <v>191</v>
      </c>
      <c r="F150" s="53" t="s">
        <v>191</v>
      </c>
      <c r="G150" s="53" t="s">
        <v>191</v>
      </c>
    </row>
    <row r="151" spans="1:7" x14ac:dyDescent="0.2">
      <c r="A151" s="53" t="s">
        <v>914</v>
      </c>
      <c r="B151" s="53">
        <v>12</v>
      </c>
      <c r="C151" s="53" t="s">
        <v>1353</v>
      </c>
      <c r="D151" s="53" t="s">
        <v>1353</v>
      </c>
      <c r="E151" s="53" t="s">
        <v>1353</v>
      </c>
      <c r="F151" s="53" t="s">
        <v>1353</v>
      </c>
      <c r="G151" s="53" t="s">
        <v>1353</v>
      </c>
    </row>
    <row r="152" spans="1:7" x14ac:dyDescent="0.2">
      <c r="A152" s="53" t="s">
        <v>914</v>
      </c>
      <c r="B152" s="53">
        <v>12</v>
      </c>
      <c r="C152" s="53" t="s">
        <v>1352</v>
      </c>
      <c r="D152" s="53" t="s">
        <v>1352</v>
      </c>
      <c r="E152" s="53" t="s">
        <v>1352</v>
      </c>
      <c r="F152" s="53" t="s">
        <v>1352</v>
      </c>
      <c r="G152" s="53" t="s">
        <v>1352</v>
      </c>
    </row>
    <row r="153" spans="1:7" x14ac:dyDescent="0.2">
      <c r="A153" s="53" t="s">
        <v>914</v>
      </c>
      <c r="B153" s="53">
        <v>11.5</v>
      </c>
      <c r="C153" s="53" t="s">
        <v>1353</v>
      </c>
      <c r="D153" s="53" t="s">
        <v>1353</v>
      </c>
      <c r="E153" s="53" t="s">
        <v>1353</v>
      </c>
      <c r="F153" s="53" t="s">
        <v>1353</v>
      </c>
      <c r="G153" s="53" t="s">
        <v>1353</v>
      </c>
    </row>
    <row r="154" spans="1:7" x14ac:dyDescent="0.2">
      <c r="A154" s="53" t="s">
        <v>914</v>
      </c>
      <c r="B154" s="53">
        <v>11.3</v>
      </c>
      <c r="C154" s="53" t="s">
        <v>1353</v>
      </c>
      <c r="D154" s="53" t="s">
        <v>1356</v>
      </c>
      <c r="E154" s="53" t="s">
        <v>1353</v>
      </c>
      <c r="F154" s="53" t="s">
        <v>1352</v>
      </c>
      <c r="G154" s="53" t="s">
        <v>1353</v>
      </c>
    </row>
    <row r="155" spans="1:7" x14ac:dyDescent="0.2">
      <c r="A155" s="53" t="s">
        <v>914</v>
      </c>
      <c r="B155" s="53">
        <v>11</v>
      </c>
      <c r="C155" s="53" t="s">
        <v>1353</v>
      </c>
      <c r="D155" s="53" t="s">
        <v>1353</v>
      </c>
      <c r="E155" s="53" t="s">
        <v>1353</v>
      </c>
      <c r="F155" s="53" t="s">
        <v>1353</v>
      </c>
      <c r="G155" s="53" t="s">
        <v>1353</v>
      </c>
    </row>
    <row r="156" spans="1:7" x14ac:dyDescent="0.2">
      <c r="A156" s="53" t="s">
        <v>914</v>
      </c>
      <c r="B156" s="53">
        <v>11</v>
      </c>
      <c r="C156" s="53" t="s">
        <v>1353</v>
      </c>
      <c r="D156" s="53" t="s">
        <v>1353</v>
      </c>
      <c r="E156" s="53" t="s">
        <v>1353</v>
      </c>
      <c r="F156" s="53" t="s">
        <v>1353</v>
      </c>
      <c r="G156" s="53" t="s">
        <v>1353</v>
      </c>
    </row>
    <row r="157" spans="1:7" x14ac:dyDescent="0.2">
      <c r="A157" s="53" t="s">
        <v>914</v>
      </c>
      <c r="B157" s="53">
        <v>11</v>
      </c>
      <c r="C157" s="53" t="s">
        <v>1352</v>
      </c>
      <c r="D157" s="53" t="s">
        <v>1352</v>
      </c>
      <c r="E157" s="53" t="s">
        <v>1352</v>
      </c>
      <c r="F157" s="53" t="s">
        <v>1352</v>
      </c>
      <c r="G157" s="53" t="s">
        <v>1352</v>
      </c>
    </row>
    <row r="158" spans="1:7" x14ac:dyDescent="0.2">
      <c r="A158" s="53" t="s">
        <v>914</v>
      </c>
      <c r="B158" s="53">
        <v>11</v>
      </c>
      <c r="C158" s="53" t="s">
        <v>1353</v>
      </c>
      <c r="D158" s="53" t="s">
        <v>1353</v>
      </c>
      <c r="E158" s="53" t="s">
        <v>1353</v>
      </c>
      <c r="F158" s="53" t="s">
        <v>1353</v>
      </c>
      <c r="G158" s="53" t="s">
        <v>1353</v>
      </c>
    </row>
    <row r="159" spans="1:7" x14ac:dyDescent="0.2">
      <c r="A159" s="53" t="s">
        <v>914</v>
      </c>
      <c r="B159" s="53">
        <v>11</v>
      </c>
      <c r="C159" s="53" t="s">
        <v>1353</v>
      </c>
      <c r="D159" s="53" t="s">
        <v>1356</v>
      </c>
      <c r="E159" s="53" t="s">
        <v>1352</v>
      </c>
      <c r="F159" s="53" t="s">
        <v>1356</v>
      </c>
      <c r="G159" s="53" t="s">
        <v>1352</v>
      </c>
    </row>
    <row r="160" spans="1:7" x14ac:dyDescent="0.2">
      <c r="A160" s="53" t="s">
        <v>914</v>
      </c>
      <c r="B160" s="53">
        <v>11</v>
      </c>
      <c r="C160" s="53" t="s">
        <v>1353</v>
      </c>
      <c r="D160" s="53" t="s">
        <v>1353</v>
      </c>
      <c r="E160" s="53" t="s">
        <v>1353</v>
      </c>
      <c r="F160" s="53" t="s">
        <v>1353</v>
      </c>
      <c r="G160" s="53" t="s">
        <v>1353</v>
      </c>
    </row>
    <row r="161" spans="1:7" x14ac:dyDescent="0.2">
      <c r="A161" s="53" t="s">
        <v>914</v>
      </c>
      <c r="B161" s="53">
        <v>11</v>
      </c>
      <c r="C161" s="53" t="s">
        <v>1352</v>
      </c>
      <c r="D161" s="53" t="s">
        <v>1352</v>
      </c>
      <c r="E161" s="53" t="s">
        <v>1352</v>
      </c>
      <c r="F161" s="53" t="s">
        <v>1352</v>
      </c>
      <c r="G161" s="53" t="s">
        <v>1352</v>
      </c>
    </row>
    <row r="162" spans="1:7" x14ac:dyDescent="0.2">
      <c r="A162" s="53" t="s">
        <v>914</v>
      </c>
      <c r="B162" s="53">
        <v>11</v>
      </c>
      <c r="C162" s="53" t="s">
        <v>1353</v>
      </c>
      <c r="D162" s="53" t="s">
        <v>1353</v>
      </c>
      <c r="E162" s="53" t="s">
        <v>1353</v>
      </c>
      <c r="F162" s="53" t="s">
        <v>1353</v>
      </c>
      <c r="G162" s="53" t="s">
        <v>1353</v>
      </c>
    </row>
    <row r="163" spans="1:7" x14ac:dyDescent="0.2">
      <c r="A163" s="53" t="s">
        <v>914</v>
      </c>
      <c r="B163" s="53">
        <v>10</v>
      </c>
      <c r="C163" s="53" t="s">
        <v>1352</v>
      </c>
      <c r="D163" s="53" t="s">
        <v>1352</v>
      </c>
      <c r="E163" s="53" t="s">
        <v>1352</v>
      </c>
      <c r="F163" s="53" t="s">
        <v>1352</v>
      </c>
      <c r="G163" s="53" t="s">
        <v>1352</v>
      </c>
    </row>
    <row r="164" spans="1:7" x14ac:dyDescent="0.2">
      <c r="A164" s="53" t="s">
        <v>1390</v>
      </c>
      <c r="B164" s="53">
        <v>10</v>
      </c>
      <c r="C164" s="53" t="s">
        <v>1353</v>
      </c>
      <c r="D164" s="53" t="s">
        <v>1353</v>
      </c>
      <c r="E164" s="53" t="s">
        <v>1353</v>
      </c>
      <c r="F164" s="53" t="s">
        <v>1353</v>
      </c>
      <c r="G164" s="53" t="s">
        <v>1353</v>
      </c>
    </row>
    <row r="165" spans="1:7" x14ac:dyDescent="0.2">
      <c r="A165" s="53" t="s">
        <v>914</v>
      </c>
      <c r="B165" s="53">
        <v>10</v>
      </c>
      <c r="C165" s="53" t="s">
        <v>1373</v>
      </c>
      <c r="D165" s="53" t="s">
        <v>1353</v>
      </c>
      <c r="E165" s="53" t="s">
        <v>1353</v>
      </c>
      <c r="F165" s="53" t="s">
        <v>1353</v>
      </c>
      <c r="G165" s="53" t="s">
        <v>1353</v>
      </c>
    </row>
    <row r="166" spans="1:7" x14ac:dyDescent="0.2">
      <c r="A166" s="53" t="s">
        <v>914</v>
      </c>
      <c r="B166" s="53">
        <v>10</v>
      </c>
      <c r="C166" s="53" t="s">
        <v>1353</v>
      </c>
      <c r="D166" s="53" t="s">
        <v>199</v>
      </c>
      <c r="E166" s="53" t="s">
        <v>199</v>
      </c>
      <c r="F166" s="53" t="s">
        <v>1353</v>
      </c>
      <c r="G166" s="53" t="s">
        <v>1353</v>
      </c>
    </row>
    <row r="167" spans="1:7" x14ac:dyDescent="0.2">
      <c r="A167" s="53" t="s">
        <v>914</v>
      </c>
      <c r="B167" s="53">
        <v>10</v>
      </c>
      <c r="C167" s="53" t="s">
        <v>1353</v>
      </c>
      <c r="D167" s="53" t="s">
        <v>1353</v>
      </c>
      <c r="E167" s="53" t="s">
        <v>1353</v>
      </c>
      <c r="F167" s="53" t="s">
        <v>1353</v>
      </c>
      <c r="G167" s="53" t="s">
        <v>1353</v>
      </c>
    </row>
    <row r="168" spans="1:7" x14ac:dyDescent="0.2">
      <c r="A168" s="53" t="s">
        <v>914</v>
      </c>
      <c r="B168" s="53">
        <v>10</v>
      </c>
      <c r="C168" s="53" t="s">
        <v>195</v>
      </c>
      <c r="D168" s="53" t="s">
        <v>1356</v>
      </c>
      <c r="E168" s="53" t="s">
        <v>1356</v>
      </c>
      <c r="F168" s="53" t="s">
        <v>1356</v>
      </c>
      <c r="G168" s="53" t="s">
        <v>1356</v>
      </c>
    </row>
    <row r="169" spans="1:7" x14ac:dyDescent="0.2">
      <c r="A169" s="53" t="s">
        <v>914</v>
      </c>
      <c r="B169" s="53">
        <v>10</v>
      </c>
      <c r="C169" s="53" t="s">
        <v>1353</v>
      </c>
      <c r="D169" s="53" t="s">
        <v>1353</v>
      </c>
      <c r="E169" s="53" t="s">
        <v>1353</v>
      </c>
      <c r="F169" s="53" t="s">
        <v>1353</v>
      </c>
      <c r="G169" s="53" t="s">
        <v>1353</v>
      </c>
    </row>
    <row r="170" spans="1:7" x14ac:dyDescent="0.2">
      <c r="A170" s="53" t="s">
        <v>914</v>
      </c>
      <c r="B170" s="53">
        <v>10</v>
      </c>
      <c r="C170" s="53" t="s">
        <v>1352</v>
      </c>
      <c r="D170" s="53" t="s">
        <v>1352</v>
      </c>
      <c r="E170" s="53" t="s">
        <v>1353</v>
      </c>
      <c r="F170" s="53" t="s">
        <v>1353</v>
      </c>
      <c r="G170" s="53" t="s">
        <v>1353</v>
      </c>
    </row>
    <row r="171" spans="1:7" x14ac:dyDescent="0.2">
      <c r="A171" s="53" t="s">
        <v>914</v>
      </c>
      <c r="B171" s="53">
        <v>10</v>
      </c>
      <c r="C171" s="53" t="s">
        <v>1353</v>
      </c>
      <c r="D171" s="53" t="s">
        <v>1353</v>
      </c>
      <c r="E171" s="53" t="s">
        <v>1353</v>
      </c>
      <c r="F171" s="53" t="s">
        <v>1353</v>
      </c>
      <c r="G171" s="53" t="s">
        <v>1353</v>
      </c>
    </row>
    <row r="172" spans="1:7" x14ac:dyDescent="0.2">
      <c r="A172" s="53" t="s">
        <v>914</v>
      </c>
      <c r="B172" s="53">
        <v>10</v>
      </c>
      <c r="C172" s="53" t="s">
        <v>1353</v>
      </c>
      <c r="D172" s="53" t="s">
        <v>1353</v>
      </c>
      <c r="E172" s="53" t="s">
        <v>1353</v>
      </c>
      <c r="F172" s="53" t="s">
        <v>1353</v>
      </c>
      <c r="G172" s="53" t="s">
        <v>199</v>
      </c>
    </row>
    <row r="173" spans="1:7" x14ac:dyDescent="0.2">
      <c r="A173" s="53" t="s">
        <v>914</v>
      </c>
      <c r="B173" s="53">
        <v>10</v>
      </c>
      <c r="C173" s="53" t="s">
        <v>1352</v>
      </c>
      <c r="D173" s="53" t="s">
        <v>1352</v>
      </c>
      <c r="E173" s="53" t="s">
        <v>1352</v>
      </c>
      <c r="F173" s="53" t="s">
        <v>1352</v>
      </c>
      <c r="G173" s="53" t="s">
        <v>1352</v>
      </c>
    </row>
    <row r="174" spans="1:7" x14ac:dyDescent="0.2">
      <c r="A174" s="53" t="s">
        <v>914</v>
      </c>
      <c r="B174" s="53">
        <v>10</v>
      </c>
      <c r="C174" s="53" t="s">
        <v>1353</v>
      </c>
      <c r="D174" s="53" t="s">
        <v>1353</v>
      </c>
      <c r="E174" s="53" t="s">
        <v>1353</v>
      </c>
      <c r="F174" s="53" t="s">
        <v>1353</v>
      </c>
      <c r="G174" s="53" t="s">
        <v>1353</v>
      </c>
    </row>
    <row r="175" spans="1:7" x14ac:dyDescent="0.2">
      <c r="A175" s="53" t="s">
        <v>914</v>
      </c>
      <c r="B175" s="53">
        <v>10</v>
      </c>
      <c r="C175" s="53" t="s">
        <v>1353</v>
      </c>
      <c r="D175" s="53" t="s">
        <v>1353</v>
      </c>
      <c r="E175" s="53" t="s">
        <v>1353</v>
      </c>
      <c r="F175" s="53" t="s">
        <v>1353</v>
      </c>
      <c r="G175" s="53" t="s">
        <v>1353</v>
      </c>
    </row>
    <row r="176" spans="1:7" x14ac:dyDescent="0.2">
      <c r="A176" s="53" t="s">
        <v>914</v>
      </c>
      <c r="B176" s="53">
        <v>10</v>
      </c>
      <c r="C176" s="53" t="s">
        <v>1353</v>
      </c>
      <c r="D176" s="53" t="s">
        <v>1353</v>
      </c>
      <c r="E176" s="53" t="s">
        <v>1353</v>
      </c>
      <c r="F176" s="53" t="s">
        <v>1353</v>
      </c>
      <c r="G176" s="53" t="s">
        <v>1353</v>
      </c>
    </row>
    <row r="177" spans="1:7" x14ac:dyDescent="0.2">
      <c r="A177" s="53" t="s">
        <v>914</v>
      </c>
      <c r="B177" s="53">
        <v>10</v>
      </c>
      <c r="C177" s="53" t="s">
        <v>1353</v>
      </c>
      <c r="D177" s="53" t="s">
        <v>1353</v>
      </c>
      <c r="E177" s="53" t="s">
        <v>1353</v>
      </c>
      <c r="F177" s="53" t="s">
        <v>1353</v>
      </c>
      <c r="G177" s="53" t="s">
        <v>1353</v>
      </c>
    </row>
    <row r="178" spans="1:7" x14ac:dyDescent="0.2">
      <c r="A178" s="53" t="s">
        <v>914</v>
      </c>
      <c r="B178" s="53">
        <v>10</v>
      </c>
      <c r="C178" s="53" t="s">
        <v>1353</v>
      </c>
      <c r="D178" s="53" t="s">
        <v>1353</v>
      </c>
      <c r="E178" s="53" t="s">
        <v>1353</v>
      </c>
      <c r="F178" s="53" t="s">
        <v>1353</v>
      </c>
      <c r="G178" s="53" t="s">
        <v>1353</v>
      </c>
    </row>
    <row r="179" spans="1:7" x14ac:dyDescent="0.2">
      <c r="A179" s="53" t="s">
        <v>914</v>
      </c>
      <c r="B179" s="53">
        <v>10</v>
      </c>
      <c r="C179" s="53" t="s">
        <v>1352</v>
      </c>
      <c r="D179" s="53" t="s">
        <v>1352</v>
      </c>
      <c r="E179" s="53" t="s">
        <v>1353</v>
      </c>
      <c r="F179" s="53" t="s">
        <v>1353</v>
      </c>
      <c r="G179" s="53" t="s">
        <v>199</v>
      </c>
    </row>
    <row r="180" spans="1:7" x14ac:dyDescent="0.2">
      <c r="A180" s="53" t="s">
        <v>914</v>
      </c>
      <c r="B180" s="53">
        <v>10</v>
      </c>
      <c r="C180" s="53" t="s">
        <v>1356</v>
      </c>
      <c r="D180" s="53" t="s">
        <v>1356</v>
      </c>
      <c r="E180" s="53" t="s">
        <v>1356</v>
      </c>
      <c r="F180" s="53" t="s">
        <v>1356</v>
      </c>
      <c r="G180" s="53" t="s">
        <v>1356</v>
      </c>
    </row>
    <row r="181" spans="1:7" x14ac:dyDescent="0.2">
      <c r="A181" s="53" t="s">
        <v>914</v>
      </c>
      <c r="B181" s="53">
        <v>10</v>
      </c>
      <c r="C181" s="53" t="s">
        <v>191</v>
      </c>
      <c r="D181" s="53" t="s">
        <v>1353</v>
      </c>
      <c r="E181" s="53" t="s">
        <v>1353</v>
      </c>
      <c r="F181" s="53" t="s">
        <v>1353</v>
      </c>
      <c r="G181" s="53" t="s">
        <v>1353</v>
      </c>
    </row>
    <row r="182" spans="1:7" x14ac:dyDescent="0.2">
      <c r="A182" s="53" t="s">
        <v>914</v>
      </c>
      <c r="B182" s="53">
        <v>10</v>
      </c>
      <c r="C182" s="53" t="s">
        <v>1353</v>
      </c>
      <c r="D182" s="53" t="s">
        <v>1353</v>
      </c>
      <c r="E182" s="53" t="s">
        <v>1353</v>
      </c>
      <c r="F182" s="53" t="s">
        <v>199</v>
      </c>
      <c r="G182" s="53" t="s">
        <v>199</v>
      </c>
    </row>
    <row r="183" spans="1:7" x14ac:dyDescent="0.2">
      <c r="A183" s="53" t="s">
        <v>914</v>
      </c>
      <c r="B183" s="53">
        <v>10</v>
      </c>
      <c r="C183" s="53" t="s">
        <v>1353</v>
      </c>
      <c r="D183" s="53" t="s">
        <v>1353</v>
      </c>
      <c r="E183" s="53" t="s">
        <v>1353</v>
      </c>
      <c r="F183" s="53" t="s">
        <v>1353</v>
      </c>
      <c r="G183" s="53" t="s">
        <v>1353</v>
      </c>
    </row>
    <row r="184" spans="1:7" x14ac:dyDescent="0.2">
      <c r="A184" s="53" t="s">
        <v>914</v>
      </c>
      <c r="B184" s="53">
        <v>10</v>
      </c>
      <c r="C184" s="53" t="s">
        <v>199</v>
      </c>
      <c r="D184" s="53" t="s">
        <v>199</v>
      </c>
      <c r="E184" s="53" t="s">
        <v>199</v>
      </c>
      <c r="F184" s="53" t="s">
        <v>199</v>
      </c>
      <c r="G184" s="53" t="s">
        <v>199</v>
      </c>
    </row>
    <row r="185" spans="1:7" x14ac:dyDescent="0.2">
      <c r="A185" s="53" t="s">
        <v>1390</v>
      </c>
      <c r="B185" s="53">
        <v>10</v>
      </c>
      <c r="C185" s="53" t="s">
        <v>1353</v>
      </c>
      <c r="D185" s="53" t="s">
        <v>1353</v>
      </c>
      <c r="E185" s="53" t="s">
        <v>1353</v>
      </c>
      <c r="F185" s="53" t="s">
        <v>1353</v>
      </c>
      <c r="G185" s="53" t="s">
        <v>1353</v>
      </c>
    </row>
    <row r="186" spans="1:7" x14ac:dyDescent="0.2">
      <c r="A186" s="53" t="s">
        <v>914</v>
      </c>
      <c r="B186" s="53">
        <v>9.9700000000000006</v>
      </c>
      <c r="C186" s="53" t="s">
        <v>1352</v>
      </c>
      <c r="D186" s="53" t="s">
        <v>1352</v>
      </c>
      <c r="E186" s="53" t="s">
        <v>1352</v>
      </c>
      <c r="F186" s="53" t="s">
        <v>1352</v>
      </c>
      <c r="G186" s="53" t="s">
        <v>1352</v>
      </c>
    </row>
    <row r="187" spans="1:7" x14ac:dyDescent="0.2">
      <c r="A187" s="53" t="s">
        <v>914</v>
      </c>
      <c r="B187" s="53">
        <v>9.5</v>
      </c>
      <c r="C187" s="53" t="s">
        <v>1353</v>
      </c>
      <c r="D187" s="53" t="s">
        <v>1353</v>
      </c>
      <c r="E187" s="53" t="s">
        <v>1353</v>
      </c>
      <c r="F187" s="53" t="s">
        <v>1353</v>
      </c>
      <c r="G187" s="53" t="s">
        <v>1353</v>
      </c>
    </row>
    <row r="188" spans="1:7" x14ac:dyDescent="0.2">
      <c r="A188" s="53" t="s">
        <v>914</v>
      </c>
      <c r="B188" s="53">
        <v>9</v>
      </c>
      <c r="C188" s="53" t="s">
        <v>1353</v>
      </c>
      <c r="D188" s="53" t="s">
        <v>1352</v>
      </c>
      <c r="E188" s="53" t="s">
        <v>1353</v>
      </c>
      <c r="F188" s="53" t="s">
        <v>1356</v>
      </c>
      <c r="G188" s="53" t="s">
        <v>1353</v>
      </c>
    </row>
    <row r="189" spans="1:7" x14ac:dyDescent="0.2">
      <c r="A189" s="53" t="s">
        <v>914</v>
      </c>
      <c r="B189" s="53">
        <v>9</v>
      </c>
      <c r="C189" s="53" t="s">
        <v>1353</v>
      </c>
      <c r="D189" s="53" t="s">
        <v>1353</v>
      </c>
      <c r="E189" s="53" t="s">
        <v>1352</v>
      </c>
      <c r="F189" s="53" t="s">
        <v>1353</v>
      </c>
      <c r="G189" s="53" t="s">
        <v>1353</v>
      </c>
    </row>
    <row r="190" spans="1:7" x14ac:dyDescent="0.2">
      <c r="A190" s="53" t="s">
        <v>914</v>
      </c>
      <c r="B190" s="53">
        <v>9</v>
      </c>
      <c r="C190" s="53" t="s">
        <v>1352</v>
      </c>
      <c r="D190" s="53" t="s">
        <v>1352</v>
      </c>
      <c r="E190" s="53" t="s">
        <v>1353</v>
      </c>
      <c r="F190" s="53" t="s">
        <v>1352</v>
      </c>
      <c r="G190" s="53" t="s">
        <v>1352</v>
      </c>
    </row>
    <row r="191" spans="1:7" x14ac:dyDescent="0.2">
      <c r="A191" s="53" t="s">
        <v>914</v>
      </c>
      <c r="B191" s="53">
        <v>9</v>
      </c>
      <c r="C191" s="53" t="s">
        <v>1353</v>
      </c>
      <c r="D191" s="53" t="s">
        <v>1353</v>
      </c>
      <c r="E191" s="53" t="s">
        <v>1353</v>
      </c>
      <c r="F191" s="53" t="s">
        <v>1353</v>
      </c>
      <c r="G191" s="53" t="s">
        <v>1353</v>
      </c>
    </row>
    <row r="192" spans="1:7" x14ac:dyDescent="0.2">
      <c r="A192" s="53" t="s">
        <v>914</v>
      </c>
      <c r="B192" s="53">
        <v>9</v>
      </c>
      <c r="C192" s="53" t="s">
        <v>1353</v>
      </c>
      <c r="D192" s="53" t="s">
        <v>1353</v>
      </c>
      <c r="E192" s="53" t="s">
        <v>1353</v>
      </c>
      <c r="F192" s="53" t="s">
        <v>1353</v>
      </c>
      <c r="G192" s="53" t="s">
        <v>191</v>
      </c>
    </row>
    <row r="193" spans="1:7" x14ac:dyDescent="0.2">
      <c r="A193" s="53" t="s">
        <v>914</v>
      </c>
      <c r="B193" s="53">
        <v>9</v>
      </c>
      <c r="C193" s="53" t="s">
        <v>1353</v>
      </c>
      <c r="D193" s="53" t="s">
        <v>1353</v>
      </c>
      <c r="E193" s="53" t="s">
        <v>1353</v>
      </c>
      <c r="F193" s="53" t="s">
        <v>1353</v>
      </c>
      <c r="G193" s="53" t="s">
        <v>1353</v>
      </c>
    </row>
    <row r="194" spans="1:7" x14ac:dyDescent="0.2">
      <c r="A194" s="53" t="s">
        <v>914</v>
      </c>
      <c r="B194" s="53">
        <v>8</v>
      </c>
      <c r="C194" s="53" t="s">
        <v>1352</v>
      </c>
      <c r="D194" s="53" t="s">
        <v>1352</v>
      </c>
      <c r="E194" s="53" t="s">
        <v>1352</v>
      </c>
      <c r="F194" s="53" t="s">
        <v>1352</v>
      </c>
      <c r="G194" s="53" t="s">
        <v>1352</v>
      </c>
    </row>
    <row r="195" spans="1:7" x14ac:dyDescent="0.2">
      <c r="A195" s="53" t="s">
        <v>914</v>
      </c>
      <c r="B195" s="53">
        <v>8</v>
      </c>
      <c r="C195" s="53" t="s">
        <v>1352</v>
      </c>
      <c r="D195" s="53" t="s">
        <v>1356</v>
      </c>
      <c r="E195" s="53" t="s">
        <v>1353</v>
      </c>
      <c r="F195" s="53" t="s">
        <v>1352</v>
      </c>
      <c r="G195" s="53" t="s">
        <v>1352</v>
      </c>
    </row>
    <row r="196" spans="1:7" x14ac:dyDescent="0.2">
      <c r="A196" s="53" t="s">
        <v>914</v>
      </c>
      <c r="B196" s="53">
        <v>8</v>
      </c>
      <c r="C196" s="53" t="s">
        <v>1353</v>
      </c>
      <c r="D196" s="53" t="s">
        <v>1353</v>
      </c>
      <c r="E196" s="53" t="s">
        <v>1353</v>
      </c>
      <c r="F196" s="53" t="s">
        <v>1353</v>
      </c>
      <c r="G196" s="53" t="s">
        <v>1353</v>
      </c>
    </row>
    <row r="197" spans="1:7" x14ac:dyDescent="0.2">
      <c r="A197" s="53" t="s">
        <v>914</v>
      </c>
      <c r="B197" s="53">
        <v>8</v>
      </c>
      <c r="C197" s="53" t="s">
        <v>1353</v>
      </c>
      <c r="D197" s="53" t="s">
        <v>1353</v>
      </c>
      <c r="E197" s="53" t="s">
        <v>1353</v>
      </c>
      <c r="F197" s="53" t="s">
        <v>1353</v>
      </c>
      <c r="G197" s="53" t="s">
        <v>1353</v>
      </c>
    </row>
    <row r="198" spans="1:7" x14ac:dyDescent="0.2">
      <c r="A198" s="53" t="s">
        <v>914</v>
      </c>
      <c r="B198" s="53">
        <v>8</v>
      </c>
      <c r="C198" s="53" t="s">
        <v>1371</v>
      </c>
      <c r="D198" s="53" t="s">
        <v>1371</v>
      </c>
      <c r="E198" s="53" t="s">
        <v>1371</v>
      </c>
      <c r="F198" s="53" t="s">
        <v>1371</v>
      </c>
      <c r="G198" s="53" t="s">
        <v>1371</v>
      </c>
    </row>
    <row r="199" spans="1:7" x14ac:dyDescent="0.2">
      <c r="A199" s="53" t="s">
        <v>914</v>
      </c>
      <c r="B199" s="53">
        <v>8</v>
      </c>
      <c r="C199" s="53" t="s">
        <v>1353</v>
      </c>
      <c r="D199" s="53" t="s">
        <v>1353</v>
      </c>
      <c r="E199" s="53" t="s">
        <v>1353</v>
      </c>
      <c r="F199" s="53" t="s">
        <v>199</v>
      </c>
      <c r="G199" s="53" t="s">
        <v>199</v>
      </c>
    </row>
    <row r="200" spans="1:7" x14ac:dyDescent="0.2">
      <c r="A200" s="53" t="s">
        <v>914</v>
      </c>
      <c r="B200" s="53">
        <v>8</v>
      </c>
      <c r="C200" s="53" t="s">
        <v>1353</v>
      </c>
      <c r="D200" s="53" t="s">
        <v>1353</v>
      </c>
      <c r="E200" s="53" t="s">
        <v>1353</v>
      </c>
      <c r="F200" s="53" t="s">
        <v>1353</v>
      </c>
      <c r="G200" s="53" t="s">
        <v>1468</v>
      </c>
    </row>
    <row r="201" spans="1:7" x14ac:dyDescent="0.2">
      <c r="A201" s="53" t="s">
        <v>914</v>
      </c>
      <c r="B201" s="53">
        <v>8</v>
      </c>
      <c r="C201" s="53" t="s">
        <v>1353</v>
      </c>
      <c r="D201" s="53" t="s">
        <v>1353</v>
      </c>
      <c r="E201" s="53" t="s">
        <v>1353</v>
      </c>
      <c r="F201" s="53" t="s">
        <v>1353</v>
      </c>
      <c r="G201" s="53" t="s">
        <v>1353</v>
      </c>
    </row>
    <row r="202" spans="1:7" x14ac:dyDescent="0.2">
      <c r="A202" s="53" t="s">
        <v>914</v>
      </c>
      <c r="B202" s="53">
        <v>7.2</v>
      </c>
      <c r="C202" s="53" t="s">
        <v>1353</v>
      </c>
      <c r="D202" s="53" t="s">
        <v>1353</v>
      </c>
      <c r="E202" s="53" t="s">
        <v>1353</v>
      </c>
      <c r="F202" s="53" t="s">
        <v>1353</v>
      </c>
      <c r="G202" s="53" t="s">
        <v>1353</v>
      </c>
    </row>
    <row r="203" spans="1:7" x14ac:dyDescent="0.2">
      <c r="A203" s="53" t="s">
        <v>914</v>
      </c>
      <c r="B203" s="53">
        <v>7</v>
      </c>
      <c r="C203" s="53" t="s">
        <v>1353</v>
      </c>
      <c r="D203" s="53" t="s">
        <v>1353</v>
      </c>
      <c r="E203" s="53" t="s">
        <v>1353</v>
      </c>
      <c r="F203" s="53" t="s">
        <v>1353</v>
      </c>
      <c r="G203" s="53" t="s">
        <v>1353</v>
      </c>
    </row>
    <row r="204" spans="1:7" x14ac:dyDescent="0.2">
      <c r="A204" s="53" t="s">
        <v>914</v>
      </c>
      <c r="B204" s="53">
        <v>7</v>
      </c>
      <c r="C204" s="53" t="s">
        <v>1353</v>
      </c>
      <c r="D204" s="53" t="s">
        <v>1353</v>
      </c>
      <c r="E204" s="53" t="s">
        <v>1353</v>
      </c>
      <c r="F204" s="53" t="s">
        <v>1353</v>
      </c>
      <c r="G204" s="53" t="s">
        <v>1353</v>
      </c>
    </row>
    <row r="205" spans="1:7" x14ac:dyDescent="0.2">
      <c r="A205" s="53" t="s">
        <v>914</v>
      </c>
      <c r="B205" s="53">
        <v>7</v>
      </c>
      <c r="C205" s="53" t="s">
        <v>1373</v>
      </c>
      <c r="D205" s="53" t="s">
        <v>1353</v>
      </c>
      <c r="E205" s="53" t="s">
        <v>1373</v>
      </c>
      <c r="F205" s="53" t="s">
        <v>1353</v>
      </c>
      <c r="G205" s="53" t="s">
        <v>1373</v>
      </c>
    </row>
    <row r="206" spans="1:7" x14ac:dyDescent="0.2">
      <c r="A206" s="53" t="s">
        <v>914</v>
      </c>
      <c r="B206" s="53">
        <v>7</v>
      </c>
      <c r="C206" s="53" t="s">
        <v>1353</v>
      </c>
      <c r="D206" s="53" t="s">
        <v>1353</v>
      </c>
      <c r="E206" s="53" t="s">
        <v>1353</v>
      </c>
      <c r="F206" s="53" t="s">
        <v>1353</v>
      </c>
      <c r="G206" s="53" t="s">
        <v>1353</v>
      </c>
    </row>
    <row r="207" spans="1:7" x14ac:dyDescent="0.2">
      <c r="A207" s="53" t="s">
        <v>914</v>
      </c>
      <c r="B207" s="53">
        <v>7</v>
      </c>
      <c r="C207" s="53" t="s">
        <v>1353</v>
      </c>
      <c r="D207" s="53" t="s">
        <v>1353</v>
      </c>
      <c r="E207" s="53" t="s">
        <v>1353</v>
      </c>
      <c r="F207" s="53" t="s">
        <v>1353</v>
      </c>
      <c r="G207" s="53" t="s">
        <v>1353</v>
      </c>
    </row>
    <row r="208" spans="1:7" x14ac:dyDescent="0.2">
      <c r="A208" s="53" t="s">
        <v>914</v>
      </c>
      <c r="B208" s="53">
        <v>7</v>
      </c>
      <c r="C208" s="53" t="s">
        <v>1353</v>
      </c>
      <c r="D208" s="53" t="s">
        <v>1353</v>
      </c>
      <c r="E208" s="53" t="s">
        <v>1353</v>
      </c>
      <c r="F208" s="53" t="s">
        <v>1353</v>
      </c>
      <c r="G208" s="53" t="s">
        <v>1353</v>
      </c>
    </row>
    <row r="209" spans="1:7" x14ac:dyDescent="0.2">
      <c r="A209" s="53" t="s">
        <v>914</v>
      </c>
      <c r="B209" s="53">
        <v>7</v>
      </c>
      <c r="C209" s="53" t="s">
        <v>1353</v>
      </c>
      <c r="D209" s="53" t="s">
        <v>1353</v>
      </c>
      <c r="E209" s="53" t="s">
        <v>1353</v>
      </c>
      <c r="F209" s="53" t="s">
        <v>1353</v>
      </c>
      <c r="G209" s="53" t="s">
        <v>1353</v>
      </c>
    </row>
    <row r="210" spans="1:7" x14ac:dyDescent="0.2">
      <c r="A210" s="53" t="s">
        <v>1390</v>
      </c>
      <c r="B210" s="53">
        <v>7</v>
      </c>
      <c r="C210" s="53" t="s">
        <v>1353</v>
      </c>
      <c r="D210" s="53" t="s">
        <v>1353</v>
      </c>
      <c r="E210" s="53" t="s">
        <v>1353</v>
      </c>
      <c r="F210" s="53" t="s">
        <v>1353</v>
      </c>
      <c r="G210" s="53" t="s">
        <v>1353</v>
      </c>
    </row>
    <row r="211" spans="1:7" x14ac:dyDescent="0.2">
      <c r="A211" s="53" t="s">
        <v>914</v>
      </c>
      <c r="B211" s="53">
        <v>7</v>
      </c>
      <c r="C211" s="53" t="s">
        <v>1353</v>
      </c>
      <c r="D211" s="53" t="s">
        <v>1353</v>
      </c>
      <c r="E211" s="53" t="s">
        <v>1353</v>
      </c>
      <c r="F211" s="53" t="s">
        <v>1353</v>
      </c>
      <c r="G211" s="53" t="s">
        <v>1353</v>
      </c>
    </row>
    <row r="212" spans="1:7" x14ac:dyDescent="0.2">
      <c r="A212" s="53" t="s">
        <v>1390</v>
      </c>
      <c r="B212" s="53">
        <v>7</v>
      </c>
      <c r="C212" s="53" t="s">
        <v>1353</v>
      </c>
      <c r="D212" s="53" t="s">
        <v>202</v>
      </c>
      <c r="E212" s="53" t="s">
        <v>1353</v>
      </c>
      <c r="F212" s="53" t="s">
        <v>202</v>
      </c>
      <c r="G212" s="53" t="s">
        <v>202</v>
      </c>
    </row>
    <row r="213" spans="1:7" x14ac:dyDescent="0.2">
      <c r="A213" s="53" t="s">
        <v>914</v>
      </c>
      <c r="B213" s="53">
        <v>7</v>
      </c>
      <c r="C213" s="53" t="s">
        <v>1356</v>
      </c>
      <c r="D213" s="53" t="s">
        <v>1356</v>
      </c>
      <c r="E213" s="53" t="s">
        <v>1356</v>
      </c>
      <c r="F213" s="53" t="s">
        <v>1356</v>
      </c>
      <c r="G213" s="53" t="s">
        <v>1356</v>
      </c>
    </row>
    <row r="214" spans="1:7" x14ac:dyDescent="0.2">
      <c r="A214" s="53" t="s">
        <v>914</v>
      </c>
      <c r="B214" s="53">
        <v>7</v>
      </c>
      <c r="C214" s="53" t="s">
        <v>1371</v>
      </c>
      <c r="D214" s="53" t="s">
        <v>1353</v>
      </c>
      <c r="E214" s="53" t="s">
        <v>1353</v>
      </c>
      <c r="F214" s="53" t="s">
        <v>1353</v>
      </c>
      <c r="G214" s="53" t="s">
        <v>1353</v>
      </c>
    </row>
    <row r="215" spans="1:7" x14ac:dyDescent="0.2">
      <c r="A215" s="53" t="s">
        <v>914</v>
      </c>
      <c r="B215" s="53">
        <v>6</v>
      </c>
      <c r="C215" s="53" t="s">
        <v>1353</v>
      </c>
      <c r="D215" s="53" t="s">
        <v>199</v>
      </c>
      <c r="E215" s="53" t="s">
        <v>199</v>
      </c>
      <c r="F215" s="53" t="s">
        <v>199</v>
      </c>
      <c r="G215" s="53" t="s">
        <v>199</v>
      </c>
    </row>
    <row r="216" spans="1:7" x14ac:dyDescent="0.2">
      <c r="A216" s="53" t="s">
        <v>914</v>
      </c>
      <c r="B216" s="53">
        <v>6</v>
      </c>
      <c r="C216" s="53" t="s">
        <v>1353</v>
      </c>
      <c r="D216" s="53" t="s">
        <v>1353</v>
      </c>
      <c r="E216" s="53" t="s">
        <v>1353</v>
      </c>
      <c r="F216" s="53" t="s">
        <v>1353</v>
      </c>
      <c r="G216" s="53" t="s">
        <v>1353</v>
      </c>
    </row>
    <row r="217" spans="1:7" x14ac:dyDescent="0.2">
      <c r="A217" s="53" t="s">
        <v>914</v>
      </c>
      <c r="B217" s="53">
        <v>6</v>
      </c>
      <c r="C217" s="53" t="s">
        <v>1353</v>
      </c>
      <c r="D217" s="53" t="s">
        <v>1353</v>
      </c>
      <c r="E217" s="53" t="s">
        <v>1353</v>
      </c>
      <c r="F217" s="53" t="s">
        <v>1353</v>
      </c>
      <c r="G217" s="53" t="s">
        <v>1353</v>
      </c>
    </row>
    <row r="218" spans="1:7" x14ac:dyDescent="0.2">
      <c r="A218" s="53" t="s">
        <v>914</v>
      </c>
      <c r="B218" s="53">
        <v>6</v>
      </c>
      <c r="C218" s="53" t="s">
        <v>1353</v>
      </c>
      <c r="D218" s="53" t="s">
        <v>1353</v>
      </c>
      <c r="E218" s="53" t="s">
        <v>1352</v>
      </c>
      <c r="F218" s="53" t="s">
        <v>1352</v>
      </c>
      <c r="G218" s="53" t="s">
        <v>1353</v>
      </c>
    </row>
    <row r="219" spans="1:7" x14ac:dyDescent="0.2">
      <c r="A219" s="53" t="s">
        <v>914</v>
      </c>
      <c r="B219" s="53">
        <v>6</v>
      </c>
      <c r="C219" s="53" t="s">
        <v>1353</v>
      </c>
      <c r="D219" s="53" t="s">
        <v>1353</v>
      </c>
      <c r="E219" s="53" t="s">
        <v>1353</v>
      </c>
      <c r="F219" s="53" t="s">
        <v>1353</v>
      </c>
      <c r="G219" s="53" t="s">
        <v>1353</v>
      </c>
    </row>
    <row r="220" spans="1:7" x14ac:dyDescent="0.2">
      <c r="A220" s="53" t="s">
        <v>914</v>
      </c>
      <c r="B220" s="53">
        <v>6</v>
      </c>
      <c r="C220" s="53" t="s">
        <v>1353</v>
      </c>
      <c r="D220" s="53" t="s">
        <v>1353</v>
      </c>
      <c r="E220" s="53" t="s">
        <v>1353</v>
      </c>
      <c r="F220" s="53" t="s">
        <v>1353</v>
      </c>
      <c r="G220" s="53" t="s">
        <v>1353</v>
      </c>
    </row>
    <row r="221" spans="1:7" x14ac:dyDescent="0.2">
      <c r="A221" s="53" t="s">
        <v>914</v>
      </c>
      <c r="B221" s="53">
        <v>6</v>
      </c>
      <c r="C221" s="53" t="s">
        <v>1353</v>
      </c>
      <c r="D221" s="53" t="s">
        <v>1353</v>
      </c>
      <c r="E221" s="53" t="s">
        <v>1353</v>
      </c>
      <c r="F221" s="53" t="s">
        <v>1353</v>
      </c>
      <c r="G221" s="53" t="s">
        <v>1353</v>
      </c>
    </row>
    <row r="222" spans="1:7" x14ac:dyDescent="0.2">
      <c r="A222" s="53" t="s">
        <v>914</v>
      </c>
      <c r="B222" s="53">
        <v>6</v>
      </c>
      <c r="C222" s="53" t="s">
        <v>1353</v>
      </c>
      <c r="D222" s="53" t="s">
        <v>1353</v>
      </c>
      <c r="E222" s="53" t="s">
        <v>1353</v>
      </c>
      <c r="F222" s="53" t="s">
        <v>1353</v>
      </c>
      <c r="G222" s="53" t="s">
        <v>1353</v>
      </c>
    </row>
    <row r="223" spans="1:7" x14ac:dyDescent="0.2">
      <c r="A223" s="53" t="s">
        <v>914</v>
      </c>
      <c r="B223" s="53">
        <v>6</v>
      </c>
      <c r="C223" s="53" t="s">
        <v>1353</v>
      </c>
      <c r="D223" s="53" t="s">
        <v>1353</v>
      </c>
      <c r="E223" s="53" t="s">
        <v>1353</v>
      </c>
      <c r="F223" s="53" t="s">
        <v>1353</v>
      </c>
      <c r="G223" s="53" t="s">
        <v>1353</v>
      </c>
    </row>
    <row r="224" spans="1:7" x14ac:dyDescent="0.2">
      <c r="A224" s="53" t="s">
        <v>914</v>
      </c>
      <c r="B224" s="53">
        <v>6</v>
      </c>
      <c r="C224" s="53" t="s">
        <v>1353</v>
      </c>
      <c r="D224" s="53" t="s">
        <v>1353</v>
      </c>
      <c r="E224" s="53" t="s">
        <v>1353</v>
      </c>
      <c r="F224" s="53" t="s">
        <v>1353</v>
      </c>
      <c r="G224" s="53" t="s">
        <v>1353</v>
      </c>
    </row>
    <row r="225" spans="1:7" x14ac:dyDescent="0.2">
      <c r="A225" s="53" t="s">
        <v>914</v>
      </c>
      <c r="B225" s="53">
        <v>6</v>
      </c>
      <c r="C225" s="53" t="s">
        <v>1353</v>
      </c>
      <c r="D225" s="53" t="s">
        <v>1353</v>
      </c>
      <c r="E225" s="53" t="s">
        <v>1353</v>
      </c>
      <c r="F225" s="53" t="s">
        <v>1353</v>
      </c>
      <c r="G225" s="53" t="s">
        <v>1353</v>
      </c>
    </row>
    <row r="226" spans="1:7" x14ac:dyDescent="0.2">
      <c r="A226" s="53" t="s">
        <v>914</v>
      </c>
      <c r="B226" s="53">
        <v>6</v>
      </c>
      <c r="C226" s="53" t="s">
        <v>1353</v>
      </c>
      <c r="D226" s="53" t="s">
        <v>1353</v>
      </c>
      <c r="E226" s="53" t="s">
        <v>1353</v>
      </c>
      <c r="F226" s="53" t="s">
        <v>1353</v>
      </c>
      <c r="G226" s="53" t="s">
        <v>1353</v>
      </c>
    </row>
    <row r="227" spans="1:7" x14ac:dyDescent="0.2">
      <c r="A227" s="53" t="s">
        <v>914</v>
      </c>
      <c r="B227" s="53">
        <v>6</v>
      </c>
      <c r="C227" s="53" t="s">
        <v>1353</v>
      </c>
      <c r="D227" s="53" t="s">
        <v>1353</v>
      </c>
      <c r="E227" s="53" t="s">
        <v>1353</v>
      </c>
      <c r="F227" s="53" t="s">
        <v>1353</v>
      </c>
      <c r="G227" s="53" t="s">
        <v>199</v>
      </c>
    </row>
    <row r="228" spans="1:7" x14ac:dyDescent="0.2">
      <c r="A228" s="53" t="s">
        <v>914</v>
      </c>
      <c r="B228" s="53">
        <v>6</v>
      </c>
      <c r="C228" s="53" t="s">
        <v>1356</v>
      </c>
      <c r="D228" s="53" t="s">
        <v>1356</v>
      </c>
      <c r="E228" s="53" t="s">
        <v>1356</v>
      </c>
      <c r="F228" s="53" t="s">
        <v>1356</v>
      </c>
      <c r="G228" s="53" t="s">
        <v>1356</v>
      </c>
    </row>
    <row r="229" spans="1:7" x14ac:dyDescent="0.2">
      <c r="A229" s="53" t="s">
        <v>914</v>
      </c>
      <c r="B229" s="53">
        <v>6</v>
      </c>
      <c r="C229" s="53" t="s">
        <v>1352</v>
      </c>
      <c r="D229" s="53" t="s">
        <v>1352</v>
      </c>
      <c r="E229" s="53" t="s">
        <v>1352</v>
      </c>
      <c r="F229" s="53" t="s">
        <v>1352</v>
      </c>
      <c r="G229" s="53" t="s">
        <v>1352</v>
      </c>
    </row>
    <row r="230" spans="1:7" x14ac:dyDescent="0.2">
      <c r="A230" s="53" t="s">
        <v>914</v>
      </c>
      <c r="B230" s="53">
        <v>6</v>
      </c>
      <c r="C230" s="53" t="s">
        <v>1352</v>
      </c>
      <c r="D230" s="53" t="s">
        <v>1352</v>
      </c>
      <c r="E230" s="53" t="s">
        <v>1352</v>
      </c>
      <c r="F230" s="53" t="s">
        <v>1352</v>
      </c>
      <c r="G230" s="53" t="s">
        <v>1352</v>
      </c>
    </row>
    <row r="231" spans="1:7" x14ac:dyDescent="0.2">
      <c r="A231" s="53" t="s">
        <v>914</v>
      </c>
      <c r="B231" s="53">
        <v>6</v>
      </c>
      <c r="C231" s="53" t="s">
        <v>1353</v>
      </c>
      <c r="D231" s="53" t="s">
        <v>1353</v>
      </c>
      <c r="E231" s="53" t="s">
        <v>1353</v>
      </c>
      <c r="F231" s="53" t="s">
        <v>1353</v>
      </c>
      <c r="G231" s="53" t="s">
        <v>1353</v>
      </c>
    </row>
    <row r="232" spans="1:7" x14ac:dyDescent="0.2">
      <c r="A232" s="53" t="s">
        <v>914</v>
      </c>
      <c r="B232" s="53">
        <v>6</v>
      </c>
      <c r="C232" s="53" t="s">
        <v>1353</v>
      </c>
      <c r="D232" s="53" t="s">
        <v>1353</v>
      </c>
      <c r="E232" s="53" t="s">
        <v>1353</v>
      </c>
      <c r="F232" s="53" t="s">
        <v>1353</v>
      </c>
      <c r="G232" s="53" t="s">
        <v>1353</v>
      </c>
    </row>
    <row r="233" spans="1:7" x14ac:dyDescent="0.2">
      <c r="A233" s="53" t="s">
        <v>1390</v>
      </c>
      <c r="B233" s="53">
        <v>6</v>
      </c>
      <c r="C233" s="53" t="s">
        <v>1353</v>
      </c>
      <c r="D233" s="53" t="s">
        <v>1353</v>
      </c>
      <c r="E233" s="53" t="s">
        <v>1353</v>
      </c>
      <c r="F233" s="53" t="s">
        <v>1353</v>
      </c>
      <c r="G233" s="53" t="s">
        <v>1353</v>
      </c>
    </row>
    <row r="234" spans="1:7" x14ac:dyDescent="0.2">
      <c r="A234" s="53" t="s">
        <v>914</v>
      </c>
      <c r="B234" s="53">
        <v>5</v>
      </c>
      <c r="C234" s="53" t="s">
        <v>1353</v>
      </c>
      <c r="D234" s="53" t="s">
        <v>1353</v>
      </c>
      <c r="E234" s="53" t="s">
        <v>1353</v>
      </c>
      <c r="F234" s="53" t="s">
        <v>1353</v>
      </c>
      <c r="G234" s="53" t="s">
        <v>1353</v>
      </c>
    </row>
    <row r="235" spans="1:7" x14ac:dyDescent="0.2">
      <c r="A235" s="53" t="s">
        <v>914</v>
      </c>
      <c r="B235" s="53">
        <v>5</v>
      </c>
      <c r="C235" s="53" t="s">
        <v>1353</v>
      </c>
      <c r="D235" s="53" t="s">
        <v>1353</v>
      </c>
      <c r="E235" s="53" t="s">
        <v>1353</v>
      </c>
      <c r="F235" s="53" t="s">
        <v>1353</v>
      </c>
      <c r="G235" s="53" t="s">
        <v>1353</v>
      </c>
    </row>
    <row r="236" spans="1:7" x14ac:dyDescent="0.2">
      <c r="A236" s="53" t="s">
        <v>1390</v>
      </c>
      <c r="B236" s="53">
        <v>5</v>
      </c>
      <c r="C236" s="53" t="s">
        <v>1353</v>
      </c>
      <c r="D236" s="53" t="s">
        <v>1353</v>
      </c>
      <c r="E236" s="53" t="s">
        <v>1353</v>
      </c>
      <c r="F236" s="53" t="s">
        <v>1353</v>
      </c>
      <c r="G236" s="53" t="s">
        <v>1353</v>
      </c>
    </row>
    <row r="237" spans="1:7" x14ac:dyDescent="0.2">
      <c r="A237" s="53" t="s">
        <v>914</v>
      </c>
      <c r="B237" s="53">
        <v>5</v>
      </c>
      <c r="C237" s="53" t="s">
        <v>1353</v>
      </c>
      <c r="D237" s="53" t="s">
        <v>1353</v>
      </c>
      <c r="E237" s="53" t="s">
        <v>1353</v>
      </c>
      <c r="F237" s="53" t="s">
        <v>1353</v>
      </c>
      <c r="G237" s="53" t="s">
        <v>1353</v>
      </c>
    </row>
    <row r="238" spans="1:7" x14ac:dyDescent="0.2">
      <c r="A238" s="53" t="s">
        <v>914</v>
      </c>
      <c r="B238" s="53">
        <v>5</v>
      </c>
      <c r="C238" s="53" t="s">
        <v>1353</v>
      </c>
      <c r="D238" s="53" t="s">
        <v>1353</v>
      </c>
      <c r="E238" s="53" t="s">
        <v>1353</v>
      </c>
      <c r="F238" s="53" t="s">
        <v>1353</v>
      </c>
      <c r="G238" s="53" t="s">
        <v>1353</v>
      </c>
    </row>
    <row r="239" spans="1:7" x14ac:dyDescent="0.2">
      <c r="A239" s="53" t="s">
        <v>914</v>
      </c>
      <c r="B239" s="53">
        <v>5</v>
      </c>
      <c r="C239" s="53" t="s">
        <v>1353</v>
      </c>
      <c r="D239" s="53" t="s">
        <v>1353</v>
      </c>
      <c r="E239" s="53" t="s">
        <v>1353</v>
      </c>
      <c r="F239" s="53" t="s">
        <v>1353</v>
      </c>
      <c r="G239" s="53" t="s">
        <v>1353</v>
      </c>
    </row>
    <row r="240" spans="1:7" x14ac:dyDescent="0.2">
      <c r="A240" s="53" t="s">
        <v>914</v>
      </c>
      <c r="B240" s="53">
        <v>5</v>
      </c>
      <c r="C240" s="53" t="s">
        <v>1353</v>
      </c>
      <c r="D240" s="53" t="s">
        <v>1353</v>
      </c>
      <c r="E240" s="53" t="s">
        <v>1353</v>
      </c>
      <c r="F240" s="53" t="s">
        <v>1353</v>
      </c>
      <c r="G240" s="53" t="s">
        <v>1353</v>
      </c>
    </row>
    <row r="241" spans="1:7" x14ac:dyDescent="0.2">
      <c r="A241" s="53" t="s">
        <v>914</v>
      </c>
      <c r="B241" s="53">
        <v>5</v>
      </c>
      <c r="C241" s="53" t="s">
        <v>1353</v>
      </c>
      <c r="D241" s="53" t="s">
        <v>1353</v>
      </c>
      <c r="E241" s="53" t="s">
        <v>1353</v>
      </c>
      <c r="F241" s="53" t="s">
        <v>1353</v>
      </c>
      <c r="G241" s="53" t="s">
        <v>191</v>
      </c>
    </row>
    <row r="242" spans="1:7" x14ac:dyDescent="0.2">
      <c r="A242" s="53" t="s">
        <v>914</v>
      </c>
      <c r="B242" s="53">
        <v>5</v>
      </c>
      <c r="C242" s="53" t="s">
        <v>1353</v>
      </c>
      <c r="D242" s="53" t="s">
        <v>1353</v>
      </c>
      <c r="E242" s="53" t="s">
        <v>1353</v>
      </c>
      <c r="F242" s="53" t="s">
        <v>1353</v>
      </c>
      <c r="G242" s="53" t="s">
        <v>1353</v>
      </c>
    </row>
    <row r="243" spans="1:7" x14ac:dyDescent="0.2">
      <c r="A243" s="53" t="s">
        <v>914</v>
      </c>
      <c r="B243" s="53">
        <v>5</v>
      </c>
      <c r="C243" s="53" t="s">
        <v>1352</v>
      </c>
      <c r="D243" s="53" t="s">
        <v>1352</v>
      </c>
      <c r="E243" s="53" t="s">
        <v>1352</v>
      </c>
      <c r="F243" s="53" t="s">
        <v>1352</v>
      </c>
      <c r="G243" s="53" t="s">
        <v>1352</v>
      </c>
    </row>
    <row r="244" spans="1:7" x14ac:dyDescent="0.2">
      <c r="A244" s="53" t="s">
        <v>914</v>
      </c>
      <c r="B244" s="53">
        <v>5</v>
      </c>
      <c r="C244" s="53" t="s">
        <v>1353</v>
      </c>
      <c r="D244" s="53" t="s">
        <v>1353</v>
      </c>
      <c r="E244" s="53" t="s">
        <v>1353</v>
      </c>
      <c r="F244" s="53" t="s">
        <v>1353</v>
      </c>
      <c r="G244" s="53" t="s">
        <v>1353</v>
      </c>
    </row>
    <row r="245" spans="1:7" x14ac:dyDescent="0.2">
      <c r="A245" s="53" t="s">
        <v>914</v>
      </c>
      <c r="B245" s="53">
        <v>5</v>
      </c>
      <c r="C245" s="53" t="s">
        <v>199</v>
      </c>
      <c r="D245" s="53" t="s">
        <v>1353</v>
      </c>
      <c r="E245" s="53" t="s">
        <v>1353</v>
      </c>
      <c r="F245" s="53" t="s">
        <v>1353</v>
      </c>
      <c r="G245" s="53" t="s">
        <v>1353</v>
      </c>
    </row>
    <row r="246" spans="1:7" x14ac:dyDescent="0.2">
      <c r="A246" s="53" t="s">
        <v>914</v>
      </c>
      <c r="B246" s="53">
        <v>5</v>
      </c>
      <c r="C246" s="53" t="s">
        <v>1352</v>
      </c>
      <c r="D246" s="53" t="s">
        <v>1352</v>
      </c>
      <c r="E246" s="53" t="s">
        <v>1352</v>
      </c>
      <c r="F246" s="53" t="s">
        <v>1352</v>
      </c>
      <c r="G246" s="53" t="s">
        <v>1353</v>
      </c>
    </row>
    <row r="247" spans="1:7" x14ac:dyDescent="0.2">
      <c r="A247" s="53" t="s">
        <v>914</v>
      </c>
      <c r="B247" s="53">
        <v>5</v>
      </c>
      <c r="C247" s="53" t="s">
        <v>1353</v>
      </c>
      <c r="D247" s="53" t="s">
        <v>1353</v>
      </c>
      <c r="E247" s="53" t="s">
        <v>1353</v>
      </c>
      <c r="F247" s="53" t="s">
        <v>1353</v>
      </c>
      <c r="G247" s="53" t="s">
        <v>199</v>
      </c>
    </row>
    <row r="248" spans="1:7" x14ac:dyDescent="0.2">
      <c r="A248" s="53" t="s">
        <v>1390</v>
      </c>
      <c r="B248" s="53">
        <v>5</v>
      </c>
      <c r="C248" s="53" t="s">
        <v>202</v>
      </c>
      <c r="D248" s="53" t="s">
        <v>202</v>
      </c>
      <c r="E248" s="53" t="s">
        <v>1355</v>
      </c>
      <c r="F248" s="53" t="s">
        <v>1353</v>
      </c>
      <c r="G248" s="53" t="s">
        <v>1353</v>
      </c>
    </row>
    <row r="249" spans="1:7" x14ac:dyDescent="0.2">
      <c r="A249" s="53" t="s">
        <v>914</v>
      </c>
      <c r="B249" s="53">
        <v>5</v>
      </c>
      <c r="C249" s="53" t="s">
        <v>1353</v>
      </c>
      <c r="D249" s="53" t="s">
        <v>1353</v>
      </c>
      <c r="E249" s="53" t="s">
        <v>1353</v>
      </c>
      <c r="F249" s="53" t="s">
        <v>1353</v>
      </c>
      <c r="G249" s="53" t="s">
        <v>1353</v>
      </c>
    </row>
    <row r="250" spans="1:7" x14ac:dyDescent="0.2">
      <c r="A250" s="53" t="s">
        <v>914</v>
      </c>
      <c r="B250" s="53">
        <v>5</v>
      </c>
      <c r="C250" s="53" t="s">
        <v>1353</v>
      </c>
      <c r="D250" s="53" t="s">
        <v>1353</v>
      </c>
      <c r="E250" s="53" t="s">
        <v>1353</v>
      </c>
      <c r="F250" s="53" t="s">
        <v>1353</v>
      </c>
      <c r="G250" s="53" t="s">
        <v>1353</v>
      </c>
    </row>
    <row r="251" spans="1:7" x14ac:dyDescent="0.2">
      <c r="A251" s="53" t="s">
        <v>914</v>
      </c>
      <c r="B251" s="53">
        <v>5</v>
      </c>
      <c r="C251" s="53" t="s">
        <v>1353</v>
      </c>
      <c r="D251" s="53" t="s">
        <v>1353</v>
      </c>
      <c r="E251" s="53" t="s">
        <v>1353</v>
      </c>
      <c r="F251" s="53" t="s">
        <v>1353</v>
      </c>
      <c r="G251" s="53" t="s">
        <v>1353</v>
      </c>
    </row>
    <row r="252" spans="1:7" x14ac:dyDescent="0.2">
      <c r="A252" s="53" t="s">
        <v>914</v>
      </c>
      <c r="B252" s="53">
        <v>5</v>
      </c>
      <c r="C252" s="53" t="s">
        <v>1353</v>
      </c>
      <c r="D252" s="53" t="s">
        <v>1353</v>
      </c>
      <c r="E252" s="53" t="s">
        <v>191</v>
      </c>
      <c r="F252" s="53" t="s">
        <v>191</v>
      </c>
      <c r="G252" s="53" t="s">
        <v>191</v>
      </c>
    </row>
    <row r="253" spans="1:7" x14ac:dyDescent="0.2">
      <c r="A253" s="53" t="s">
        <v>914</v>
      </c>
      <c r="B253" s="53">
        <v>5</v>
      </c>
      <c r="C253" s="53" t="s">
        <v>1353</v>
      </c>
      <c r="D253" s="53" t="s">
        <v>1353</v>
      </c>
      <c r="E253" s="53" t="s">
        <v>1353</v>
      </c>
      <c r="F253" s="53" t="s">
        <v>1353</v>
      </c>
      <c r="G253" s="53" t="s">
        <v>1353</v>
      </c>
    </row>
    <row r="254" spans="1:7" x14ac:dyDescent="0.2">
      <c r="A254" s="53" t="s">
        <v>914</v>
      </c>
      <c r="B254" s="53">
        <v>4</v>
      </c>
      <c r="C254" s="53" t="s">
        <v>1353</v>
      </c>
      <c r="D254" s="53" t="s">
        <v>1353</v>
      </c>
      <c r="E254" s="53" t="s">
        <v>1353</v>
      </c>
      <c r="F254" s="53" t="s">
        <v>1353</v>
      </c>
      <c r="G254" s="53" t="s">
        <v>1353</v>
      </c>
    </row>
    <row r="255" spans="1:7" x14ac:dyDescent="0.2">
      <c r="A255" s="53" t="s">
        <v>914</v>
      </c>
      <c r="B255" s="53">
        <v>4</v>
      </c>
      <c r="C255" s="53" t="s">
        <v>1356</v>
      </c>
      <c r="D255" s="53" t="s">
        <v>1353</v>
      </c>
      <c r="E255" s="53" t="s">
        <v>1353</v>
      </c>
      <c r="F255" s="53" t="s">
        <v>1352</v>
      </c>
      <c r="G255" s="53" t="s">
        <v>1353</v>
      </c>
    </row>
    <row r="256" spans="1:7" x14ac:dyDescent="0.2">
      <c r="A256" s="53" t="s">
        <v>914</v>
      </c>
      <c r="B256" s="53">
        <v>4</v>
      </c>
      <c r="C256" s="53" t="s">
        <v>1353</v>
      </c>
      <c r="D256" s="53" t="s">
        <v>1353</v>
      </c>
      <c r="E256" s="53" t="s">
        <v>1353</v>
      </c>
      <c r="F256" s="53" t="s">
        <v>1353</v>
      </c>
      <c r="G256" s="53" t="s">
        <v>1353</v>
      </c>
    </row>
    <row r="257" spans="1:7" x14ac:dyDescent="0.2">
      <c r="A257" s="53" t="s">
        <v>914</v>
      </c>
      <c r="B257" s="53">
        <v>4</v>
      </c>
      <c r="C257" s="53" t="s">
        <v>1352</v>
      </c>
      <c r="D257" s="53" t="s">
        <v>1352</v>
      </c>
      <c r="E257" s="53" t="s">
        <v>1352</v>
      </c>
      <c r="F257" s="53" t="s">
        <v>1352</v>
      </c>
      <c r="G257" s="53" t="s">
        <v>1352</v>
      </c>
    </row>
    <row r="258" spans="1:7" x14ac:dyDescent="0.2">
      <c r="A258" s="53" t="s">
        <v>914</v>
      </c>
      <c r="B258" s="53">
        <v>4</v>
      </c>
      <c r="C258" s="53" t="s">
        <v>1353</v>
      </c>
      <c r="D258" s="53" t="s">
        <v>1353</v>
      </c>
      <c r="E258" s="53" t="s">
        <v>1353</v>
      </c>
      <c r="F258" s="53" t="s">
        <v>1353</v>
      </c>
      <c r="G258" s="53" t="s">
        <v>1353</v>
      </c>
    </row>
    <row r="259" spans="1:7" x14ac:dyDescent="0.2">
      <c r="A259" s="53" t="s">
        <v>914</v>
      </c>
      <c r="B259" s="53">
        <v>4</v>
      </c>
      <c r="C259" s="53" t="s">
        <v>1353</v>
      </c>
      <c r="D259" s="53" t="s">
        <v>1353</v>
      </c>
      <c r="E259" s="53" t="s">
        <v>1353</v>
      </c>
      <c r="F259" s="53" t="s">
        <v>1353</v>
      </c>
      <c r="G259" s="53" t="s">
        <v>1353</v>
      </c>
    </row>
    <row r="260" spans="1:7" x14ac:dyDescent="0.2">
      <c r="A260" s="53" t="s">
        <v>914</v>
      </c>
      <c r="B260" s="53">
        <v>4</v>
      </c>
      <c r="C260" s="53" t="s">
        <v>1353</v>
      </c>
      <c r="D260" s="53" t="s">
        <v>1353</v>
      </c>
      <c r="E260" s="53" t="s">
        <v>1353</v>
      </c>
      <c r="F260" s="53" t="s">
        <v>1353</v>
      </c>
      <c r="G260" s="53" t="s">
        <v>1353</v>
      </c>
    </row>
    <row r="261" spans="1:7" x14ac:dyDescent="0.2">
      <c r="A261" s="53" t="s">
        <v>914</v>
      </c>
      <c r="B261" s="53">
        <v>4</v>
      </c>
      <c r="C261" s="53" t="s">
        <v>1353</v>
      </c>
      <c r="D261" s="53" t="s">
        <v>1353</v>
      </c>
      <c r="E261" s="53" t="s">
        <v>1353</v>
      </c>
      <c r="F261" s="53" t="s">
        <v>195</v>
      </c>
      <c r="G261" s="53" t="s">
        <v>1353</v>
      </c>
    </row>
    <row r="262" spans="1:7" x14ac:dyDescent="0.2">
      <c r="A262" s="53" t="s">
        <v>914</v>
      </c>
      <c r="B262" s="53">
        <v>4</v>
      </c>
      <c r="C262" s="53" t="s">
        <v>1371</v>
      </c>
      <c r="D262" s="53" t="s">
        <v>1371</v>
      </c>
      <c r="E262" s="53" t="s">
        <v>1367</v>
      </c>
      <c r="F262" s="53" t="s">
        <v>1367</v>
      </c>
      <c r="G262" s="53" t="s">
        <v>1367</v>
      </c>
    </row>
    <row r="263" spans="1:7" x14ac:dyDescent="0.2">
      <c r="A263" s="53" t="s">
        <v>914</v>
      </c>
      <c r="B263" s="53">
        <v>4</v>
      </c>
      <c r="C263" s="53" t="s">
        <v>1352</v>
      </c>
      <c r="D263" s="53" t="s">
        <v>1352</v>
      </c>
      <c r="E263" s="53" t="s">
        <v>1352</v>
      </c>
      <c r="F263" s="53" t="s">
        <v>1352</v>
      </c>
      <c r="G263" s="53" t="s">
        <v>1352</v>
      </c>
    </row>
    <row r="264" spans="1:7" x14ac:dyDescent="0.2">
      <c r="A264" s="53" t="s">
        <v>914</v>
      </c>
      <c r="B264" s="53">
        <v>4</v>
      </c>
      <c r="C264" s="53" t="s">
        <v>1353</v>
      </c>
      <c r="D264" s="53" t="s">
        <v>1353</v>
      </c>
      <c r="E264" s="53" t="s">
        <v>1353</v>
      </c>
      <c r="F264" s="53" t="s">
        <v>1353</v>
      </c>
      <c r="G264" s="53" t="s">
        <v>1353</v>
      </c>
    </row>
    <row r="265" spans="1:7" x14ac:dyDescent="0.2">
      <c r="A265" s="53" t="s">
        <v>914</v>
      </c>
      <c r="B265" s="53">
        <v>4</v>
      </c>
      <c r="C265" s="53" t="s">
        <v>1353</v>
      </c>
      <c r="D265" s="53" t="s">
        <v>1353</v>
      </c>
      <c r="E265" s="53" t="s">
        <v>1353</v>
      </c>
      <c r="F265" s="53" t="s">
        <v>1353</v>
      </c>
      <c r="G265" s="53" t="s">
        <v>1468</v>
      </c>
    </row>
    <row r="266" spans="1:7" x14ac:dyDescent="0.2">
      <c r="A266" s="53" t="s">
        <v>914</v>
      </c>
      <c r="B266" s="53">
        <v>4</v>
      </c>
      <c r="C266" s="53" t="s">
        <v>1353</v>
      </c>
      <c r="D266" s="53" t="s">
        <v>1353</v>
      </c>
      <c r="E266" s="53" t="s">
        <v>1353</v>
      </c>
      <c r="F266" s="53" t="s">
        <v>1353</v>
      </c>
      <c r="G266" s="53" t="s">
        <v>1353</v>
      </c>
    </row>
    <row r="267" spans="1:7" x14ac:dyDescent="0.2">
      <c r="A267" s="53" t="s">
        <v>914</v>
      </c>
      <c r="B267" s="53">
        <v>4</v>
      </c>
      <c r="C267" s="53" t="s">
        <v>1353</v>
      </c>
      <c r="D267" s="53" t="s">
        <v>1353</v>
      </c>
      <c r="E267" s="53" t="s">
        <v>1353</v>
      </c>
      <c r="F267" s="53" t="s">
        <v>1353</v>
      </c>
      <c r="G267" s="53" t="s">
        <v>1353</v>
      </c>
    </row>
    <row r="268" spans="1:7" x14ac:dyDescent="0.2">
      <c r="A268" s="53" t="s">
        <v>1390</v>
      </c>
      <c r="B268" s="53">
        <v>4</v>
      </c>
      <c r="C268" s="53" t="s">
        <v>1353</v>
      </c>
      <c r="D268" s="53" t="s">
        <v>199</v>
      </c>
      <c r="E268" s="53" t="s">
        <v>199</v>
      </c>
      <c r="F268" s="53" t="s">
        <v>199</v>
      </c>
      <c r="G268" s="53" t="s">
        <v>1353</v>
      </c>
    </row>
    <row r="269" spans="1:7" x14ac:dyDescent="0.2">
      <c r="A269" s="53" t="s">
        <v>914</v>
      </c>
      <c r="B269" s="53">
        <v>4</v>
      </c>
      <c r="C269" s="53" t="s">
        <v>1353</v>
      </c>
      <c r="D269" s="53" t="s">
        <v>1353</v>
      </c>
      <c r="E269" s="53" t="s">
        <v>1353</v>
      </c>
      <c r="F269" s="53" t="s">
        <v>1353</v>
      </c>
      <c r="G269" s="53" t="s">
        <v>1353</v>
      </c>
    </row>
    <row r="270" spans="1:7" x14ac:dyDescent="0.2">
      <c r="A270" s="53" t="s">
        <v>914</v>
      </c>
      <c r="B270" s="53">
        <v>3.5</v>
      </c>
      <c r="C270" s="53" t="s">
        <v>1353</v>
      </c>
      <c r="D270" s="53" t="s">
        <v>1353</v>
      </c>
      <c r="E270" s="53" t="s">
        <v>1353</v>
      </c>
      <c r="F270" s="53" t="s">
        <v>1353</v>
      </c>
      <c r="G270" s="53" t="s">
        <v>1353</v>
      </c>
    </row>
    <row r="271" spans="1:7" x14ac:dyDescent="0.2">
      <c r="A271" s="53" t="s">
        <v>914</v>
      </c>
      <c r="B271" s="53">
        <v>3.5</v>
      </c>
      <c r="C271" s="53" t="s">
        <v>1353</v>
      </c>
      <c r="D271" s="53" t="s">
        <v>1353</v>
      </c>
      <c r="E271" s="53" t="s">
        <v>1353</v>
      </c>
      <c r="F271" s="53" t="s">
        <v>1353</v>
      </c>
      <c r="G271" s="53" t="s">
        <v>1353</v>
      </c>
    </row>
    <row r="272" spans="1:7" x14ac:dyDescent="0.2">
      <c r="A272" s="53" t="s">
        <v>914</v>
      </c>
      <c r="B272" s="53">
        <v>3.4</v>
      </c>
      <c r="C272" s="53" t="s">
        <v>1353</v>
      </c>
      <c r="D272" s="53" t="s">
        <v>1353</v>
      </c>
      <c r="E272" s="53" t="s">
        <v>1353</v>
      </c>
      <c r="F272" s="53" t="s">
        <v>1353</v>
      </c>
      <c r="G272" s="53" t="s">
        <v>1353</v>
      </c>
    </row>
    <row r="273" spans="1:7" x14ac:dyDescent="0.2">
      <c r="A273" s="53" t="s">
        <v>914</v>
      </c>
      <c r="B273" s="53">
        <v>3</v>
      </c>
      <c r="C273" s="53" t="s">
        <v>1356</v>
      </c>
      <c r="D273" s="53" t="s">
        <v>1356</v>
      </c>
      <c r="E273" s="53" t="s">
        <v>1356</v>
      </c>
      <c r="F273" s="53" t="s">
        <v>1356</v>
      </c>
      <c r="G273" s="53" t="s">
        <v>1356</v>
      </c>
    </row>
    <row r="274" spans="1:7" x14ac:dyDescent="0.2">
      <c r="A274" s="53" t="s">
        <v>914</v>
      </c>
      <c r="B274" s="53">
        <v>3</v>
      </c>
      <c r="C274" s="53" t="s">
        <v>1353</v>
      </c>
      <c r="D274" s="53" t="s">
        <v>1353</v>
      </c>
      <c r="E274" s="53" t="s">
        <v>1374</v>
      </c>
      <c r="F274" s="53" t="s">
        <v>1374</v>
      </c>
      <c r="G274" s="53" t="s">
        <v>1353</v>
      </c>
    </row>
    <row r="275" spans="1:7" x14ac:dyDescent="0.2">
      <c r="A275" s="53" t="s">
        <v>914</v>
      </c>
      <c r="B275" s="53">
        <v>3</v>
      </c>
      <c r="C275" s="53" t="s">
        <v>1371</v>
      </c>
      <c r="D275" s="53" t="s">
        <v>1371</v>
      </c>
      <c r="E275" s="53" t="s">
        <v>1371</v>
      </c>
      <c r="F275" s="53" t="s">
        <v>1371</v>
      </c>
      <c r="G275" s="53" t="s">
        <v>1371</v>
      </c>
    </row>
    <row r="276" spans="1:7" x14ac:dyDescent="0.2">
      <c r="A276" s="53" t="s">
        <v>914</v>
      </c>
      <c r="B276" s="53">
        <v>3</v>
      </c>
      <c r="C276" s="53" t="s">
        <v>1352</v>
      </c>
      <c r="D276" s="53" t="s">
        <v>1352</v>
      </c>
      <c r="E276" s="53" t="s">
        <v>1352</v>
      </c>
      <c r="F276" s="53" t="s">
        <v>1352</v>
      </c>
      <c r="G276" s="53" t="s">
        <v>1352</v>
      </c>
    </row>
    <row r="277" spans="1:7" x14ac:dyDescent="0.2">
      <c r="A277" s="53" t="s">
        <v>914</v>
      </c>
      <c r="B277" s="53">
        <v>3</v>
      </c>
      <c r="C277" s="53" t="s">
        <v>1353</v>
      </c>
      <c r="D277" s="53" t="s">
        <v>1353</v>
      </c>
      <c r="E277" s="53" t="s">
        <v>1353</v>
      </c>
      <c r="F277" s="53" t="s">
        <v>1373</v>
      </c>
      <c r="G277" s="53" t="s">
        <v>1373</v>
      </c>
    </row>
    <row r="278" spans="1:7" x14ac:dyDescent="0.2">
      <c r="A278" s="53" t="s">
        <v>914</v>
      </c>
      <c r="B278" s="53">
        <v>3</v>
      </c>
      <c r="C278" s="53" t="s">
        <v>1353</v>
      </c>
      <c r="D278" s="53" t="s">
        <v>1353</v>
      </c>
      <c r="E278" s="53" t="s">
        <v>1372</v>
      </c>
      <c r="F278" s="53" t="s">
        <v>1372</v>
      </c>
      <c r="G278" s="53" t="s">
        <v>1353</v>
      </c>
    </row>
    <row r="279" spans="1:7" x14ac:dyDescent="0.2">
      <c r="A279" s="53" t="s">
        <v>914</v>
      </c>
      <c r="B279" s="53">
        <v>3</v>
      </c>
      <c r="C279" s="53" t="s">
        <v>1353</v>
      </c>
      <c r="D279" s="53" t="s">
        <v>1353</v>
      </c>
      <c r="E279" s="53" t="s">
        <v>1353</v>
      </c>
      <c r="F279" s="53" t="s">
        <v>1353</v>
      </c>
      <c r="G279" s="53" t="s">
        <v>1353</v>
      </c>
    </row>
    <row r="280" spans="1:7" x14ac:dyDescent="0.2">
      <c r="A280" s="53" t="s">
        <v>914</v>
      </c>
      <c r="B280" s="53">
        <v>3</v>
      </c>
      <c r="C280" s="53" t="s">
        <v>1353</v>
      </c>
      <c r="D280" s="53" t="s">
        <v>1353</v>
      </c>
      <c r="E280" s="53" t="s">
        <v>1353</v>
      </c>
      <c r="F280" s="53" t="s">
        <v>1353</v>
      </c>
      <c r="G280" s="53" t="s">
        <v>1353</v>
      </c>
    </row>
    <row r="281" spans="1:7" x14ac:dyDescent="0.2">
      <c r="A281" s="53" t="s">
        <v>914</v>
      </c>
      <c r="B281" s="53">
        <v>3</v>
      </c>
      <c r="C281" s="53" t="s">
        <v>1353</v>
      </c>
      <c r="D281" s="53" t="s">
        <v>1353</v>
      </c>
      <c r="E281" s="53" t="s">
        <v>1353</v>
      </c>
      <c r="F281" s="53" t="s">
        <v>1353</v>
      </c>
      <c r="G281" s="53" t="s">
        <v>1353</v>
      </c>
    </row>
    <row r="282" spans="1:7" x14ac:dyDescent="0.2">
      <c r="A282" s="53" t="s">
        <v>914</v>
      </c>
      <c r="B282" s="53">
        <v>3</v>
      </c>
      <c r="C282" s="53" t="s">
        <v>1353</v>
      </c>
      <c r="D282" s="53" t="s">
        <v>1353</v>
      </c>
      <c r="E282" s="53" t="s">
        <v>1353</v>
      </c>
      <c r="F282" s="53" t="s">
        <v>1353</v>
      </c>
      <c r="G282" s="53" t="s">
        <v>1353</v>
      </c>
    </row>
    <row r="283" spans="1:7" x14ac:dyDescent="0.2">
      <c r="A283" s="53" t="s">
        <v>914</v>
      </c>
      <c r="B283" s="53">
        <v>3</v>
      </c>
      <c r="C283" s="53" t="s">
        <v>1352</v>
      </c>
      <c r="D283" s="53" t="s">
        <v>1352</v>
      </c>
      <c r="E283" s="53" t="s">
        <v>1352</v>
      </c>
      <c r="F283" s="53" t="s">
        <v>1352</v>
      </c>
      <c r="G283" s="53" t="s">
        <v>1352</v>
      </c>
    </row>
    <row r="284" spans="1:7" x14ac:dyDescent="0.2">
      <c r="A284" s="53" t="s">
        <v>914</v>
      </c>
      <c r="B284" s="53">
        <v>3</v>
      </c>
      <c r="C284" s="53" t="s">
        <v>1352</v>
      </c>
      <c r="D284" s="53" t="s">
        <v>1352</v>
      </c>
      <c r="E284" s="53" t="s">
        <v>1352</v>
      </c>
      <c r="F284" s="53" t="s">
        <v>1353</v>
      </c>
      <c r="G284" s="53" t="s">
        <v>191</v>
      </c>
    </row>
    <row r="285" spans="1:7" x14ac:dyDescent="0.2">
      <c r="A285" s="53" t="s">
        <v>914</v>
      </c>
      <c r="B285" s="53">
        <v>3</v>
      </c>
      <c r="C285" s="53" t="s">
        <v>1352</v>
      </c>
      <c r="D285" s="53" t="s">
        <v>1352</v>
      </c>
      <c r="E285" s="53" t="s">
        <v>1352</v>
      </c>
      <c r="F285" s="53" t="s">
        <v>191</v>
      </c>
      <c r="G285" s="53" t="s">
        <v>191</v>
      </c>
    </row>
    <row r="286" spans="1:7" x14ac:dyDescent="0.2">
      <c r="A286" s="53" t="s">
        <v>914</v>
      </c>
      <c r="B286" s="53">
        <v>3</v>
      </c>
      <c r="C286" s="53" t="s">
        <v>1353</v>
      </c>
      <c r="D286" s="53" t="s">
        <v>1353</v>
      </c>
      <c r="E286" s="53" t="s">
        <v>1353</v>
      </c>
      <c r="F286" s="53" t="s">
        <v>1353</v>
      </c>
      <c r="G286" s="53" t="s">
        <v>1353</v>
      </c>
    </row>
    <row r="287" spans="1:7" x14ac:dyDescent="0.2">
      <c r="A287" s="53" t="s">
        <v>914</v>
      </c>
      <c r="B287" s="53">
        <v>3</v>
      </c>
      <c r="C287" s="53" t="s">
        <v>1353</v>
      </c>
      <c r="D287" s="53" t="s">
        <v>1353</v>
      </c>
      <c r="E287" s="53" t="s">
        <v>1353</v>
      </c>
      <c r="F287" s="53" t="s">
        <v>1353</v>
      </c>
      <c r="G287" s="53" t="s">
        <v>1353</v>
      </c>
    </row>
    <row r="288" spans="1:7" x14ac:dyDescent="0.2">
      <c r="A288" s="53" t="s">
        <v>914</v>
      </c>
      <c r="B288" s="53">
        <v>3</v>
      </c>
      <c r="C288" s="53" t="s">
        <v>1353</v>
      </c>
      <c r="D288" s="53" t="s">
        <v>1353</v>
      </c>
      <c r="E288" s="53" t="s">
        <v>1353</v>
      </c>
      <c r="F288" s="53" t="s">
        <v>1353</v>
      </c>
      <c r="G288" s="53" t="s">
        <v>1353</v>
      </c>
    </row>
    <row r="289" spans="1:7" x14ac:dyDescent="0.2">
      <c r="A289" s="53" t="s">
        <v>914</v>
      </c>
      <c r="B289" s="53">
        <v>3</v>
      </c>
      <c r="C289" s="53" t="s">
        <v>1353</v>
      </c>
      <c r="D289" s="53" t="s">
        <v>1374</v>
      </c>
      <c r="E289" s="53" t="s">
        <v>1374</v>
      </c>
      <c r="F289" s="53" t="s">
        <v>1374</v>
      </c>
      <c r="G289" s="53" t="s">
        <v>1374</v>
      </c>
    </row>
    <row r="290" spans="1:7" x14ac:dyDescent="0.2">
      <c r="A290" s="53" t="s">
        <v>914</v>
      </c>
      <c r="B290" s="53">
        <v>3</v>
      </c>
      <c r="C290" s="53" t="s">
        <v>1352</v>
      </c>
      <c r="D290" s="53" t="s">
        <v>1352</v>
      </c>
      <c r="E290" s="53" t="s">
        <v>1352</v>
      </c>
      <c r="F290" s="53" t="s">
        <v>1352</v>
      </c>
      <c r="G290" s="53" t="s">
        <v>1352</v>
      </c>
    </row>
    <row r="291" spans="1:7" x14ac:dyDescent="0.2">
      <c r="A291" s="53" t="s">
        <v>914</v>
      </c>
      <c r="B291" s="53">
        <v>3</v>
      </c>
      <c r="C291" s="53" t="s">
        <v>1353</v>
      </c>
      <c r="D291" s="53" t="s">
        <v>1353</v>
      </c>
      <c r="E291" s="53" t="s">
        <v>1353</v>
      </c>
      <c r="F291" s="53" t="s">
        <v>1353</v>
      </c>
      <c r="G291" s="53" t="s">
        <v>1353</v>
      </c>
    </row>
    <row r="292" spans="1:7" x14ac:dyDescent="0.2">
      <c r="A292" s="53" t="s">
        <v>914</v>
      </c>
      <c r="B292" s="53">
        <v>3</v>
      </c>
      <c r="C292" s="53" t="s">
        <v>1372</v>
      </c>
      <c r="D292" s="53" t="s">
        <v>1372</v>
      </c>
      <c r="E292" s="53" t="s">
        <v>1372</v>
      </c>
      <c r="F292" s="53" t="s">
        <v>1372</v>
      </c>
      <c r="G292" s="53" t="s">
        <v>1372</v>
      </c>
    </row>
    <row r="293" spans="1:7" x14ac:dyDescent="0.2">
      <c r="A293" s="53" t="s">
        <v>914</v>
      </c>
      <c r="B293" s="53">
        <v>2.8</v>
      </c>
      <c r="C293" s="53" t="s">
        <v>1353</v>
      </c>
      <c r="D293" s="53" t="s">
        <v>1353</v>
      </c>
      <c r="E293" s="53" t="s">
        <v>1353</v>
      </c>
      <c r="F293" s="53" t="s">
        <v>1353</v>
      </c>
      <c r="G293" s="53" t="s">
        <v>1353</v>
      </c>
    </row>
    <row r="294" spans="1:7" x14ac:dyDescent="0.2">
      <c r="A294" s="53" t="s">
        <v>914</v>
      </c>
      <c r="B294" s="53">
        <v>2.7</v>
      </c>
      <c r="C294" s="53" t="s">
        <v>1353</v>
      </c>
      <c r="D294" s="53" t="s">
        <v>1353</v>
      </c>
      <c r="E294" s="53" t="s">
        <v>1353</v>
      </c>
      <c r="F294" s="53" t="s">
        <v>1353</v>
      </c>
      <c r="G294" s="53" t="s">
        <v>1353</v>
      </c>
    </row>
    <row r="295" spans="1:7" x14ac:dyDescent="0.2">
      <c r="A295" s="53" t="s">
        <v>1390</v>
      </c>
      <c r="B295" s="53">
        <v>2.7</v>
      </c>
      <c r="C295" s="53" t="s">
        <v>1353</v>
      </c>
      <c r="D295" s="53" t="s">
        <v>1353</v>
      </c>
      <c r="E295" s="53" t="s">
        <v>1353</v>
      </c>
      <c r="F295" s="53" t="s">
        <v>1353</v>
      </c>
      <c r="G295" s="53" t="s">
        <v>1353</v>
      </c>
    </row>
    <row r="296" spans="1:7" x14ac:dyDescent="0.2">
      <c r="A296" s="53" t="s">
        <v>914</v>
      </c>
      <c r="B296" s="53">
        <v>2.5</v>
      </c>
      <c r="C296" s="53" t="s">
        <v>1353</v>
      </c>
      <c r="D296" s="53" t="s">
        <v>1353</v>
      </c>
      <c r="E296" s="53" t="s">
        <v>1353</v>
      </c>
      <c r="F296" s="53" t="s">
        <v>1353</v>
      </c>
      <c r="G296" s="53" t="s">
        <v>1353</v>
      </c>
    </row>
    <row r="297" spans="1:7" x14ac:dyDescent="0.2">
      <c r="A297" s="53" t="s">
        <v>914</v>
      </c>
      <c r="B297" s="53">
        <v>2.5</v>
      </c>
      <c r="C297" s="53" t="s">
        <v>1353</v>
      </c>
      <c r="D297" s="53" t="s">
        <v>1353</v>
      </c>
      <c r="E297" s="53" t="s">
        <v>1353</v>
      </c>
      <c r="F297" s="53" t="s">
        <v>1353</v>
      </c>
      <c r="G297" s="53" t="s">
        <v>1353</v>
      </c>
    </row>
    <row r="298" spans="1:7" x14ac:dyDescent="0.2">
      <c r="A298" s="53" t="s">
        <v>914</v>
      </c>
      <c r="B298" s="53">
        <v>2.5</v>
      </c>
      <c r="C298" s="53" t="s">
        <v>1353</v>
      </c>
      <c r="D298" s="53" t="s">
        <v>1353</v>
      </c>
      <c r="E298" s="53" t="s">
        <v>1353</v>
      </c>
      <c r="F298" s="53" t="s">
        <v>1353</v>
      </c>
      <c r="G298" s="53" t="s">
        <v>1353</v>
      </c>
    </row>
    <row r="299" spans="1:7" x14ac:dyDescent="0.2">
      <c r="A299" s="53" t="s">
        <v>914</v>
      </c>
      <c r="B299" s="53">
        <v>2.5</v>
      </c>
      <c r="C299" s="53" t="s">
        <v>1352</v>
      </c>
      <c r="D299" s="53" t="s">
        <v>1352</v>
      </c>
      <c r="E299" s="53" t="s">
        <v>1352</v>
      </c>
      <c r="F299" s="53" t="s">
        <v>1352</v>
      </c>
      <c r="G299" s="53" t="s">
        <v>1352</v>
      </c>
    </row>
    <row r="300" spans="1:7" x14ac:dyDescent="0.2">
      <c r="A300" s="53" t="s">
        <v>914</v>
      </c>
      <c r="B300" s="53">
        <v>2.5</v>
      </c>
      <c r="C300" s="53" t="s">
        <v>1373</v>
      </c>
      <c r="D300" s="53" t="s">
        <v>1373</v>
      </c>
      <c r="E300" s="53" t="s">
        <v>1373</v>
      </c>
      <c r="F300" s="53" t="s">
        <v>1373</v>
      </c>
      <c r="G300" s="53" t="s">
        <v>1373</v>
      </c>
    </row>
    <row r="301" spans="1:7" x14ac:dyDescent="0.2">
      <c r="A301" s="53" t="s">
        <v>914</v>
      </c>
      <c r="B301" s="53">
        <v>2.1</v>
      </c>
      <c r="C301" s="53" t="s">
        <v>1353</v>
      </c>
      <c r="D301" s="53" t="s">
        <v>1353</v>
      </c>
      <c r="E301" s="53" t="s">
        <v>1353</v>
      </c>
      <c r="F301" s="53" t="s">
        <v>1353</v>
      </c>
      <c r="G301" s="53" t="s">
        <v>1353</v>
      </c>
    </row>
    <row r="302" spans="1:7" x14ac:dyDescent="0.2">
      <c r="A302" s="53" t="s">
        <v>1390</v>
      </c>
      <c r="B302" s="53">
        <v>2</v>
      </c>
      <c r="C302" s="53" t="s">
        <v>1353</v>
      </c>
      <c r="D302" s="53" t="s">
        <v>1353</v>
      </c>
      <c r="E302" s="53" t="s">
        <v>1353</v>
      </c>
      <c r="F302" s="53" t="s">
        <v>1353</v>
      </c>
      <c r="G302" s="53" t="s">
        <v>1353</v>
      </c>
    </row>
    <row r="303" spans="1:7" x14ac:dyDescent="0.2">
      <c r="A303" s="53" t="s">
        <v>914</v>
      </c>
      <c r="B303" s="53">
        <v>2</v>
      </c>
      <c r="C303" s="53" t="s">
        <v>1352</v>
      </c>
      <c r="D303" s="53" t="s">
        <v>1352</v>
      </c>
      <c r="E303" s="53" t="s">
        <v>1352</v>
      </c>
      <c r="F303" s="53" t="s">
        <v>1352</v>
      </c>
      <c r="G303" s="53" t="s">
        <v>1352</v>
      </c>
    </row>
    <row r="304" spans="1:7" x14ac:dyDescent="0.2">
      <c r="A304" s="53" t="s">
        <v>914</v>
      </c>
      <c r="B304" s="53">
        <v>2</v>
      </c>
      <c r="C304" s="53" t="s">
        <v>1353</v>
      </c>
      <c r="D304" s="53" t="s">
        <v>1353</v>
      </c>
      <c r="E304" s="53" t="s">
        <v>1353</v>
      </c>
      <c r="F304" s="53" t="s">
        <v>1353</v>
      </c>
      <c r="G304" s="53" t="s">
        <v>1353</v>
      </c>
    </row>
    <row r="305" spans="1:7" x14ac:dyDescent="0.2">
      <c r="A305" s="53" t="s">
        <v>914</v>
      </c>
      <c r="B305" s="53">
        <v>2</v>
      </c>
      <c r="C305" s="53" t="s">
        <v>1353</v>
      </c>
      <c r="D305" s="53" t="s">
        <v>1353</v>
      </c>
      <c r="E305" s="53" t="s">
        <v>1353</v>
      </c>
      <c r="F305" s="53" t="s">
        <v>1353</v>
      </c>
      <c r="G305" s="53" t="s">
        <v>1353</v>
      </c>
    </row>
    <row r="306" spans="1:7" x14ac:dyDescent="0.2">
      <c r="A306" s="53" t="s">
        <v>914</v>
      </c>
      <c r="B306" s="53">
        <v>2</v>
      </c>
      <c r="C306" s="53" t="s">
        <v>1353</v>
      </c>
      <c r="D306" s="53" t="s">
        <v>1353</v>
      </c>
      <c r="E306" s="53" t="s">
        <v>1353</v>
      </c>
      <c r="F306" s="53" t="s">
        <v>1353</v>
      </c>
      <c r="G306" s="53" t="s">
        <v>1353</v>
      </c>
    </row>
    <row r="307" spans="1:7" x14ac:dyDescent="0.2">
      <c r="A307" s="53" t="s">
        <v>914</v>
      </c>
      <c r="B307" s="53">
        <v>2</v>
      </c>
      <c r="C307" s="53" t="s">
        <v>1353</v>
      </c>
      <c r="D307" s="53" t="s">
        <v>1353</v>
      </c>
      <c r="E307" s="53" t="s">
        <v>1353</v>
      </c>
      <c r="F307" s="53" t="s">
        <v>1353</v>
      </c>
      <c r="G307" s="53" t="s">
        <v>1353</v>
      </c>
    </row>
    <row r="308" spans="1:7" x14ac:dyDescent="0.2">
      <c r="A308" s="53" t="s">
        <v>914</v>
      </c>
      <c r="B308" s="53">
        <v>2</v>
      </c>
      <c r="C308" s="53" t="s">
        <v>199</v>
      </c>
      <c r="D308" s="53" t="s">
        <v>1372</v>
      </c>
      <c r="E308" s="53" t="s">
        <v>1372</v>
      </c>
      <c r="F308" s="53" t="s">
        <v>1372</v>
      </c>
      <c r="G308" s="53" t="s">
        <v>1372</v>
      </c>
    </row>
    <row r="309" spans="1:7" x14ac:dyDescent="0.2">
      <c r="A309" s="53" t="s">
        <v>914</v>
      </c>
      <c r="B309" s="53">
        <v>2</v>
      </c>
      <c r="C309" s="53" t="s">
        <v>1353</v>
      </c>
      <c r="D309" s="53" t="s">
        <v>1353</v>
      </c>
      <c r="E309" s="53" t="s">
        <v>1352</v>
      </c>
      <c r="F309" s="53" t="s">
        <v>1352</v>
      </c>
      <c r="G309" s="53" t="s">
        <v>1352</v>
      </c>
    </row>
    <row r="310" spans="1:7" x14ac:dyDescent="0.2">
      <c r="A310" s="53" t="s">
        <v>914</v>
      </c>
      <c r="B310" s="53">
        <v>2</v>
      </c>
      <c r="C310" s="53" t="s">
        <v>1353</v>
      </c>
      <c r="D310" s="53" t="s">
        <v>1353</v>
      </c>
      <c r="E310" s="53" t="s">
        <v>1353</v>
      </c>
      <c r="F310" s="53" t="s">
        <v>1353</v>
      </c>
      <c r="G310" s="53" t="s">
        <v>1353</v>
      </c>
    </row>
    <row r="311" spans="1:7" x14ac:dyDescent="0.2">
      <c r="A311" s="53" t="s">
        <v>914</v>
      </c>
      <c r="B311" s="53">
        <v>2</v>
      </c>
      <c r="C311" s="53" t="s">
        <v>1353</v>
      </c>
      <c r="D311" s="53" t="s">
        <v>1353</v>
      </c>
      <c r="E311" s="53" t="s">
        <v>1353</v>
      </c>
      <c r="F311" s="53" t="s">
        <v>1353</v>
      </c>
      <c r="G311" s="53" t="s">
        <v>1353</v>
      </c>
    </row>
    <row r="312" spans="1:7" x14ac:dyDescent="0.2">
      <c r="A312" s="53" t="s">
        <v>914</v>
      </c>
      <c r="B312" s="53">
        <v>2</v>
      </c>
      <c r="C312" s="53" t="s">
        <v>191</v>
      </c>
      <c r="D312" s="53" t="s">
        <v>1353</v>
      </c>
      <c r="E312" s="53" t="s">
        <v>1353</v>
      </c>
      <c r="F312" s="53" t="s">
        <v>1353</v>
      </c>
      <c r="G312" s="53" t="s">
        <v>1353</v>
      </c>
    </row>
    <row r="313" spans="1:7" x14ac:dyDescent="0.2">
      <c r="A313" s="53" t="s">
        <v>914</v>
      </c>
      <c r="B313" s="53">
        <v>2</v>
      </c>
      <c r="C313" s="53" t="s">
        <v>1353</v>
      </c>
      <c r="D313" s="53" t="s">
        <v>1353</v>
      </c>
      <c r="E313" s="53" t="s">
        <v>1353</v>
      </c>
      <c r="F313" s="53" t="s">
        <v>1353</v>
      </c>
      <c r="G313" s="53" t="s">
        <v>1353</v>
      </c>
    </row>
    <row r="314" spans="1:7" x14ac:dyDescent="0.2">
      <c r="A314" s="53" t="s">
        <v>914</v>
      </c>
      <c r="B314" s="53">
        <v>2</v>
      </c>
      <c r="C314" s="53" t="s">
        <v>1373</v>
      </c>
      <c r="D314" s="53" t="s">
        <v>1353</v>
      </c>
      <c r="E314" s="53" t="s">
        <v>1353</v>
      </c>
      <c r="F314" s="53" t="s">
        <v>1353</v>
      </c>
      <c r="G314" s="53" t="s">
        <v>195</v>
      </c>
    </row>
    <row r="315" spans="1:7" x14ac:dyDescent="0.2">
      <c r="A315" s="53" t="s">
        <v>914</v>
      </c>
      <c r="B315" s="53">
        <v>2</v>
      </c>
      <c r="C315" s="53" t="s">
        <v>1353</v>
      </c>
      <c r="D315" s="53" t="s">
        <v>1353</v>
      </c>
      <c r="E315" s="53" t="s">
        <v>1353</v>
      </c>
      <c r="F315" s="53" t="s">
        <v>1353</v>
      </c>
      <c r="G315" s="53" t="s">
        <v>1353</v>
      </c>
    </row>
    <row r="316" spans="1:7" x14ac:dyDescent="0.2">
      <c r="A316" s="53" t="s">
        <v>914</v>
      </c>
      <c r="B316" s="53">
        <v>2</v>
      </c>
      <c r="C316" s="53" t="s">
        <v>1353</v>
      </c>
      <c r="D316" s="53" t="s">
        <v>1353</v>
      </c>
      <c r="E316" s="53" t="s">
        <v>1353</v>
      </c>
      <c r="F316" s="53" t="s">
        <v>1353</v>
      </c>
      <c r="G316" s="53" t="s">
        <v>1353</v>
      </c>
    </row>
    <row r="317" spans="1:7" x14ac:dyDescent="0.2">
      <c r="A317" s="53" t="s">
        <v>914</v>
      </c>
      <c r="B317" s="53">
        <v>2</v>
      </c>
      <c r="C317" s="53" t="s">
        <v>202</v>
      </c>
      <c r="D317" s="53" t="s">
        <v>202</v>
      </c>
      <c r="E317" s="53" t="s">
        <v>202</v>
      </c>
      <c r="F317" s="53" t="s">
        <v>202</v>
      </c>
      <c r="G317" s="53" t="s">
        <v>202</v>
      </c>
    </row>
    <row r="318" spans="1:7" x14ac:dyDescent="0.2">
      <c r="A318" s="53" t="s">
        <v>914</v>
      </c>
      <c r="B318" s="53">
        <v>2</v>
      </c>
      <c r="C318" s="53" t="s">
        <v>1353</v>
      </c>
      <c r="D318" s="53" t="s">
        <v>1353</v>
      </c>
      <c r="E318" s="53" t="s">
        <v>1353</v>
      </c>
      <c r="F318" s="53" t="s">
        <v>1353</v>
      </c>
      <c r="G318" s="53" t="s">
        <v>191</v>
      </c>
    </row>
    <row r="319" spans="1:7" x14ac:dyDescent="0.2">
      <c r="A319" s="53" t="s">
        <v>914</v>
      </c>
      <c r="B319" s="53">
        <v>2</v>
      </c>
      <c r="C319" s="53" t="s">
        <v>1353</v>
      </c>
      <c r="D319" s="53" t="s">
        <v>1353</v>
      </c>
      <c r="E319" s="53" t="s">
        <v>1353</v>
      </c>
      <c r="F319" s="53" t="s">
        <v>1353</v>
      </c>
      <c r="G319" s="53" t="s">
        <v>1353</v>
      </c>
    </row>
    <row r="320" spans="1:7" x14ac:dyDescent="0.2">
      <c r="A320" s="53" t="s">
        <v>914</v>
      </c>
      <c r="B320" s="53">
        <v>2</v>
      </c>
      <c r="C320" s="53" t="s">
        <v>1353</v>
      </c>
      <c r="D320" s="53" t="s">
        <v>1353</v>
      </c>
      <c r="E320" s="53" t="s">
        <v>1353</v>
      </c>
      <c r="F320" s="53" t="s">
        <v>1353</v>
      </c>
      <c r="G320" s="53" t="s">
        <v>1353</v>
      </c>
    </row>
    <row r="321" spans="1:7" x14ac:dyDescent="0.2">
      <c r="A321" s="53" t="s">
        <v>914</v>
      </c>
      <c r="B321" s="53">
        <v>2</v>
      </c>
      <c r="C321" s="53" t="s">
        <v>1353</v>
      </c>
      <c r="D321" s="53" t="s">
        <v>1353</v>
      </c>
      <c r="E321" s="53" t="s">
        <v>1353</v>
      </c>
      <c r="F321" s="53" t="s">
        <v>1353</v>
      </c>
      <c r="G321" s="53" t="s">
        <v>199</v>
      </c>
    </row>
    <row r="322" spans="1:7" x14ac:dyDescent="0.2">
      <c r="A322" s="53" t="s">
        <v>914</v>
      </c>
      <c r="B322" s="53">
        <v>2</v>
      </c>
      <c r="C322" s="53" t="s">
        <v>1352</v>
      </c>
      <c r="D322" s="53" t="s">
        <v>1352</v>
      </c>
      <c r="E322" s="53" t="s">
        <v>1352</v>
      </c>
      <c r="F322" s="53" t="s">
        <v>1352</v>
      </c>
      <c r="G322" s="53" t="s">
        <v>1352</v>
      </c>
    </row>
    <row r="323" spans="1:7" x14ac:dyDescent="0.2">
      <c r="A323" s="53" t="s">
        <v>1390</v>
      </c>
      <c r="B323" s="53">
        <v>2</v>
      </c>
      <c r="C323" s="53" t="s">
        <v>1373</v>
      </c>
      <c r="D323" s="53" t="s">
        <v>1373</v>
      </c>
      <c r="E323" s="53" t="s">
        <v>1353</v>
      </c>
      <c r="F323" s="53" t="s">
        <v>1353</v>
      </c>
      <c r="G323" s="53" t="s">
        <v>1373</v>
      </c>
    </row>
    <row r="324" spans="1:7" x14ac:dyDescent="0.2">
      <c r="A324" s="53" t="s">
        <v>914</v>
      </c>
      <c r="B324" s="53">
        <v>2</v>
      </c>
      <c r="C324" s="53" t="s">
        <v>1353</v>
      </c>
      <c r="D324" s="53" t="s">
        <v>1353</v>
      </c>
      <c r="E324" s="53" t="s">
        <v>1353</v>
      </c>
      <c r="F324" s="53" t="s">
        <v>1353</v>
      </c>
      <c r="G324" s="53" t="s">
        <v>1353</v>
      </c>
    </row>
    <row r="325" spans="1:7" x14ac:dyDescent="0.2">
      <c r="A325" s="53" t="s">
        <v>1390</v>
      </c>
      <c r="B325" s="53">
        <v>2</v>
      </c>
      <c r="C325" s="53" t="s">
        <v>1372</v>
      </c>
      <c r="D325" s="53" t="s">
        <v>202</v>
      </c>
      <c r="E325" s="53" t="s">
        <v>202</v>
      </c>
      <c r="F325" s="53" t="s">
        <v>1372</v>
      </c>
      <c r="G325" s="53" t="s">
        <v>202</v>
      </c>
    </row>
    <row r="326" spans="1:7" x14ac:dyDescent="0.2">
      <c r="A326" s="53" t="s">
        <v>914</v>
      </c>
      <c r="B326" s="53">
        <v>2</v>
      </c>
      <c r="C326" s="53" t="s">
        <v>1356</v>
      </c>
      <c r="D326" s="53" t="s">
        <v>1356</v>
      </c>
      <c r="E326" s="53" t="s">
        <v>1356</v>
      </c>
      <c r="F326" s="53" t="s">
        <v>1356</v>
      </c>
      <c r="G326" s="53" t="s">
        <v>1356</v>
      </c>
    </row>
    <row r="327" spans="1:7" x14ac:dyDescent="0.2">
      <c r="A327" s="53" t="s">
        <v>914</v>
      </c>
      <c r="B327" s="53">
        <v>2</v>
      </c>
      <c r="C327" s="53" t="s">
        <v>1353</v>
      </c>
      <c r="D327" s="53" t="s">
        <v>1353</v>
      </c>
      <c r="E327" s="53" t="s">
        <v>1353</v>
      </c>
      <c r="F327" s="53" t="s">
        <v>1353</v>
      </c>
      <c r="G327" s="53" t="s">
        <v>1353</v>
      </c>
    </row>
    <row r="328" spans="1:7" x14ac:dyDescent="0.2">
      <c r="A328" s="53" t="s">
        <v>914</v>
      </c>
      <c r="B328" s="53">
        <v>2</v>
      </c>
      <c r="C328" s="53" t="s">
        <v>1372</v>
      </c>
      <c r="D328" s="53" t="s">
        <v>1372</v>
      </c>
      <c r="E328" s="53" t="s">
        <v>1372</v>
      </c>
      <c r="F328" s="53" t="s">
        <v>1372</v>
      </c>
      <c r="G328" s="53" t="s">
        <v>1372</v>
      </c>
    </row>
    <row r="329" spans="1:7" x14ac:dyDescent="0.2">
      <c r="A329" s="53" t="s">
        <v>914</v>
      </c>
      <c r="B329" s="53">
        <v>1.8</v>
      </c>
      <c r="C329" s="53" t="s">
        <v>1353</v>
      </c>
      <c r="D329" s="53" t="s">
        <v>1353</v>
      </c>
      <c r="E329" s="53" t="s">
        <v>1353</v>
      </c>
      <c r="F329" s="53" t="s">
        <v>1353</v>
      </c>
      <c r="G329" s="53" t="s">
        <v>1353</v>
      </c>
    </row>
    <row r="330" spans="1:7" x14ac:dyDescent="0.2">
      <c r="A330" s="53" t="s">
        <v>914</v>
      </c>
      <c r="B330" s="53">
        <v>1.8</v>
      </c>
      <c r="C330" s="53" t="s">
        <v>1353</v>
      </c>
      <c r="D330" s="53" t="s">
        <v>1353</v>
      </c>
      <c r="E330" s="53" t="s">
        <v>1353</v>
      </c>
      <c r="F330" s="53" t="s">
        <v>1353</v>
      </c>
      <c r="G330" s="53" t="s">
        <v>1353</v>
      </c>
    </row>
    <row r="331" spans="1:7" x14ac:dyDescent="0.2">
      <c r="A331" s="53" t="s">
        <v>914</v>
      </c>
      <c r="B331" s="53">
        <v>1.7</v>
      </c>
      <c r="C331" s="53" t="s">
        <v>1359</v>
      </c>
      <c r="D331" s="53" t="s">
        <v>1373</v>
      </c>
      <c r="E331" s="53" t="s">
        <v>1359</v>
      </c>
      <c r="F331" s="53" t="s">
        <v>1373</v>
      </c>
      <c r="G331" s="53" t="s">
        <v>1359</v>
      </c>
    </row>
    <row r="332" spans="1:7" x14ac:dyDescent="0.2">
      <c r="A332" s="53" t="s">
        <v>914</v>
      </c>
      <c r="B332" s="53">
        <v>1.6</v>
      </c>
      <c r="C332" s="53" t="s">
        <v>1373</v>
      </c>
      <c r="D332" s="53" t="s">
        <v>1353</v>
      </c>
      <c r="E332" s="53" t="s">
        <v>1373</v>
      </c>
      <c r="F332" s="53" t="s">
        <v>1353</v>
      </c>
      <c r="G332" s="53" t="s">
        <v>1373</v>
      </c>
    </row>
    <row r="333" spans="1:7" x14ac:dyDescent="0.2">
      <c r="A333" s="53" t="s">
        <v>914</v>
      </c>
      <c r="B333" s="53">
        <v>1.6</v>
      </c>
      <c r="C333" s="53" t="s">
        <v>1372</v>
      </c>
      <c r="D333" s="53" t="s">
        <v>1372</v>
      </c>
      <c r="E333" s="53" t="s">
        <v>1372</v>
      </c>
      <c r="F333" s="53" t="s">
        <v>1372</v>
      </c>
      <c r="G333" s="53" t="s">
        <v>1372</v>
      </c>
    </row>
    <row r="334" spans="1:7" x14ac:dyDescent="0.2">
      <c r="A334" s="53" t="s">
        <v>914</v>
      </c>
      <c r="B334" s="53">
        <v>1.5</v>
      </c>
      <c r="C334" s="53" t="s">
        <v>1353</v>
      </c>
      <c r="D334" s="53" t="s">
        <v>1353</v>
      </c>
      <c r="E334" s="53" t="s">
        <v>195</v>
      </c>
      <c r="F334" s="53" t="s">
        <v>1353</v>
      </c>
      <c r="G334" s="53" t="s">
        <v>1353</v>
      </c>
    </row>
    <row r="335" spans="1:7" x14ac:dyDescent="0.2">
      <c r="A335" s="53" t="s">
        <v>914</v>
      </c>
      <c r="B335" s="53">
        <v>1.5</v>
      </c>
      <c r="C335" s="53" t="s">
        <v>191</v>
      </c>
      <c r="D335" s="53" t="s">
        <v>1353</v>
      </c>
      <c r="E335" s="53" t="s">
        <v>1352</v>
      </c>
      <c r="F335" s="53" t="s">
        <v>1352</v>
      </c>
      <c r="G335" s="53" t="s">
        <v>1352</v>
      </c>
    </row>
    <row r="336" spans="1:7" x14ac:dyDescent="0.2">
      <c r="A336" s="53" t="s">
        <v>914</v>
      </c>
      <c r="B336" s="53">
        <v>1.5</v>
      </c>
      <c r="C336" s="53" t="s">
        <v>1353</v>
      </c>
      <c r="D336" s="53" t="s">
        <v>1353</v>
      </c>
      <c r="E336" s="53" t="s">
        <v>1372</v>
      </c>
      <c r="F336" s="53" t="s">
        <v>1373</v>
      </c>
      <c r="G336" s="53" t="s">
        <v>1353</v>
      </c>
    </row>
    <row r="337" spans="1:7" x14ac:dyDescent="0.2">
      <c r="A337" s="53" t="s">
        <v>914</v>
      </c>
      <c r="B337" s="53">
        <v>1.5</v>
      </c>
      <c r="C337" s="53" t="s">
        <v>1372</v>
      </c>
      <c r="D337" s="53" t="s">
        <v>1372</v>
      </c>
      <c r="E337" s="53" t="s">
        <v>1372</v>
      </c>
      <c r="F337" s="53" t="s">
        <v>1372</v>
      </c>
      <c r="G337" s="53" t="s">
        <v>1372</v>
      </c>
    </row>
    <row r="338" spans="1:7" x14ac:dyDescent="0.2">
      <c r="A338" s="53" t="s">
        <v>914</v>
      </c>
      <c r="B338" s="53">
        <v>1.5</v>
      </c>
      <c r="C338" s="53" t="s">
        <v>1353</v>
      </c>
      <c r="D338" s="53" t="s">
        <v>1357</v>
      </c>
      <c r="E338" s="53" t="s">
        <v>1353</v>
      </c>
      <c r="F338" s="53" t="s">
        <v>1372</v>
      </c>
      <c r="G338" s="53" t="s">
        <v>1353</v>
      </c>
    </row>
    <row r="339" spans="1:7" x14ac:dyDescent="0.2">
      <c r="A339" s="53" t="s">
        <v>914</v>
      </c>
      <c r="B339" s="53">
        <v>1.5</v>
      </c>
      <c r="C339" s="53" t="s">
        <v>199</v>
      </c>
      <c r="D339" s="53" t="s">
        <v>199</v>
      </c>
      <c r="E339" s="53" t="s">
        <v>199</v>
      </c>
      <c r="F339" s="53" t="s">
        <v>199</v>
      </c>
      <c r="G339" s="53" t="s">
        <v>199</v>
      </c>
    </row>
    <row r="340" spans="1:7" x14ac:dyDescent="0.2">
      <c r="A340" s="53" t="s">
        <v>914</v>
      </c>
      <c r="B340" s="53">
        <v>1.5</v>
      </c>
      <c r="C340" s="53" t="s">
        <v>1353</v>
      </c>
      <c r="D340" s="53" t="s">
        <v>1352</v>
      </c>
      <c r="E340" s="53" t="s">
        <v>202</v>
      </c>
      <c r="F340" s="53" t="s">
        <v>202</v>
      </c>
      <c r="G340" s="53" t="s">
        <v>1353</v>
      </c>
    </row>
    <row r="341" spans="1:7" x14ac:dyDescent="0.2">
      <c r="A341" s="53" t="s">
        <v>914</v>
      </c>
      <c r="B341" s="53">
        <v>1.5</v>
      </c>
      <c r="C341" s="53" t="s">
        <v>1353</v>
      </c>
      <c r="D341" s="53" t="s">
        <v>1353</v>
      </c>
      <c r="E341" s="53" t="s">
        <v>1352</v>
      </c>
      <c r="F341" s="53" t="s">
        <v>1353</v>
      </c>
      <c r="G341" s="53" t="s">
        <v>1353</v>
      </c>
    </row>
    <row r="342" spans="1:7" x14ac:dyDescent="0.2">
      <c r="A342" s="53" t="s">
        <v>914</v>
      </c>
      <c r="B342" s="53">
        <v>1.5</v>
      </c>
      <c r="C342" s="53" t="s">
        <v>1352</v>
      </c>
      <c r="D342" s="53" t="s">
        <v>1356</v>
      </c>
      <c r="E342" s="53" t="s">
        <v>1356</v>
      </c>
      <c r="F342" s="53" t="s">
        <v>1356</v>
      </c>
      <c r="G342" s="53" t="s">
        <v>191</v>
      </c>
    </row>
    <row r="343" spans="1:7" x14ac:dyDescent="0.2">
      <c r="A343" s="53" t="s">
        <v>914</v>
      </c>
      <c r="B343" s="53">
        <v>1.5</v>
      </c>
      <c r="C343" s="53" t="s">
        <v>1353</v>
      </c>
      <c r="D343" s="53" t="s">
        <v>1353</v>
      </c>
      <c r="E343" s="53" t="s">
        <v>1353</v>
      </c>
      <c r="F343" s="53" t="s">
        <v>1353</v>
      </c>
      <c r="G343" s="53" t="s">
        <v>1353</v>
      </c>
    </row>
    <row r="344" spans="1:7" x14ac:dyDescent="0.2">
      <c r="A344" s="53" t="s">
        <v>1390</v>
      </c>
      <c r="B344" s="53">
        <v>1.5</v>
      </c>
      <c r="C344" s="53" t="s">
        <v>202</v>
      </c>
      <c r="D344" s="53" t="s">
        <v>1353</v>
      </c>
      <c r="E344" s="53" t="s">
        <v>202</v>
      </c>
      <c r="F344" s="53" t="s">
        <v>1372</v>
      </c>
      <c r="G344" s="53" t="s">
        <v>202</v>
      </c>
    </row>
    <row r="345" spans="1:7" x14ac:dyDescent="0.2">
      <c r="A345" s="53" t="s">
        <v>1390</v>
      </c>
      <c r="B345" s="53">
        <v>1.5</v>
      </c>
      <c r="C345" s="53" t="s">
        <v>1353</v>
      </c>
      <c r="D345" s="53" t="s">
        <v>1353</v>
      </c>
      <c r="E345" s="53" t="s">
        <v>1353</v>
      </c>
      <c r="F345" s="53" t="s">
        <v>1353</v>
      </c>
      <c r="G345" s="53" t="s">
        <v>1353</v>
      </c>
    </row>
    <row r="346" spans="1:7" x14ac:dyDescent="0.2">
      <c r="A346" s="53" t="s">
        <v>914</v>
      </c>
      <c r="B346" s="53">
        <v>1.5</v>
      </c>
      <c r="C346" s="53" t="s">
        <v>1372</v>
      </c>
      <c r="D346" s="53" t="s">
        <v>1372</v>
      </c>
      <c r="E346" s="53" t="s">
        <v>1372</v>
      </c>
      <c r="F346" s="53" t="s">
        <v>1372</v>
      </c>
      <c r="G346" s="53" t="s">
        <v>1372</v>
      </c>
    </row>
    <row r="347" spans="1:7" x14ac:dyDescent="0.2">
      <c r="A347" s="53" t="s">
        <v>1390</v>
      </c>
      <c r="B347" s="53">
        <v>1.5</v>
      </c>
      <c r="C347" s="53" t="s">
        <v>1353</v>
      </c>
      <c r="D347" s="53" t="s">
        <v>1353</v>
      </c>
      <c r="E347" s="53" t="s">
        <v>1353</v>
      </c>
      <c r="F347" s="53" t="s">
        <v>1353</v>
      </c>
      <c r="G347" s="53" t="s">
        <v>1353</v>
      </c>
    </row>
    <row r="348" spans="1:7" x14ac:dyDescent="0.2">
      <c r="A348" s="53" t="s">
        <v>914</v>
      </c>
      <c r="B348" s="53">
        <v>1.4</v>
      </c>
      <c r="C348" s="53" t="s">
        <v>1373</v>
      </c>
      <c r="D348" s="53" t="s">
        <v>195</v>
      </c>
      <c r="E348" s="53" t="s">
        <v>1373</v>
      </c>
      <c r="F348" s="53" t="s">
        <v>1352</v>
      </c>
      <c r="G348" s="53" t="s">
        <v>1373</v>
      </c>
    </row>
    <row r="349" spans="1:7" x14ac:dyDescent="0.2">
      <c r="A349" s="53" t="s">
        <v>914</v>
      </c>
      <c r="B349" s="53">
        <v>1.4</v>
      </c>
      <c r="C349" s="53" t="s">
        <v>1372</v>
      </c>
      <c r="D349" s="53" t="s">
        <v>1372</v>
      </c>
      <c r="E349" s="53" t="s">
        <v>1372</v>
      </c>
      <c r="F349" s="53" t="s">
        <v>1372</v>
      </c>
      <c r="G349" s="53" t="s">
        <v>1372</v>
      </c>
    </row>
    <row r="350" spans="1:7" x14ac:dyDescent="0.2">
      <c r="A350" s="53" t="s">
        <v>914</v>
      </c>
      <c r="B350" s="53">
        <v>1.2</v>
      </c>
      <c r="C350" s="53" t="s">
        <v>1353</v>
      </c>
      <c r="D350" s="53" t="s">
        <v>1353</v>
      </c>
      <c r="E350" s="53" t="s">
        <v>1353</v>
      </c>
      <c r="F350" s="53" t="s">
        <v>1353</v>
      </c>
      <c r="G350" s="53" t="s">
        <v>1353</v>
      </c>
    </row>
    <row r="351" spans="1:7" x14ac:dyDescent="0.2">
      <c r="A351" s="53" t="s">
        <v>914</v>
      </c>
      <c r="B351" s="53">
        <v>1.2</v>
      </c>
      <c r="C351" s="53" t="s">
        <v>1353</v>
      </c>
      <c r="D351" s="53" t="s">
        <v>1353</v>
      </c>
      <c r="E351" s="53" t="s">
        <v>199</v>
      </c>
      <c r="F351" s="53" t="s">
        <v>1353</v>
      </c>
      <c r="G351" s="53" t="s">
        <v>1353</v>
      </c>
    </row>
    <row r="352" spans="1:7" x14ac:dyDescent="0.2">
      <c r="A352" s="53" t="s">
        <v>914</v>
      </c>
      <c r="B352" s="53">
        <v>1.2</v>
      </c>
      <c r="C352" s="53" t="s">
        <v>1373</v>
      </c>
      <c r="D352" s="53" t="s">
        <v>1372</v>
      </c>
      <c r="E352" s="53" t="s">
        <v>1373</v>
      </c>
      <c r="F352" s="53" t="s">
        <v>1373</v>
      </c>
      <c r="G352" s="53" t="s">
        <v>1372</v>
      </c>
    </row>
    <row r="353" spans="1:7" x14ac:dyDescent="0.2">
      <c r="A353" s="53" t="s">
        <v>914</v>
      </c>
      <c r="B353" s="53">
        <v>1.2</v>
      </c>
      <c r="C353" s="53" t="s">
        <v>1353</v>
      </c>
      <c r="D353" s="53" t="s">
        <v>1353</v>
      </c>
      <c r="E353" s="53" t="s">
        <v>1353</v>
      </c>
      <c r="F353" s="53" t="s">
        <v>1353</v>
      </c>
      <c r="G353" s="53" t="s">
        <v>1353</v>
      </c>
    </row>
    <row r="354" spans="1:7" x14ac:dyDescent="0.2">
      <c r="A354" s="53" t="s">
        <v>914</v>
      </c>
      <c r="B354" s="53">
        <v>1.1000000000000001</v>
      </c>
      <c r="C354" s="53" t="s">
        <v>1353</v>
      </c>
      <c r="D354" s="53" t="s">
        <v>1353</v>
      </c>
      <c r="E354" s="53" t="s">
        <v>1353</v>
      </c>
      <c r="F354" s="53" t="s">
        <v>1353</v>
      </c>
      <c r="G354" s="53" t="s">
        <v>1353</v>
      </c>
    </row>
    <row r="355" spans="1:7" x14ac:dyDescent="0.2">
      <c r="A355" s="53" t="s">
        <v>914</v>
      </c>
      <c r="B355" s="53">
        <v>1</v>
      </c>
      <c r="C355" s="53" t="s">
        <v>1373</v>
      </c>
      <c r="D355" s="53" t="s">
        <v>1373</v>
      </c>
      <c r="E355" s="53" t="s">
        <v>1373</v>
      </c>
      <c r="F355" s="53" t="s">
        <v>1373</v>
      </c>
      <c r="G355" s="53" t="s">
        <v>1373</v>
      </c>
    </row>
    <row r="356" spans="1:7" x14ac:dyDescent="0.2">
      <c r="A356" s="53" t="s">
        <v>914</v>
      </c>
      <c r="B356" s="53">
        <v>1</v>
      </c>
      <c r="C356" s="53" t="s">
        <v>1353</v>
      </c>
      <c r="D356" s="53" t="s">
        <v>1353</v>
      </c>
      <c r="E356" s="53" t="s">
        <v>1353</v>
      </c>
      <c r="F356" s="53" t="s">
        <v>1353</v>
      </c>
      <c r="G356" s="53" t="s">
        <v>1353</v>
      </c>
    </row>
    <row r="357" spans="1:7" x14ac:dyDescent="0.2">
      <c r="A357" s="53" t="s">
        <v>914</v>
      </c>
      <c r="B357" s="53">
        <v>1</v>
      </c>
      <c r="C357" s="53" t="s">
        <v>1373</v>
      </c>
      <c r="D357" s="53" t="s">
        <v>1373</v>
      </c>
      <c r="E357" s="53" t="s">
        <v>1373</v>
      </c>
      <c r="F357" s="53" t="s">
        <v>1373</v>
      </c>
      <c r="G357" s="53" t="s">
        <v>1373</v>
      </c>
    </row>
    <row r="358" spans="1:7" x14ac:dyDescent="0.2">
      <c r="A358" s="53" t="s">
        <v>914</v>
      </c>
      <c r="B358" s="53">
        <v>1</v>
      </c>
      <c r="C358" s="53" t="s">
        <v>1353</v>
      </c>
      <c r="D358" s="53" t="s">
        <v>1353</v>
      </c>
      <c r="E358" s="53" t="s">
        <v>1372</v>
      </c>
      <c r="F358" s="53" t="s">
        <v>1353</v>
      </c>
      <c r="G358" s="53" t="s">
        <v>1353</v>
      </c>
    </row>
    <row r="359" spans="1:7" x14ac:dyDescent="0.2">
      <c r="A359" s="53" t="s">
        <v>914</v>
      </c>
      <c r="B359" s="53">
        <v>1</v>
      </c>
      <c r="C359" s="53" t="s">
        <v>1372</v>
      </c>
      <c r="D359" s="53" t="s">
        <v>1372</v>
      </c>
      <c r="E359" s="53" t="s">
        <v>1356</v>
      </c>
      <c r="F359" s="53" t="s">
        <v>1372</v>
      </c>
      <c r="G359" s="53" t="s">
        <v>1357</v>
      </c>
    </row>
    <row r="360" spans="1:7" x14ac:dyDescent="0.2">
      <c r="A360" s="53" t="s">
        <v>914</v>
      </c>
      <c r="B360" s="53">
        <v>1</v>
      </c>
      <c r="C360" s="53" t="s">
        <v>202</v>
      </c>
      <c r="D360" s="53" t="s">
        <v>1353</v>
      </c>
      <c r="E360" s="53" t="s">
        <v>1353</v>
      </c>
      <c r="F360" s="53" t="s">
        <v>1353</v>
      </c>
      <c r="G360" s="53" t="s">
        <v>1353</v>
      </c>
    </row>
    <row r="361" spans="1:7" x14ac:dyDescent="0.2">
      <c r="A361" s="53" t="s">
        <v>914</v>
      </c>
      <c r="B361" s="53">
        <v>1</v>
      </c>
      <c r="C361" s="53" t="s">
        <v>1372</v>
      </c>
      <c r="D361" s="53" t="s">
        <v>1372</v>
      </c>
      <c r="E361" s="53" t="s">
        <v>1372</v>
      </c>
      <c r="F361" s="53" t="s">
        <v>1372</v>
      </c>
      <c r="G361" s="53" t="s">
        <v>1372</v>
      </c>
    </row>
    <row r="362" spans="1:7" x14ac:dyDescent="0.2">
      <c r="A362" s="53" t="s">
        <v>914</v>
      </c>
      <c r="B362" s="53">
        <v>1</v>
      </c>
      <c r="C362" s="53" t="s">
        <v>1373</v>
      </c>
      <c r="D362" s="53" t="s">
        <v>1373</v>
      </c>
      <c r="E362" s="53" t="s">
        <v>1373</v>
      </c>
      <c r="F362" s="53" t="s">
        <v>1373</v>
      </c>
      <c r="G362" s="53" t="s">
        <v>1373</v>
      </c>
    </row>
    <row r="363" spans="1:7" x14ac:dyDescent="0.2">
      <c r="A363" s="53" t="s">
        <v>914</v>
      </c>
      <c r="B363" s="53">
        <v>1</v>
      </c>
      <c r="C363" s="53" t="s">
        <v>1353</v>
      </c>
      <c r="D363" s="53" t="s">
        <v>1353</v>
      </c>
      <c r="E363" s="53" t="s">
        <v>1353</v>
      </c>
      <c r="F363" s="53" t="s">
        <v>1353</v>
      </c>
      <c r="G363" s="53" t="s">
        <v>1353</v>
      </c>
    </row>
    <row r="364" spans="1:7" x14ac:dyDescent="0.2">
      <c r="A364" s="53" t="s">
        <v>914</v>
      </c>
      <c r="B364" s="53">
        <v>1</v>
      </c>
      <c r="C364" s="53" t="s">
        <v>202</v>
      </c>
      <c r="D364" s="53" t="s">
        <v>202</v>
      </c>
      <c r="E364" s="53" t="s">
        <v>1374</v>
      </c>
      <c r="F364" s="53" t="s">
        <v>202</v>
      </c>
      <c r="G364" s="53" t="s">
        <v>1374</v>
      </c>
    </row>
    <row r="365" spans="1:7" x14ac:dyDescent="0.2">
      <c r="A365" s="53" t="s">
        <v>914</v>
      </c>
      <c r="B365" s="53">
        <v>1</v>
      </c>
      <c r="C365" s="53" t="s">
        <v>1353</v>
      </c>
      <c r="D365" s="53" t="s">
        <v>1353</v>
      </c>
      <c r="E365" s="53" t="s">
        <v>1353</v>
      </c>
      <c r="F365" s="53" t="s">
        <v>1353</v>
      </c>
      <c r="G365" s="53" t="s">
        <v>1353</v>
      </c>
    </row>
    <row r="366" spans="1:7" x14ac:dyDescent="0.2">
      <c r="A366" s="53" t="s">
        <v>914</v>
      </c>
      <c r="B366" s="53">
        <v>1</v>
      </c>
      <c r="C366" s="53" t="s">
        <v>199</v>
      </c>
      <c r="D366" s="53" t="s">
        <v>199</v>
      </c>
      <c r="E366" s="53" t="s">
        <v>199</v>
      </c>
      <c r="F366" s="53" t="s">
        <v>199</v>
      </c>
      <c r="G366" s="53" t="s">
        <v>199</v>
      </c>
    </row>
    <row r="367" spans="1:7" x14ac:dyDescent="0.2">
      <c r="A367" s="53" t="s">
        <v>914</v>
      </c>
      <c r="B367" s="53">
        <v>1</v>
      </c>
      <c r="C367" s="53" t="s">
        <v>1353</v>
      </c>
      <c r="D367" s="53" t="s">
        <v>1353</v>
      </c>
      <c r="E367" s="53" t="s">
        <v>1353</v>
      </c>
      <c r="F367" s="53" t="s">
        <v>1353</v>
      </c>
      <c r="G367" s="53" t="s">
        <v>1353</v>
      </c>
    </row>
    <row r="368" spans="1:7" x14ac:dyDescent="0.2">
      <c r="A368" s="53" t="s">
        <v>1390</v>
      </c>
      <c r="B368" s="53">
        <v>1</v>
      </c>
      <c r="C368" s="53" t="s">
        <v>202</v>
      </c>
      <c r="D368" s="53" t="s">
        <v>202</v>
      </c>
      <c r="E368" s="53" t="s">
        <v>202</v>
      </c>
      <c r="F368" s="53" t="s">
        <v>202</v>
      </c>
      <c r="G368" s="53" t="s">
        <v>1373</v>
      </c>
    </row>
    <row r="369" spans="1:7" x14ac:dyDescent="0.2">
      <c r="A369" s="53" t="s">
        <v>914</v>
      </c>
      <c r="B369" s="53">
        <v>1</v>
      </c>
      <c r="C369" s="53" t="s">
        <v>1353</v>
      </c>
      <c r="D369" s="53" t="s">
        <v>1353</v>
      </c>
      <c r="E369" s="53" t="s">
        <v>1353</v>
      </c>
      <c r="F369" s="53" t="s">
        <v>1353</v>
      </c>
      <c r="G369" s="53" t="s">
        <v>1353</v>
      </c>
    </row>
    <row r="370" spans="1:7" x14ac:dyDescent="0.2">
      <c r="A370" s="53" t="s">
        <v>914</v>
      </c>
      <c r="B370" s="53">
        <v>1</v>
      </c>
      <c r="C370" s="53" t="s">
        <v>1372</v>
      </c>
      <c r="D370" s="53" t="s">
        <v>1353</v>
      </c>
      <c r="E370" s="53" t="s">
        <v>1372</v>
      </c>
      <c r="F370" s="53" t="s">
        <v>1353</v>
      </c>
      <c r="G370" s="53" t="s">
        <v>1372</v>
      </c>
    </row>
    <row r="371" spans="1:7" x14ac:dyDescent="0.2">
      <c r="A371" s="53" t="s">
        <v>914</v>
      </c>
      <c r="B371" s="53">
        <v>1</v>
      </c>
      <c r="C371" s="53" t="s">
        <v>1353</v>
      </c>
      <c r="D371" s="53" t="s">
        <v>1353</v>
      </c>
      <c r="E371" s="53" t="s">
        <v>1353</v>
      </c>
      <c r="F371" s="53" t="s">
        <v>1353</v>
      </c>
      <c r="G371" s="53" t="s">
        <v>1353</v>
      </c>
    </row>
    <row r="372" spans="1:7" x14ac:dyDescent="0.2">
      <c r="A372" s="53" t="s">
        <v>914</v>
      </c>
      <c r="B372" s="53">
        <v>1</v>
      </c>
      <c r="C372" s="53" t="s">
        <v>1373</v>
      </c>
      <c r="D372" s="53" t="s">
        <v>1373</v>
      </c>
      <c r="E372" s="53" t="s">
        <v>1353</v>
      </c>
      <c r="F372" s="53" t="s">
        <v>1353</v>
      </c>
      <c r="G372" s="53" t="s">
        <v>1353</v>
      </c>
    </row>
    <row r="373" spans="1:7" x14ac:dyDescent="0.2">
      <c r="A373" s="53" t="s">
        <v>914</v>
      </c>
      <c r="B373" s="53">
        <v>1</v>
      </c>
      <c r="C373" s="53" t="s">
        <v>1353</v>
      </c>
      <c r="D373" s="53" t="s">
        <v>1353</v>
      </c>
      <c r="E373" s="53" t="s">
        <v>1353</v>
      </c>
      <c r="F373" s="53" t="s">
        <v>1353</v>
      </c>
      <c r="G373" s="53" t="s">
        <v>1353</v>
      </c>
    </row>
    <row r="374" spans="1:7" x14ac:dyDescent="0.2">
      <c r="A374" s="53" t="s">
        <v>914</v>
      </c>
      <c r="B374" s="53">
        <v>1</v>
      </c>
      <c r="C374" s="53" t="s">
        <v>1352</v>
      </c>
      <c r="D374" s="53" t="s">
        <v>1352</v>
      </c>
      <c r="E374" s="53" t="s">
        <v>1352</v>
      </c>
      <c r="F374" s="53" t="s">
        <v>1352</v>
      </c>
      <c r="G374" s="53" t="s">
        <v>1352</v>
      </c>
    </row>
    <row r="375" spans="1:7" x14ac:dyDescent="0.2">
      <c r="A375" s="53" t="s">
        <v>914</v>
      </c>
      <c r="B375" s="53">
        <v>1</v>
      </c>
      <c r="C375" s="53" t="s">
        <v>1352</v>
      </c>
      <c r="D375" s="53" t="s">
        <v>1352</v>
      </c>
      <c r="E375" s="53" t="s">
        <v>1352</v>
      </c>
      <c r="F375" s="53" t="s">
        <v>1352</v>
      </c>
      <c r="G375" s="53" t="s">
        <v>1352</v>
      </c>
    </row>
    <row r="376" spans="1:7" x14ac:dyDescent="0.2">
      <c r="A376" s="53" t="s">
        <v>914</v>
      </c>
      <c r="B376" s="53">
        <v>1</v>
      </c>
      <c r="C376" s="53" t="s">
        <v>1353</v>
      </c>
      <c r="D376" s="53" t="s">
        <v>1353</v>
      </c>
      <c r="E376" s="53" t="s">
        <v>1353</v>
      </c>
      <c r="F376" s="53" t="s">
        <v>1353</v>
      </c>
      <c r="G376" s="53" t="s">
        <v>1353</v>
      </c>
    </row>
    <row r="377" spans="1:7" x14ac:dyDescent="0.2">
      <c r="A377" s="53" t="s">
        <v>1390</v>
      </c>
      <c r="B377" s="53">
        <v>1</v>
      </c>
      <c r="C377" s="53" t="s">
        <v>202</v>
      </c>
      <c r="D377" s="53" t="s">
        <v>202</v>
      </c>
      <c r="E377" s="53" t="s">
        <v>1353</v>
      </c>
      <c r="F377" s="53" t="s">
        <v>202</v>
      </c>
      <c r="G377" s="53" t="s">
        <v>202</v>
      </c>
    </row>
    <row r="378" spans="1:7" x14ac:dyDescent="0.2">
      <c r="A378" s="53" t="s">
        <v>1390</v>
      </c>
      <c r="B378" s="53">
        <v>1</v>
      </c>
      <c r="C378" s="53" t="s">
        <v>1372</v>
      </c>
      <c r="D378" s="53" t="s">
        <v>1372</v>
      </c>
      <c r="E378" s="53" t="s">
        <v>1372</v>
      </c>
      <c r="F378" s="53" t="s">
        <v>1372</v>
      </c>
      <c r="G378" s="53" t="s">
        <v>1372</v>
      </c>
    </row>
    <row r="379" spans="1:7" x14ac:dyDescent="0.2">
      <c r="A379" s="53" t="s">
        <v>914</v>
      </c>
      <c r="B379" s="53">
        <v>1</v>
      </c>
      <c r="C379" s="53" t="s">
        <v>1353</v>
      </c>
      <c r="D379" s="53" t="s">
        <v>1353</v>
      </c>
      <c r="E379" s="53" t="s">
        <v>1353</v>
      </c>
      <c r="F379" s="53" t="s">
        <v>1353</v>
      </c>
      <c r="G379" s="53" t="s">
        <v>1353</v>
      </c>
    </row>
    <row r="380" spans="1:7" x14ac:dyDescent="0.2">
      <c r="A380" s="53" t="s">
        <v>914</v>
      </c>
      <c r="B380" s="53">
        <v>1</v>
      </c>
      <c r="C380" s="53" t="s">
        <v>1353</v>
      </c>
      <c r="D380" s="53" t="s">
        <v>1353</v>
      </c>
      <c r="E380" s="53" t="s">
        <v>1353</v>
      </c>
      <c r="F380" s="53" t="s">
        <v>1353</v>
      </c>
      <c r="G380" s="53" t="s">
        <v>1353</v>
      </c>
    </row>
    <row r="381" spans="1:7" x14ac:dyDescent="0.2">
      <c r="A381" s="53" t="s">
        <v>914</v>
      </c>
      <c r="B381" s="53">
        <v>1</v>
      </c>
      <c r="C381" s="53" t="s">
        <v>1353</v>
      </c>
      <c r="D381" s="53" t="s">
        <v>1353</v>
      </c>
      <c r="E381" s="53" t="s">
        <v>1353</v>
      </c>
      <c r="F381" s="53" t="s">
        <v>1353</v>
      </c>
      <c r="G381" s="53" t="s">
        <v>199</v>
      </c>
    </row>
    <row r="382" spans="1:7" x14ac:dyDescent="0.2">
      <c r="A382" s="53" t="s">
        <v>914</v>
      </c>
      <c r="B382" s="53">
        <v>1</v>
      </c>
      <c r="C382" s="53" t="s">
        <v>1353</v>
      </c>
      <c r="D382" s="53" t="s">
        <v>1353</v>
      </c>
      <c r="E382" s="53" t="s">
        <v>1353</v>
      </c>
      <c r="F382" s="53" t="s">
        <v>1353</v>
      </c>
      <c r="G382" s="53" t="s">
        <v>1353</v>
      </c>
    </row>
    <row r="383" spans="1:7" x14ac:dyDescent="0.2">
      <c r="A383" s="53" t="s">
        <v>1390</v>
      </c>
      <c r="B383" s="53">
        <v>1</v>
      </c>
      <c r="C383" s="53" t="s">
        <v>1372</v>
      </c>
      <c r="D383" s="53" t="s">
        <v>1372</v>
      </c>
      <c r="E383" s="53" t="s">
        <v>1353</v>
      </c>
      <c r="F383" s="53" t="s">
        <v>1352</v>
      </c>
      <c r="G383" s="53" t="s">
        <v>1372</v>
      </c>
    </row>
    <row r="384" spans="1:7" x14ac:dyDescent="0.2">
      <c r="A384" s="53" t="s">
        <v>1390</v>
      </c>
      <c r="B384" s="53">
        <v>1</v>
      </c>
      <c r="C384" s="53" t="s">
        <v>1353</v>
      </c>
      <c r="D384" s="53" t="s">
        <v>202</v>
      </c>
      <c r="E384" s="53" t="s">
        <v>202</v>
      </c>
      <c r="F384" s="53" t="s">
        <v>202</v>
      </c>
      <c r="G384" s="53" t="s">
        <v>202</v>
      </c>
    </row>
    <row r="385" spans="1:7" x14ac:dyDescent="0.2">
      <c r="A385" s="53" t="s">
        <v>914</v>
      </c>
      <c r="B385" s="53">
        <v>1</v>
      </c>
      <c r="C385" s="53" t="s">
        <v>1372</v>
      </c>
      <c r="D385" s="53" t="s">
        <v>1372</v>
      </c>
      <c r="E385" s="53" t="s">
        <v>1372</v>
      </c>
      <c r="F385" s="53" t="s">
        <v>1372</v>
      </c>
      <c r="G385" s="53" t="s">
        <v>1372</v>
      </c>
    </row>
    <row r="386" spans="1:7" x14ac:dyDescent="0.2">
      <c r="A386" s="53" t="s">
        <v>914</v>
      </c>
      <c r="B386" s="53">
        <v>1</v>
      </c>
      <c r="C386" s="53" t="s">
        <v>1372</v>
      </c>
      <c r="D386" s="53" t="s">
        <v>199</v>
      </c>
      <c r="E386" s="53" t="s">
        <v>1372</v>
      </c>
      <c r="F386" s="53" t="s">
        <v>1372</v>
      </c>
      <c r="G386" s="53" t="s">
        <v>1372</v>
      </c>
    </row>
    <row r="387" spans="1:7" x14ac:dyDescent="0.2">
      <c r="A387" s="53" t="s">
        <v>1390</v>
      </c>
      <c r="B387" s="53">
        <v>1</v>
      </c>
      <c r="C387" s="53" t="s">
        <v>1373</v>
      </c>
      <c r="D387" s="53" t="s">
        <v>1373</v>
      </c>
      <c r="E387" s="53" t="s">
        <v>1373</v>
      </c>
      <c r="F387" s="53" t="s">
        <v>1373</v>
      </c>
      <c r="G387" s="53" t="s">
        <v>1373</v>
      </c>
    </row>
    <row r="388" spans="1:7" x14ac:dyDescent="0.2">
      <c r="A388" s="53" t="s">
        <v>914</v>
      </c>
      <c r="B388" s="53">
        <v>0.75</v>
      </c>
      <c r="C388" s="53" t="s">
        <v>1352</v>
      </c>
      <c r="D388" s="53" t="s">
        <v>1352</v>
      </c>
      <c r="E388" s="53" t="s">
        <v>1352</v>
      </c>
      <c r="F388" s="53" t="s">
        <v>1352</v>
      </c>
      <c r="G388" s="53" t="s">
        <v>1372</v>
      </c>
    </row>
    <row r="389" spans="1:7" x14ac:dyDescent="0.2">
      <c r="A389" s="53" t="s">
        <v>914</v>
      </c>
      <c r="B389" s="53">
        <v>0.7</v>
      </c>
      <c r="C389" s="53" t="s">
        <v>1372</v>
      </c>
      <c r="D389" s="53" t="s">
        <v>1352</v>
      </c>
      <c r="E389" s="53" t="s">
        <v>1372</v>
      </c>
      <c r="F389" s="53" t="s">
        <v>1372</v>
      </c>
      <c r="G389" s="53" t="s">
        <v>1372</v>
      </c>
    </row>
    <row r="390" spans="1:7" x14ac:dyDescent="0.2">
      <c r="A390" s="53" t="s">
        <v>914</v>
      </c>
      <c r="B390" s="53">
        <v>0.5</v>
      </c>
      <c r="C390" s="53" t="s">
        <v>1372</v>
      </c>
      <c r="D390" s="53" t="s">
        <v>1372</v>
      </c>
      <c r="E390" s="53" t="s">
        <v>1372</v>
      </c>
      <c r="F390" s="53" t="s">
        <v>1372</v>
      </c>
      <c r="G390" s="53" t="s">
        <v>1352</v>
      </c>
    </row>
    <row r="391" spans="1:7" x14ac:dyDescent="0.2">
      <c r="A391" s="53" t="s">
        <v>914</v>
      </c>
      <c r="B391" s="53">
        <v>0.5</v>
      </c>
      <c r="C391" s="53" t="s">
        <v>1353</v>
      </c>
      <c r="D391" s="53" t="s">
        <v>1353</v>
      </c>
      <c r="E391" s="53" t="s">
        <v>1353</v>
      </c>
      <c r="F391" s="53" t="s">
        <v>1353</v>
      </c>
      <c r="G391" s="53" t="s">
        <v>1353</v>
      </c>
    </row>
    <row r="392" spans="1:7" x14ac:dyDescent="0.2">
      <c r="A392" s="53" t="s">
        <v>1390</v>
      </c>
      <c r="B392" s="53">
        <v>0.5</v>
      </c>
      <c r="C392" s="53" t="s">
        <v>1356</v>
      </c>
      <c r="D392" s="53" t="s">
        <v>1356</v>
      </c>
      <c r="E392" s="53" t="s">
        <v>1356</v>
      </c>
      <c r="F392" s="53" t="s">
        <v>1356</v>
      </c>
      <c r="G392" s="53" t="s">
        <v>1356</v>
      </c>
    </row>
    <row r="393" spans="1:7" x14ac:dyDescent="0.2">
      <c r="A393" s="53" t="s">
        <v>914</v>
      </c>
      <c r="B393" s="53">
        <v>0.5</v>
      </c>
      <c r="C393" s="53" t="s">
        <v>1372</v>
      </c>
      <c r="D393" s="53" t="s">
        <v>1372</v>
      </c>
      <c r="E393" s="53" t="s">
        <v>1353</v>
      </c>
      <c r="F393" s="53" t="s">
        <v>1353</v>
      </c>
      <c r="G393" s="53" t="s">
        <v>1353</v>
      </c>
    </row>
    <row r="394" spans="1:7" x14ac:dyDescent="0.2">
      <c r="A394" s="53" t="s">
        <v>1390</v>
      </c>
      <c r="B394" s="53">
        <v>0.5</v>
      </c>
      <c r="C394" s="53" t="s">
        <v>1373</v>
      </c>
      <c r="D394" s="53" t="s">
        <v>1373</v>
      </c>
      <c r="E394" s="53" t="s">
        <v>1372</v>
      </c>
      <c r="F394" s="53" t="s">
        <v>1372</v>
      </c>
      <c r="G394" s="53" t="s">
        <v>1373</v>
      </c>
    </row>
    <row r="395" spans="1:7" x14ac:dyDescent="0.2">
      <c r="A395" s="53" t="s">
        <v>914</v>
      </c>
      <c r="B395" s="53">
        <v>0.5</v>
      </c>
      <c r="C395" s="53" t="s">
        <v>1372</v>
      </c>
      <c r="D395" s="53" t="s">
        <v>1372</v>
      </c>
      <c r="E395" s="53" t="s">
        <v>1372</v>
      </c>
      <c r="F395" s="53" t="s">
        <v>1372</v>
      </c>
      <c r="G395" s="53" t="s">
        <v>1372</v>
      </c>
    </row>
    <row r="396" spans="1:7" x14ac:dyDescent="0.2">
      <c r="A396" s="53" t="s">
        <v>914</v>
      </c>
      <c r="B396" s="53">
        <v>0.5</v>
      </c>
      <c r="C396" s="53" t="s">
        <v>1372</v>
      </c>
      <c r="D396" s="53" t="s">
        <v>1353</v>
      </c>
      <c r="E396" s="53" t="s">
        <v>1372</v>
      </c>
      <c r="F396" s="53" t="s">
        <v>1353</v>
      </c>
      <c r="G396" s="53" t="s">
        <v>1372</v>
      </c>
    </row>
    <row r="397" spans="1:7" x14ac:dyDescent="0.2">
      <c r="A397" s="53" t="s">
        <v>914</v>
      </c>
      <c r="B397" s="53">
        <v>0.25</v>
      </c>
      <c r="C397" s="53" t="s">
        <v>1372</v>
      </c>
      <c r="D397" s="53" t="s">
        <v>1372</v>
      </c>
      <c r="E397" s="53" t="s">
        <v>1353</v>
      </c>
      <c r="F397" s="53" t="s">
        <v>1372</v>
      </c>
      <c r="G397" s="53" t="s">
        <v>1372</v>
      </c>
    </row>
    <row r="398" spans="1:7" x14ac:dyDescent="0.2">
      <c r="A398" s="53" t="s">
        <v>914</v>
      </c>
      <c r="B398" s="53">
        <v>0.2</v>
      </c>
      <c r="C398" s="53" t="s">
        <v>1372</v>
      </c>
      <c r="D398" s="53" t="s">
        <v>1372</v>
      </c>
      <c r="E398" s="53" t="s">
        <v>1372</v>
      </c>
      <c r="F398" s="53" t="s">
        <v>1372</v>
      </c>
      <c r="G398" s="53" t="s">
        <v>1372</v>
      </c>
    </row>
    <row r="399" spans="1:7" x14ac:dyDescent="0.2">
      <c r="A399" s="53" t="s">
        <v>914</v>
      </c>
      <c r="B399" s="53">
        <v>0.2</v>
      </c>
      <c r="C399" s="53" t="s">
        <v>1372</v>
      </c>
      <c r="D399" s="53" t="s">
        <v>1372</v>
      </c>
      <c r="E399" s="53" t="s">
        <v>1372</v>
      </c>
      <c r="F399" s="53" t="s">
        <v>1372</v>
      </c>
      <c r="G399" s="53" t="s">
        <v>1372</v>
      </c>
    </row>
    <row r="400" spans="1:7" x14ac:dyDescent="0.2">
      <c r="A400" s="53" t="s">
        <v>914</v>
      </c>
      <c r="B400" s="53">
        <v>0.1</v>
      </c>
      <c r="C400" s="53" t="s">
        <v>1372</v>
      </c>
      <c r="D400" s="53" t="s">
        <v>1372</v>
      </c>
      <c r="E400" s="53" t="s">
        <v>1372</v>
      </c>
      <c r="F400" s="53" t="s">
        <v>1372</v>
      </c>
      <c r="G400" s="53" t="s">
        <v>1372</v>
      </c>
    </row>
    <row r="401" spans="1:7" x14ac:dyDescent="0.2">
      <c r="A401" s="53" t="s">
        <v>914</v>
      </c>
      <c r="B401" s="53">
        <v>0.1</v>
      </c>
      <c r="C401" s="53" t="s">
        <v>1372</v>
      </c>
      <c r="D401" s="53" t="s">
        <v>1372</v>
      </c>
      <c r="E401" s="53" t="s">
        <v>1372</v>
      </c>
      <c r="F401" s="53" t="s">
        <v>202</v>
      </c>
      <c r="G401" s="53" t="s">
        <v>1372</v>
      </c>
    </row>
    <row r="402" spans="1:7" x14ac:dyDescent="0.2">
      <c r="A402" s="53" t="s">
        <v>914</v>
      </c>
      <c r="B402" s="53">
        <v>0</v>
      </c>
      <c r="C402" s="53" t="s">
        <v>1372</v>
      </c>
      <c r="D402" s="53" t="s">
        <v>1372</v>
      </c>
      <c r="E402" s="53" t="s">
        <v>1373</v>
      </c>
      <c r="F402" s="53" t="s">
        <v>1373</v>
      </c>
      <c r="G402" s="53" t="s">
        <v>1372</v>
      </c>
    </row>
    <row r="403" spans="1:7" x14ac:dyDescent="0.2">
      <c r="A403" s="53" t="s">
        <v>914</v>
      </c>
      <c r="B403" s="53">
        <v>0</v>
      </c>
      <c r="C403" s="53" t="s">
        <v>1372</v>
      </c>
      <c r="D403" s="53" t="s">
        <v>1372</v>
      </c>
      <c r="E403" s="53" t="s">
        <v>1372</v>
      </c>
      <c r="F403" s="53" t="s">
        <v>1372</v>
      </c>
      <c r="G403" s="53" t="s">
        <v>1372</v>
      </c>
    </row>
  </sheetData>
  <mergeCells count="13">
    <mergeCell ref="I1:S1"/>
    <mergeCell ref="I8:T8"/>
    <mergeCell ref="I12:J12"/>
    <mergeCell ref="L12:N12"/>
    <mergeCell ref="L13:M13"/>
    <mergeCell ref="L19:M19"/>
    <mergeCell ref="L20:M20"/>
    <mergeCell ref="L21:M21"/>
    <mergeCell ref="L14:M14"/>
    <mergeCell ref="L15:M15"/>
    <mergeCell ref="L16:M16"/>
    <mergeCell ref="L17:M17"/>
    <mergeCell ref="L18:M18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1AE4-BA90-48EC-AEF0-922103944331}">
  <dimension ref="A1:S564"/>
  <sheetViews>
    <sheetView workbookViewId="0">
      <selection activeCell="V6" sqref="V6"/>
    </sheetView>
  </sheetViews>
  <sheetFormatPr baseColWidth="10" defaultColWidth="8.83203125" defaultRowHeight="15" x14ac:dyDescent="0.2"/>
  <sheetData>
    <row r="1" spans="1:19" x14ac:dyDescent="0.2">
      <c r="A1" t="s">
        <v>1469</v>
      </c>
    </row>
    <row r="2" spans="1:19" x14ac:dyDescent="0.2">
      <c r="A2" t="s">
        <v>1470</v>
      </c>
      <c r="E2" t="s">
        <v>1471</v>
      </c>
    </row>
    <row r="4" spans="1:19" x14ac:dyDescent="0.2">
      <c r="F4" t="s">
        <v>1472</v>
      </c>
      <c r="I4" t="s">
        <v>1473</v>
      </c>
      <c r="J4" s="1">
        <v>0.25</v>
      </c>
      <c r="K4" t="s">
        <v>1474</v>
      </c>
      <c r="O4" t="s">
        <v>1475</v>
      </c>
      <c r="P4">
        <v>439</v>
      </c>
      <c r="R4" t="s">
        <v>1476</v>
      </c>
      <c r="S4" s="2">
        <v>45383</v>
      </c>
    </row>
    <row r="5" spans="1:19" x14ac:dyDescent="0.2">
      <c r="I5" t="s">
        <v>1477</v>
      </c>
      <c r="J5" s="1">
        <v>0.41666666666666669</v>
      </c>
      <c r="K5" t="s">
        <v>1474</v>
      </c>
      <c r="O5" t="s">
        <v>1478</v>
      </c>
      <c r="P5">
        <v>117</v>
      </c>
      <c r="R5" t="s">
        <v>1479</v>
      </c>
      <c r="S5" s="2">
        <v>45387</v>
      </c>
    </row>
    <row r="7" spans="1:19" x14ac:dyDescent="0.2">
      <c r="D7" t="s">
        <v>1480</v>
      </c>
      <c r="H7" t="s">
        <v>1481</v>
      </c>
      <c r="J7" t="s">
        <v>1482</v>
      </c>
      <c r="L7" t="s">
        <v>1483</v>
      </c>
      <c r="N7" t="s">
        <v>1484</v>
      </c>
      <c r="P7" t="s">
        <v>1485</v>
      </c>
    </row>
    <row r="8" spans="1:19" x14ac:dyDescent="0.2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1486</v>
      </c>
      <c r="J8" t="s">
        <v>7</v>
      </c>
      <c r="K8" t="s">
        <v>1487</v>
      </c>
      <c r="L8" t="s">
        <v>8</v>
      </c>
      <c r="M8" t="s">
        <v>1488</v>
      </c>
      <c r="N8" t="s">
        <v>9</v>
      </c>
      <c r="O8" t="s">
        <v>1489</v>
      </c>
      <c r="P8" t="s">
        <v>10</v>
      </c>
      <c r="Q8" t="s">
        <v>1490</v>
      </c>
      <c r="R8" t="s">
        <v>1491</v>
      </c>
      <c r="S8" t="s">
        <v>1492</v>
      </c>
    </row>
    <row r="9" spans="1:19" x14ac:dyDescent="0.2">
      <c r="A9">
        <v>1</v>
      </c>
      <c r="B9" t="s">
        <v>780</v>
      </c>
      <c r="C9" t="s">
        <v>980</v>
      </c>
      <c r="D9">
        <v>91711</v>
      </c>
      <c r="E9">
        <v>3</v>
      </c>
      <c r="F9">
        <v>10358994</v>
      </c>
      <c r="G9" t="s">
        <v>914</v>
      </c>
      <c r="H9" t="s">
        <v>113</v>
      </c>
      <c r="I9" s="3">
        <v>0.33333333333333331</v>
      </c>
      <c r="J9" t="s">
        <v>113</v>
      </c>
      <c r="K9" s="3">
        <v>0.33333333333333331</v>
      </c>
      <c r="L9" t="s">
        <v>113</v>
      </c>
      <c r="M9" s="3">
        <v>0.33333333333333331</v>
      </c>
      <c r="N9" t="s">
        <v>113</v>
      </c>
      <c r="O9" s="3">
        <v>0.33333333333333331</v>
      </c>
      <c r="P9" t="s">
        <v>113</v>
      </c>
      <c r="Q9" s="3">
        <v>0.33333333333333331</v>
      </c>
      <c r="R9" t="b">
        <v>1</v>
      </c>
      <c r="S9" t="s">
        <v>1493</v>
      </c>
    </row>
    <row r="10" spans="1:19" x14ac:dyDescent="0.2">
      <c r="A10">
        <v>2</v>
      </c>
      <c r="B10" t="s">
        <v>1185</v>
      </c>
      <c r="C10" t="s">
        <v>1494</v>
      </c>
      <c r="D10">
        <v>91711</v>
      </c>
      <c r="E10">
        <v>0.5</v>
      </c>
      <c r="F10">
        <v>103713662</v>
      </c>
      <c r="G10" t="s">
        <v>1495</v>
      </c>
      <c r="H10" t="s">
        <v>92</v>
      </c>
      <c r="I10" s="3">
        <v>0.3125</v>
      </c>
      <c r="J10" t="s">
        <v>92</v>
      </c>
      <c r="K10" s="3">
        <v>0.3125</v>
      </c>
      <c r="L10" t="s">
        <v>92</v>
      </c>
      <c r="M10" s="3">
        <v>0.3125</v>
      </c>
      <c r="N10" t="s">
        <v>92</v>
      </c>
      <c r="O10" s="3">
        <v>0.3125</v>
      </c>
      <c r="P10" t="s">
        <v>92</v>
      </c>
      <c r="Q10" s="3">
        <v>0.3125</v>
      </c>
      <c r="R10" t="b">
        <v>1</v>
      </c>
      <c r="S10" t="s">
        <v>1496</v>
      </c>
    </row>
    <row r="11" spans="1:19" x14ac:dyDescent="0.2">
      <c r="A11">
        <v>3</v>
      </c>
      <c r="B11" t="s">
        <v>1011</v>
      </c>
      <c r="C11" t="s">
        <v>1012</v>
      </c>
      <c r="D11">
        <v>91750</v>
      </c>
      <c r="E11">
        <v>3.5</v>
      </c>
      <c r="F11">
        <v>10370551</v>
      </c>
      <c r="G11" t="s">
        <v>919</v>
      </c>
      <c r="H11" t="s">
        <v>202</v>
      </c>
      <c r="I11" s="3">
        <v>0.25</v>
      </c>
      <c r="J11" t="s">
        <v>113</v>
      </c>
      <c r="K11" s="3">
        <v>0.33333333333333331</v>
      </c>
      <c r="L11" t="s">
        <v>113</v>
      </c>
      <c r="M11" s="3">
        <v>0.33333333333333331</v>
      </c>
      <c r="N11" t="s">
        <v>113</v>
      </c>
      <c r="O11" s="3">
        <v>0.33333333333333331</v>
      </c>
      <c r="P11" t="s">
        <v>113</v>
      </c>
      <c r="Q11" s="3">
        <v>0.33333333333333331</v>
      </c>
      <c r="R11" t="b">
        <v>1</v>
      </c>
      <c r="S11" t="s">
        <v>1497</v>
      </c>
    </row>
    <row r="12" spans="1:19" x14ac:dyDescent="0.2">
      <c r="A12">
        <v>4</v>
      </c>
      <c r="B12" t="s">
        <v>792</v>
      </c>
      <c r="C12" t="s">
        <v>1498</v>
      </c>
      <c r="D12">
        <v>91104</v>
      </c>
      <c r="E12">
        <v>27</v>
      </c>
      <c r="F12">
        <v>10213597</v>
      </c>
      <c r="G12" t="s">
        <v>1495</v>
      </c>
      <c r="H12" t="s">
        <v>1016</v>
      </c>
      <c r="I12" s="3">
        <v>0.33333333333333331</v>
      </c>
      <c r="J12" t="s">
        <v>1016</v>
      </c>
      <c r="K12" s="3">
        <v>0.375</v>
      </c>
      <c r="L12" t="s">
        <v>1016</v>
      </c>
      <c r="M12" s="3">
        <v>0.35416666666666669</v>
      </c>
      <c r="N12" t="s">
        <v>933</v>
      </c>
      <c r="O12" s="3">
        <v>0.45833333333333331</v>
      </c>
      <c r="P12" t="s">
        <v>1016</v>
      </c>
      <c r="Q12" s="3">
        <v>0.375</v>
      </c>
      <c r="R12" t="b">
        <v>1</v>
      </c>
      <c r="S12" t="s">
        <v>1499</v>
      </c>
    </row>
    <row r="13" spans="1:19" x14ac:dyDescent="0.2">
      <c r="A13">
        <v>5</v>
      </c>
      <c r="B13" t="s">
        <v>1204</v>
      </c>
      <c r="C13" t="s">
        <v>1205</v>
      </c>
      <c r="D13">
        <v>91761</v>
      </c>
      <c r="E13">
        <v>17</v>
      </c>
      <c r="F13">
        <v>10308283</v>
      </c>
      <c r="G13" t="s">
        <v>914</v>
      </c>
      <c r="H13" t="s">
        <v>113</v>
      </c>
      <c r="I13" s="3">
        <v>0.33333333333333331</v>
      </c>
      <c r="J13" t="s">
        <v>113</v>
      </c>
      <c r="K13" s="3">
        <v>0.33333333333333331</v>
      </c>
      <c r="L13" t="s">
        <v>113</v>
      </c>
      <c r="M13" s="3">
        <v>0.33333333333333331</v>
      </c>
      <c r="N13" t="s">
        <v>113</v>
      </c>
      <c r="O13" s="3">
        <v>0.33333333333333331</v>
      </c>
      <c r="P13" t="s">
        <v>113</v>
      </c>
      <c r="Q13" s="3">
        <v>0.33333333333333331</v>
      </c>
      <c r="R13" t="b">
        <v>1</v>
      </c>
      <c r="S13" t="s">
        <v>1500</v>
      </c>
    </row>
    <row r="14" spans="1:19" x14ac:dyDescent="0.2">
      <c r="A14">
        <v>6</v>
      </c>
      <c r="B14" t="s">
        <v>928</v>
      </c>
      <c r="C14" t="s">
        <v>411</v>
      </c>
      <c r="D14">
        <v>91786</v>
      </c>
      <c r="E14">
        <v>0.9</v>
      </c>
      <c r="F14">
        <v>10357621</v>
      </c>
      <c r="G14" t="s">
        <v>914</v>
      </c>
      <c r="H14" t="s">
        <v>113</v>
      </c>
      <c r="I14" s="3">
        <v>0.35416666666666669</v>
      </c>
      <c r="J14" t="s">
        <v>113</v>
      </c>
      <c r="K14" s="3">
        <v>0.35416666666666669</v>
      </c>
      <c r="L14" t="s">
        <v>113</v>
      </c>
      <c r="M14" s="3">
        <v>0.35416666666666669</v>
      </c>
      <c r="N14" t="s">
        <v>108</v>
      </c>
      <c r="O14" s="3">
        <v>0.35416666666666669</v>
      </c>
      <c r="P14" t="s">
        <v>92</v>
      </c>
      <c r="Q14" s="3">
        <v>0.35416666666666669</v>
      </c>
      <c r="R14" t="b">
        <v>1</v>
      </c>
      <c r="S14" t="s">
        <v>1501</v>
      </c>
    </row>
    <row r="15" spans="1:19" x14ac:dyDescent="0.2">
      <c r="A15">
        <v>7</v>
      </c>
      <c r="B15" t="s">
        <v>514</v>
      </c>
      <c r="C15" t="s">
        <v>513</v>
      </c>
      <c r="D15">
        <v>91767</v>
      </c>
      <c r="E15">
        <v>2</v>
      </c>
      <c r="F15">
        <v>10345269</v>
      </c>
      <c r="G15" t="s">
        <v>914</v>
      </c>
      <c r="H15" t="s">
        <v>113</v>
      </c>
      <c r="I15" s="3">
        <v>0.33333333333333331</v>
      </c>
      <c r="J15" t="s">
        <v>113</v>
      </c>
      <c r="K15" s="3">
        <v>0.33333333333333331</v>
      </c>
      <c r="L15" t="s">
        <v>113</v>
      </c>
      <c r="M15" s="3">
        <v>0.33333333333333331</v>
      </c>
      <c r="N15" t="s">
        <v>113</v>
      </c>
      <c r="O15" s="3">
        <v>0.33333333333333331</v>
      </c>
      <c r="P15" t="s">
        <v>113</v>
      </c>
      <c r="Q15" s="3">
        <v>0.33333333333333331</v>
      </c>
      <c r="R15" t="b">
        <v>1</v>
      </c>
      <c r="S15" t="s">
        <v>1502</v>
      </c>
    </row>
    <row r="16" spans="1:19" x14ac:dyDescent="0.2">
      <c r="A16">
        <v>8</v>
      </c>
      <c r="B16" t="s">
        <v>1503</v>
      </c>
      <c r="C16" t="s">
        <v>1504</v>
      </c>
      <c r="D16">
        <v>91711</v>
      </c>
      <c r="E16">
        <v>1</v>
      </c>
      <c r="F16">
        <v>100131171</v>
      </c>
      <c r="G16" t="s">
        <v>1495</v>
      </c>
      <c r="H16" t="s">
        <v>92</v>
      </c>
      <c r="I16" s="3">
        <v>0.35416666666666669</v>
      </c>
      <c r="J16" t="s">
        <v>92</v>
      </c>
      <c r="K16" s="3">
        <v>0.35416666666666669</v>
      </c>
      <c r="L16" t="s">
        <v>92</v>
      </c>
      <c r="M16" s="3">
        <v>0.35416666666666669</v>
      </c>
      <c r="N16" t="s">
        <v>92</v>
      </c>
      <c r="O16" s="3">
        <v>0.35416666666666669</v>
      </c>
      <c r="P16" t="s">
        <v>92</v>
      </c>
      <c r="Q16" s="3">
        <v>0.35416666666666669</v>
      </c>
      <c r="R16" t="b">
        <v>1</v>
      </c>
      <c r="S16" t="s">
        <v>1505</v>
      </c>
    </row>
    <row r="17" spans="1:19" x14ac:dyDescent="0.2">
      <c r="A17">
        <v>9</v>
      </c>
      <c r="B17" t="s">
        <v>285</v>
      </c>
      <c r="C17" t="s">
        <v>284</v>
      </c>
      <c r="D17">
        <v>91711</v>
      </c>
      <c r="E17">
        <v>3.5</v>
      </c>
      <c r="F17">
        <v>10370204</v>
      </c>
      <c r="G17" t="s">
        <v>914</v>
      </c>
      <c r="H17" t="s">
        <v>74</v>
      </c>
      <c r="I17" s="3">
        <v>0.33333333333333331</v>
      </c>
      <c r="J17" t="s">
        <v>74</v>
      </c>
      <c r="K17" s="3">
        <v>0.33333333333333331</v>
      </c>
      <c r="L17" t="s">
        <v>74</v>
      </c>
      <c r="M17" s="3">
        <v>0.33333333333333331</v>
      </c>
      <c r="N17" t="s">
        <v>74</v>
      </c>
      <c r="O17" s="3">
        <v>0.33333333333333331</v>
      </c>
      <c r="P17" t="s">
        <v>74</v>
      </c>
      <c r="Q17" s="3">
        <v>0.33333333333333331</v>
      </c>
      <c r="R17" t="b">
        <v>1</v>
      </c>
      <c r="S17" t="s">
        <v>1506</v>
      </c>
    </row>
    <row r="18" spans="1:19" x14ac:dyDescent="0.2">
      <c r="A18">
        <v>10</v>
      </c>
      <c r="B18" t="s">
        <v>433</v>
      </c>
      <c r="C18" t="s">
        <v>432</v>
      </c>
      <c r="D18">
        <v>91737</v>
      </c>
      <c r="E18">
        <v>10</v>
      </c>
      <c r="F18" t="s">
        <v>1121</v>
      </c>
      <c r="G18" t="s">
        <v>914</v>
      </c>
      <c r="H18" t="s">
        <v>113</v>
      </c>
      <c r="I18" s="3">
        <v>0.29166666666666669</v>
      </c>
      <c r="J18" t="s">
        <v>108</v>
      </c>
      <c r="K18" s="3">
        <v>0.29166666666666669</v>
      </c>
      <c r="L18" t="s">
        <v>113</v>
      </c>
      <c r="M18" s="3">
        <v>0.29166666666666669</v>
      </c>
      <c r="N18" t="s">
        <v>113</v>
      </c>
      <c r="O18" s="3">
        <v>0.29166666666666669</v>
      </c>
      <c r="P18" t="s">
        <v>108</v>
      </c>
      <c r="Q18" s="3">
        <v>0.29166666666666669</v>
      </c>
      <c r="R18" t="b">
        <v>1</v>
      </c>
      <c r="S18" t="s">
        <v>1507</v>
      </c>
    </row>
    <row r="19" spans="1:19" x14ac:dyDescent="0.2">
      <c r="A19">
        <v>11</v>
      </c>
      <c r="B19" t="s">
        <v>573</v>
      </c>
      <c r="C19" t="s">
        <v>1017</v>
      </c>
      <c r="D19">
        <v>91767</v>
      </c>
      <c r="E19">
        <v>4</v>
      </c>
      <c r="F19">
        <v>103697231</v>
      </c>
      <c r="G19" t="s">
        <v>914</v>
      </c>
      <c r="H19" t="s">
        <v>113</v>
      </c>
      <c r="I19" s="3">
        <v>0.33333333333333331</v>
      </c>
      <c r="J19" t="s">
        <v>113</v>
      </c>
      <c r="K19" s="3">
        <v>0.33333333333333331</v>
      </c>
      <c r="L19" t="s">
        <v>113</v>
      </c>
      <c r="M19" s="3">
        <v>0.33333333333333331</v>
      </c>
      <c r="N19" t="s">
        <v>113</v>
      </c>
      <c r="O19" s="3">
        <v>0.33333333333333331</v>
      </c>
      <c r="P19" t="s">
        <v>113</v>
      </c>
      <c r="Q19" s="3">
        <v>0.33333333333333331</v>
      </c>
      <c r="R19" t="b">
        <v>1</v>
      </c>
      <c r="S19" t="s">
        <v>1508</v>
      </c>
    </row>
    <row r="20" spans="1:19" x14ac:dyDescent="0.2">
      <c r="A20">
        <v>12</v>
      </c>
      <c r="B20" t="s">
        <v>1509</v>
      </c>
      <c r="C20" t="s">
        <v>1510</v>
      </c>
      <c r="D20">
        <v>91711</v>
      </c>
      <c r="E20">
        <v>1.2</v>
      </c>
      <c r="F20">
        <v>10030143</v>
      </c>
      <c r="G20" t="s">
        <v>1495</v>
      </c>
      <c r="H20" t="s">
        <v>92</v>
      </c>
      <c r="I20" s="3">
        <v>0.33333333333333331</v>
      </c>
      <c r="J20" t="s">
        <v>92</v>
      </c>
      <c r="K20" s="3">
        <v>0.33333333333333331</v>
      </c>
      <c r="L20" t="s">
        <v>92</v>
      </c>
      <c r="M20" s="3">
        <v>0.33333333333333331</v>
      </c>
      <c r="N20" t="s">
        <v>92</v>
      </c>
      <c r="O20" s="3">
        <v>0.33333333333333331</v>
      </c>
      <c r="P20" t="s">
        <v>92</v>
      </c>
      <c r="Q20" s="3">
        <v>0.33333333333333331</v>
      </c>
      <c r="R20" t="b">
        <v>1</v>
      </c>
      <c r="S20" t="s">
        <v>1511</v>
      </c>
    </row>
    <row r="21" spans="1:19" x14ac:dyDescent="0.2">
      <c r="A21">
        <v>13</v>
      </c>
      <c r="B21" t="s">
        <v>803</v>
      </c>
      <c r="C21" t="s">
        <v>1143</v>
      </c>
      <c r="D21">
        <v>91737</v>
      </c>
      <c r="E21">
        <v>11.5</v>
      </c>
      <c r="F21">
        <v>10043135</v>
      </c>
      <c r="G21" t="s">
        <v>914</v>
      </c>
      <c r="H21" t="s">
        <v>113</v>
      </c>
      <c r="I21" s="3">
        <v>0.3125</v>
      </c>
      <c r="J21" t="s">
        <v>113</v>
      </c>
      <c r="K21" s="3">
        <v>0.3125</v>
      </c>
      <c r="L21" t="s">
        <v>113</v>
      </c>
      <c r="M21" s="3">
        <v>0.3125</v>
      </c>
      <c r="N21" t="s">
        <v>113</v>
      </c>
      <c r="O21" s="3">
        <v>0.3125</v>
      </c>
      <c r="P21" t="s">
        <v>103</v>
      </c>
      <c r="Q21" s="3">
        <v>0.3125</v>
      </c>
      <c r="R21" t="b">
        <v>1</v>
      </c>
      <c r="S21" t="s">
        <v>1511</v>
      </c>
    </row>
    <row r="22" spans="1:19" x14ac:dyDescent="0.2">
      <c r="A22">
        <v>14</v>
      </c>
      <c r="B22" t="s">
        <v>424</v>
      </c>
      <c r="C22" t="s">
        <v>423</v>
      </c>
      <c r="D22">
        <v>90065</v>
      </c>
      <c r="E22">
        <v>35</v>
      </c>
      <c r="F22">
        <v>10240226</v>
      </c>
      <c r="G22" t="s">
        <v>914</v>
      </c>
      <c r="H22" t="s">
        <v>74</v>
      </c>
      <c r="I22" s="3">
        <v>0.375</v>
      </c>
      <c r="J22" t="s">
        <v>103</v>
      </c>
      <c r="K22" s="3">
        <v>0.375</v>
      </c>
      <c r="L22" t="s">
        <v>74</v>
      </c>
      <c r="M22" s="3">
        <v>0.375</v>
      </c>
      <c r="N22" t="s">
        <v>74</v>
      </c>
      <c r="O22" s="3">
        <v>0.375</v>
      </c>
      <c r="P22" t="s">
        <v>74</v>
      </c>
      <c r="Q22" s="3">
        <v>0.375</v>
      </c>
      <c r="R22" t="b">
        <v>1</v>
      </c>
      <c r="S22" t="s">
        <v>1512</v>
      </c>
    </row>
    <row r="23" spans="1:19" x14ac:dyDescent="0.2">
      <c r="A23">
        <v>15</v>
      </c>
      <c r="B23" t="s">
        <v>339</v>
      </c>
      <c r="C23" t="s">
        <v>336</v>
      </c>
      <c r="D23">
        <v>91739</v>
      </c>
      <c r="E23">
        <v>14.1</v>
      </c>
      <c r="F23">
        <v>103722461</v>
      </c>
      <c r="G23" t="s">
        <v>914</v>
      </c>
      <c r="H23" t="s">
        <v>74</v>
      </c>
      <c r="I23" s="3">
        <v>0.35416666666666669</v>
      </c>
      <c r="J23" t="s">
        <v>103</v>
      </c>
      <c r="K23" s="3">
        <v>0.33333333333333331</v>
      </c>
      <c r="L23" t="s">
        <v>74</v>
      </c>
      <c r="M23" s="3">
        <v>0.35416666666666669</v>
      </c>
      <c r="N23" t="s">
        <v>103</v>
      </c>
      <c r="O23" s="3">
        <v>0.33333333333333331</v>
      </c>
      <c r="P23" t="s">
        <v>74</v>
      </c>
      <c r="Q23" s="3">
        <v>0.35416666666666669</v>
      </c>
      <c r="R23" t="b">
        <v>1</v>
      </c>
      <c r="S23" t="s">
        <v>1513</v>
      </c>
    </row>
    <row r="24" spans="1:19" x14ac:dyDescent="0.2">
      <c r="A24">
        <v>16</v>
      </c>
      <c r="B24" t="s">
        <v>695</v>
      </c>
      <c r="C24" t="s">
        <v>694</v>
      </c>
      <c r="D24">
        <v>91711</v>
      </c>
      <c r="E24">
        <v>2.6</v>
      </c>
      <c r="F24">
        <v>10373100</v>
      </c>
      <c r="G24" t="s">
        <v>914</v>
      </c>
      <c r="H24" t="s">
        <v>103</v>
      </c>
      <c r="I24" s="3">
        <v>0.33333333333333331</v>
      </c>
      <c r="J24" t="s">
        <v>113</v>
      </c>
      <c r="K24" s="3">
        <v>0.33333333333333331</v>
      </c>
      <c r="L24" t="s">
        <v>113</v>
      </c>
      <c r="M24" s="3">
        <v>0.33333333333333331</v>
      </c>
      <c r="N24" t="s">
        <v>103</v>
      </c>
      <c r="O24" s="3">
        <v>0.33333333333333331</v>
      </c>
      <c r="P24" t="s">
        <v>113</v>
      </c>
      <c r="Q24" s="3">
        <v>0.33333333333333331</v>
      </c>
      <c r="R24" t="b">
        <v>1</v>
      </c>
      <c r="S24" t="s">
        <v>1514</v>
      </c>
    </row>
    <row r="25" spans="1:19" x14ac:dyDescent="0.2">
      <c r="A25">
        <v>17</v>
      </c>
      <c r="B25" t="s">
        <v>981</v>
      </c>
      <c r="C25" t="s">
        <v>982</v>
      </c>
      <c r="D25">
        <v>91768</v>
      </c>
      <c r="E25">
        <v>3</v>
      </c>
      <c r="F25">
        <v>10370217</v>
      </c>
      <c r="G25" t="s">
        <v>914</v>
      </c>
      <c r="H25" t="s">
        <v>113</v>
      </c>
      <c r="I25" s="3">
        <v>0.33333333333333331</v>
      </c>
      <c r="J25" t="s">
        <v>113</v>
      </c>
      <c r="K25" s="3">
        <v>0.33333333333333331</v>
      </c>
      <c r="L25" t="s">
        <v>113</v>
      </c>
      <c r="M25" s="3">
        <v>0.33333333333333331</v>
      </c>
      <c r="N25" t="s">
        <v>113</v>
      </c>
      <c r="O25" s="3">
        <v>0.33333333333333331</v>
      </c>
      <c r="P25" t="s">
        <v>103</v>
      </c>
      <c r="Q25" s="3">
        <v>0.33333333333333331</v>
      </c>
      <c r="R25" t="b">
        <v>1</v>
      </c>
      <c r="S25" t="s">
        <v>1515</v>
      </c>
    </row>
    <row r="26" spans="1:19" x14ac:dyDescent="0.2">
      <c r="A26">
        <v>18</v>
      </c>
      <c r="B26" t="s">
        <v>869</v>
      </c>
      <c r="C26" t="s">
        <v>1379</v>
      </c>
      <c r="D26">
        <v>91767</v>
      </c>
      <c r="E26">
        <v>4.25</v>
      </c>
      <c r="F26">
        <v>100980532</v>
      </c>
      <c r="G26" t="s">
        <v>1495</v>
      </c>
      <c r="H26" t="s">
        <v>103</v>
      </c>
      <c r="I26" s="3">
        <v>0.33333333333333331</v>
      </c>
      <c r="J26" t="s">
        <v>113</v>
      </c>
      <c r="K26" s="3">
        <v>0.39583333333333331</v>
      </c>
      <c r="L26" t="s">
        <v>113</v>
      </c>
      <c r="M26" s="3">
        <v>0.375</v>
      </c>
      <c r="N26" t="s">
        <v>103</v>
      </c>
      <c r="O26" s="3">
        <v>0.33333333333333331</v>
      </c>
      <c r="P26" t="s">
        <v>113</v>
      </c>
      <c r="Q26" s="3">
        <v>0.39583333333333331</v>
      </c>
      <c r="R26" t="b">
        <v>1</v>
      </c>
      <c r="S26" t="s">
        <v>1516</v>
      </c>
    </row>
    <row r="27" spans="1:19" x14ac:dyDescent="0.2">
      <c r="A27">
        <v>19</v>
      </c>
      <c r="B27" t="s">
        <v>569</v>
      </c>
      <c r="C27" t="s">
        <v>568</v>
      </c>
      <c r="D27">
        <v>91711</v>
      </c>
      <c r="E27">
        <v>26</v>
      </c>
      <c r="F27">
        <v>10163419</v>
      </c>
      <c r="G27" t="s">
        <v>914</v>
      </c>
      <c r="H27" t="s">
        <v>113</v>
      </c>
      <c r="I27" s="3">
        <v>0.33333333333333331</v>
      </c>
      <c r="J27" t="s">
        <v>113</v>
      </c>
      <c r="K27" s="3">
        <v>0.33333333333333331</v>
      </c>
      <c r="L27" t="s">
        <v>113</v>
      </c>
      <c r="M27" s="3">
        <v>0.33333333333333331</v>
      </c>
      <c r="N27" t="s">
        <v>113</v>
      </c>
      <c r="O27" s="3">
        <v>0.33333333333333331</v>
      </c>
      <c r="P27" t="s">
        <v>113</v>
      </c>
      <c r="Q27" s="3">
        <v>0.33333333333333331</v>
      </c>
      <c r="R27" t="b">
        <v>1</v>
      </c>
      <c r="S27" t="s">
        <v>1517</v>
      </c>
    </row>
    <row r="28" spans="1:19" x14ac:dyDescent="0.2">
      <c r="A28">
        <v>20</v>
      </c>
      <c r="B28" t="s">
        <v>1274</v>
      </c>
      <c r="C28" t="s">
        <v>856</v>
      </c>
      <c r="D28">
        <v>91101</v>
      </c>
      <c r="E28">
        <v>30</v>
      </c>
      <c r="F28">
        <v>10373128</v>
      </c>
      <c r="G28" t="s">
        <v>914</v>
      </c>
      <c r="H28" t="s">
        <v>103</v>
      </c>
      <c r="I28" s="3">
        <v>0.33333333333333331</v>
      </c>
      <c r="J28" t="s">
        <v>74</v>
      </c>
      <c r="K28" s="3">
        <v>0.33333333333333331</v>
      </c>
      <c r="L28" t="s">
        <v>74</v>
      </c>
      <c r="M28" s="3">
        <v>0.33333333333333331</v>
      </c>
      <c r="N28" t="s">
        <v>103</v>
      </c>
      <c r="O28" s="3">
        <v>0.33333333333333331</v>
      </c>
      <c r="P28" t="s">
        <v>74</v>
      </c>
      <c r="Q28" s="3">
        <v>0.33333333333333331</v>
      </c>
      <c r="R28" t="b">
        <v>1</v>
      </c>
      <c r="S28" t="s">
        <v>1518</v>
      </c>
    </row>
    <row r="29" spans="1:19" x14ac:dyDescent="0.2">
      <c r="A29">
        <v>21</v>
      </c>
      <c r="B29" t="s">
        <v>576</v>
      </c>
      <c r="C29" t="s">
        <v>572</v>
      </c>
      <c r="D29">
        <v>93505</v>
      </c>
      <c r="E29">
        <v>120</v>
      </c>
      <c r="F29">
        <v>10043435</v>
      </c>
      <c r="G29" t="s">
        <v>914</v>
      </c>
      <c r="H29" t="s">
        <v>113</v>
      </c>
      <c r="I29" s="3">
        <v>0.33333333333333331</v>
      </c>
      <c r="J29" t="s">
        <v>113</v>
      </c>
      <c r="K29" s="3">
        <v>0.33333333333333331</v>
      </c>
      <c r="L29" t="s">
        <v>113</v>
      </c>
      <c r="M29" s="3">
        <v>0.33333333333333331</v>
      </c>
      <c r="N29" t="s">
        <v>113</v>
      </c>
      <c r="O29" s="3">
        <v>0.33333333333333331</v>
      </c>
      <c r="P29" t="s">
        <v>113</v>
      </c>
      <c r="Q29" s="3">
        <v>0.33333333333333331</v>
      </c>
      <c r="R29" t="b">
        <v>1</v>
      </c>
      <c r="S29" t="s">
        <v>1519</v>
      </c>
    </row>
    <row r="30" spans="1:19" x14ac:dyDescent="0.2">
      <c r="A30">
        <v>22</v>
      </c>
      <c r="B30" t="s">
        <v>1243</v>
      </c>
      <c r="C30" t="s">
        <v>200</v>
      </c>
      <c r="D30">
        <v>90603</v>
      </c>
      <c r="E30">
        <v>24</v>
      </c>
      <c r="F30">
        <v>103492297</v>
      </c>
      <c r="G30" t="s">
        <v>914</v>
      </c>
      <c r="H30" t="s">
        <v>103</v>
      </c>
      <c r="I30" s="3">
        <v>0.33333333333333331</v>
      </c>
      <c r="J30" t="s">
        <v>113</v>
      </c>
      <c r="K30" s="3">
        <v>0.33333333333333331</v>
      </c>
      <c r="L30" t="s">
        <v>103</v>
      </c>
      <c r="M30" s="3">
        <v>0.33333333333333331</v>
      </c>
      <c r="N30" t="s">
        <v>113</v>
      </c>
      <c r="O30" s="3">
        <v>0.33333333333333331</v>
      </c>
      <c r="P30" t="s">
        <v>113</v>
      </c>
      <c r="Q30" s="3">
        <v>0.33333333333333331</v>
      </c>
      <c r="R30" t="b">
        <v>1</v>
      </c>
      <c r="S30" t="s">
        <v>1520</v>
      </c>
    </row>
    <row r="31" spans="1:19" x14ac:dyDescent="0.2">
      <c r="A31">
        <v>23</v>
      </c>
      <c r="B31" t="s">
        <v>88</v>
      </c>
      <c r="C31" t="s">
        <v>1521</v>
      </c>
      <c r="D31">
        <v>91711</v>
      </c>
      <c r="E31">
        <v>2.25</v>
      </c>
      <c r="F31">
        <v>101799741</v>
      </c>
      <c r="G31" t="s">
        <v>1495</v>
      </c>
      <c r="H31" t="s">
        <v>98</v>
      </c>
      <c r="I31" s="3">
        <v>0.3125</v>
      </c>
      <c r="J31" t="s">
        <v>98</v>
      </c>
      <c r="K31" s="3">
        <v>0.3125</v>
      </c>
      <c r="L31" t="s">
        <v>98</v>
      </c>
      <c r="M31" s="3">
        <v>0.3125</v>
      </c>
      <c r="N31" t="s">
        <v>98</v>
      </c>
      <c r="O31" s="3">
        <v>0.3125</v>
      </c>
      <c r="P31" t="s">
        <v>98</v>
      </c>
      <c r="Q31" s="3">
        <v>0.3125</v>
      </c>
      <c r="R31" t="b">
        <v>1</v>
      </c>
      <c r="S31" t="s">
        <v>1522</v>
      </c>
    </row>
    <row r="32" spans="1:19" x14ac:dyDescent="0.2">
      <c r="A32">
        <v>24</v>
      </c>
      <c r="B32" t="s">
        <v>740</v>
      </c>
      <c r="C32" t="s">
        <v>738</v>
      </c>
      <c r="D32">
        <v>91773</v>
      </c>
      <c r="E32">
        <v>8.5</v>
      </c>
      <c r="F32">
        <v>103730571</v>
      </c>
      <c r="G32" t="s">
        <v>914</v>
      </c>
      <c r="H32" t="s">
        <v>113</v>
      </c>
      <c r="I32" s="3">
        <v>0.33333333333333331</v>
      </c>
      <c r="J32" t="s">
        <v>113</v>
      </c>
      <c r="K32" s="3">
        <v>0.33333333333333331</v>
      </c>
      <c r="L32" t="s">
        <v>113</v>
      </c>
      <c r="M32" s="3">
        <v>0.33333333333333331</v>
      </c>
      <c r="N32" t="s">
        <v>113</v>
      </c>
      <c r="O32" s="3">
        <v>0.33333333333333331</v>
      </c>
      <c r="P32" t="s">
        <v>113</v>
      </c>
      <c r="Q32" s="3">
        <v>0.33333333333333331</v>
      </c>
      <c r="R32" t="b">
        <v>1</v>
      </c>
      <c r="S32" t="s">
        <v>1523</v>
      </c>
    </row>
    <row r="33" spans="1:19" x14ac:dyDescent="0.2">
      <c r="A33">
        <v>25</v>
      </c>
      <c r="B33" t="s">
        <v>1350</v>
      </c>
      <c r="C33" t="s">
        <v>1524</v>
      </c>
      <c r="D33">
        <v>91711</v>
      </c>
      <c r="E33">
        <v>1</v>
      </c>
      <c r="F33">
        <v>103544851</v>
      </c>
      <c r="G33" t="s">
        <v>1495</v>
      </c>
      <c r="H33" t="s">
        <v>92</v>
      </c>
      <c r="I33" s="3">
        <v>0.375</v>
      </c>
      <c r="J33" t="s">
        <v>92</v>
      </c>
      <c r="K33" s="3">
        <v>0.375</v>
      </c>
      <c r="L33" t="s">
        <v>92</v>
      </c>
      <c r="M33" s="3">
        <v>0.375</v>
      </c>
      <c r="N33" t="s">
        <v>92</v>
      </c>
      <c r="O33" s="3">
        <v>0.375</v>
      </c>
      <c r="P33" t="s">
        <v>92</v>
      </c>
      <c r="Q33" s="3">
        <v>0.375</v>
      </c>
      <c r="R33" t="b">
        <v>1</v>
      </c>
      <c r="S33" t="s">
        <v>1525</v>
      </c>
    </row>
    <row r="34" spans="1:19" x14ac:dyDescent="0.2">
      <c r="A34">
        <v>26</v>
      </c>
      <c r="B34" t="s">
        <v>1070</v>
      </c>
      <c r="C34" t="s">
        <v>1071</v>
      </c>
      <c r="D34">
        <v>91730</v>
      </c>
      <c r="E34">
        <v>7</v>
      </c>
      <c r="F34">
        <v>10089053</v>
      </c>
      <c r="G34" t="s">
        <v>914</v>
      </c>
      <c r="H34" t="s">
        <v>113</v>
      </c>
      <c r="I34" s="3">
        <v>0.33333333333333331</v>
      </c>
      <c r="J34" t="s">
        <v>113</v>
      </c>
      <c r="K34" s="3">
        <v>0.33333333333333331</v>
      </c>
      <c r="L34" t="s">
        <v>113</v>
      </c>
      <c r="M34" s="3">
        <v>0.33333333333333331</v>
      </c>
      <c r="N34" t="s">
        <v>113</v>
      </c>
      <c r="O34" s="3">
        <v>0.33333333333333331</v>
      </c>
      <c r="P34" t="s">
        <v>113</v>
      </c>
      <c r="Q34" s="3">
        <v>0.33333333333333331</v>
      </c>
      <c r="R34" t="b">
        <v>1</v>
      </c>
      <c r="S34" t="s">
        <v>1526</v>
      </c>
    </row>
    <row r="35" spans="1:19" x14ac:dyDescent="0.2">
      <c r="A35">
        <v>27</v>
      </c>
      <c r="B35" t="s">
        <v>1193</v>
      </c>
      <c r="C35" t="s">
        <v>1194</v>
      </c>
      <c r="D35">
        <v>92336</v>
      </c>
      <c r="E35">
        <v>16</v>
      </c>
      <c r="F35">
        <v>10351444</v>
      </c>
      <c r="G35" t="s">
        <v>914</v>
      </c>
      <c r="H35" t="s">
        <v>113</v>
      </c>
      <c r="I35" s="3">
        <v>0.33333333333333331</v>
      </c>
      <c r="J35" t="s">
        <v>113</v>
      </c>
      <c r="K35" s="3">
        <v>0.33333333333333331</v>
      </c>
      <c r="L35" t="s">
        <v>113</v>
      </c>
      <c r="M35" s="3">
        <v>0.33333333333333331</v>
      </c>
      <c r="N35" t="s">
        <v>113</v>
      </c>
      <c r="O35" s="3">
        <v>0.33333333333333331</v>
      </c>
      <c r="P35" t="s">
        <v>113</v>
      </c>
      <c r="Q35" s="3">
        <v>0.33333333333333331</v>
      </c>
      <c r="R35" t="b">
        <v>1</v>
      </c>
      <c r="S35" t="s">
        <v>1527</v>
      </c>
    </row>
    <row r="36" spans="1:19" x14ac:dyDescent="0.2">
      <c r="A36">
        <v>28</v>
      </c>
      <c r="B36" t="s">
        <v>951</v>
      </c>
      <c r="C36" t="s">
        <v>952</v>
      </c>
      <c r="D36">
        <v>91711</v>
      </c>
      <c r="E36">
        <v>1.5</v>
      </c>
      <c r="F36">
        <v>102039821</v>
      </c>
      <c r="G36" t="s">
        <v>914</v>
      </c>
      <c r="H36" t="s">
        <v>92</v>
      </c>
      <c r="I36" s="3">
        <v>0.39583333333333331</v>
      </c>
      <c r="J36" t="s">
        <v>113</v>
      </c>
      <c r="K36" s="3">
        <v>0.39583333333333331</v>
      </c>
      <c r="L36" t="s">
        <v>92</v>
      </c>
      <c r="M36" s="3">
        <v>0.39583333333333331</v>
      </c>
      <c r="N36" t="s">
        <v>113</v>
      </c>
      <c r="O36" s="3">
        <v>0.39583333333333331</v>
      </c>
      <c r="P36" t="s">
        <v>113</v>
      </c>
      <c r="Q36" s="3">
        <v>0.39583333333333331</v>
      </c>
      <c r="R36" t="b">
        <v>1</v>
      </c>
      <c r="S36" t="s">
        <v>1528</v>
      </c>
    </row>
    <row r="37" spans="1:19" x14ac:dyDescent="0.2">
      <c r="A37">
        <v>29</v>
      </c>
      <c r="B37" t="s">
        <v>1293</v>
      </c>
      <c r="C37" t="s">
        <v>1294</v>
      </c>
      <c r="D37">
        <v>91001</v>
      </c>
      <c r="E37">
        <v>35</v>
      </c>
      <c r="F37">
        <v>10366423</v>
      </c>
      <c r="G37" t="s">
        <v>914</v>
      </c>
      <c r="H37" t="s">
        <v>74</v>
      </c>
      <c r="I37" s="3">
        <v>0.375</v>
      </c>
      <c r="J37" t="s">
        <v>74</v>
      </c>
      <c r="K37" s="3">
        <v>0.375</v>
      </c>
      <c r="L37" t="s">
        <v>74</v>
      </c>
      <c r="M37" s="3">
        <v>0.375</v>
      </c>
      <c r="N37" t="s">
        <v>103</v>
      </c>
      <c r="O37" s="3">
        <v>0.35416666666666669</v>
      </c>
      <c r="P37" t="s">
        <v>74</v>
      </c>
      <c r="Q37" s="3">
        <v>0.375</v>
      </c>
      <c r="R37" t="b">
        <v>1</v>
      </c>
      <c r="S37" t="s">
        <v>1529</v>
      </c>
    </row>
    <row r="38" spans="1:19" x14ac:dyDescent="0.2">
      <c r="A38">
        <v>30</v>
      </c>
      <c r="B38" t="s">
        <v>690</v>
      </c>
      <c r="C38" t="s">
        <v>689</v>
      </c>
      <c r="D38">
        <v>91767</v>
      </c>
      <c r="E38">
        <v>3.5</v>
      </c>
      <c r="F38">
        <v>10346409</v>
      </c>
      <c r="G38" t="s">
        <v>914</v>
      </c>
      <c r="H38" t="s">
        <v>74</v>
      </c>
      <c r="I38" s="3">
        <v>0.33333333333333331</v>
      </c>
      <c r="J38" t="s">
        <v>74</v>
      </c>
      <c r="K38" s="3">
        <v>0.33333333333333331</v>
      </c>
      <c r="L38" t="s">
        <v>74</v>
      </c>
      <c r="M38" s="3">
        <v>0.33333333333333331</v>
      </c>
      <c r="N38" t="s">
        <v>74</v>
      </c>
      <c r="O38" s="3">
        <v>0.33333333333333331</v>
      </c>
      <c r="P38" t="s">
        <v>74</v>
      </c>
      <c r="Q38" s="3">
        <v>0.33333333333333331</v>
      </c>
      <c r="R38" t="b">
        <v>1</v>
      </c>
      <c r="S38" t="s">
        <v>1530</v>
      </c>
    </row>
    <row r="39" spans="1:19" x14ac:dyDescent="0.2">
      <c r="A39">
        <v>31</v>
      </c>
      <c r="B39" t="s">
        <v>775</v>
      </c>
      <c r="C39" t="s">
        <v>774</v>
      </c>
      <c r="D39">
        <v>91723</v>
      </c>
      <c r="E39">
        <v>12</v>
      </c>
      <c r="F39">
        <v>103708681</v>
      </c>
      <c r="G39" t="s">
        <v>914</v>
      </c>
      <c r="H39" t="s">
        <v>113</v>
      </c>
      <c r="I39" s="3">
        <v>0.33333333333333331</v>
      </c>
      <c r="J39" t="s">
        <v>113</v>
      </c>
      <c r="K39" s="3">
        <v>0.33333333333333331</v>
      </c>
      <c r="L39" t="s">
        <v>113</v>
      </c>
      <c r="M39" s="3">
        <v>0.33333333333333331</v>
      </c>
      <c r="N39" t="s">
        <v>113</v>
      </c>
      <c r="O39" s="3">
        <v>0.33333333333333331</v>
      </c>
      <c r="P39" t="s">
        <v>113</v>
      </c>
      <c r="Q39" s="3">
        <v>0.33333333333333331</v>
      </c>
      <c r="R39" t="b">
        <v>1</v>
      </c>
      <c r="S39" t="s">
        <v>1531</v>
      </c>
    </row>
    <row r="40" spans="1:19" x14ac:dyDescent="0.2">
      <c r="A40">
        <v>32</v>
      </c>
      <c r="B40" t="s">
        <v>1144</v>
      </c>
      <c r="C40" t="s">
        <v>430</v>
      </c>
      <c r="D40">
        <v>91739</v>
      </c>
      <c r="E40">
        <v>12</v>
      </c>
      <c r="F40">
        <v>10334736</v>
      </c>
      <c r="G40" t="s">
        <v>914</v>
      </c>
      <c r="H40" t="s">
        <v>98</v>
      </c>
      <c r="I40" s="3">
        <v>0.33333333333333331</v>
      </c>
      <c r="J40" t="s">
        <v>98</v>
      </c>
      <c r="K40" s="3">
        <v>0.33333333333333331</v>
      </c>
      <c r="L40" t="s">
        <v>98</v>
      </c>
      <c r="M40" s="3">
        <v>0.33333333333333331</v>
      </c>
      <c r="N40" t="s">
        <v>103</v>
      </c>
      <c r="O40" s="3">
        <v>0.33333333333333331</v>
      </c>
      <c r="P40" t="s">
        <v>103</v>
      </c>
      <c r="Q40" s="3">
        <v>0.33333333333333331</v>
      </c>
      <c r="R40" t="b">
        <v>1</v>
      </c>
      <c r="S40" t="s">
        <v>1532</v>
      </c>
    </row>
    <row r="41" spans="1:19" x14ac:dyDescent="0.2">
      <c r="A41">
        <v>33</v>
      </c>
      <c r="B41" t="s">
        <v>1033</v>
      </c>
      <c r="C41" t="s">
        <v>881</v>
      </c>
      <c r="D41">
        <v>91784</v>
      </c>
      <c r="E41">
        <v>4.5</v>
      </c>
      <c r="F41">
        <v>102488281</v>
      </c>
      <c r="G41" t="s">
        <v>914</v>
      </c>
      <c r="H41" t="s">
        <v>113</v>
      </c>
      <c r="I41" s="3">
        <v>0.33333333333333331</v>
      </c>
      <c r="J41" t="s">
        <v>113</v>
      </c>
      <c r="K41" s="3">
        <v>0.33333333333333331</v>
      </c>
      <c r="L41" t="s">
        <v>113</v>
      </c>
      <c r="M41" s="3">
        <v>0.33333333333333331</v>
      </c>
      <c r="N41" t="s">
        <v>113</v>
      </c>
      <c r="O41" s="3">
        <v>0.33333333333333331</v>
      </c>
      <c r="P41" t="s">
        <v>113</v>
      </c>
      <c r="Q41" s="3">
        <v>0.33333333333333331</v>
      </c>
      <c r="R41" t="b">
        <v>1</v>
      </c>
      <c r="S41" t="s">
        <v>1533</v>
      </c>
    </row>
    <row r="42" spans="1:19" x14ac:dyDescent="0.2">
      <c r="A42">
        <v>34</v>
      </c>
      <c r="B42" t="s">
        <v>95</v>
      </c>
      <c r="C42" t="s">
        <v>94</v>
      </c>
      <c r="D42">
        <v>92373</v>
      </c>
      <c r="E42">
        <v>32</v>
      </c>
      <c r="F42">
        <v>10346405</v>
      </c>
      <c r="G42" t="s">
        <v>914</v>
      </c>
      <c r="H42" t="s">
        <v>85</v>
      </c>
      <c r="I42" s="3">
        <v>0.3125</v>
      </c>
      <c r="J42" t="s">
        <v>85</v>
      </c>
      <c r="K42" s="3">
        <v>0.3125</v>
      </c>
      <c r="L42" t="s">
        <v>85</v>
      </c>
      <c r="M42" s="3">
        <v>0.3125</v>
      </c>
      <c r="N42" t="s">
        <v>85</v>
      </c>
      <c r="O42" s="3">
        <v>0.3125</v>
      </c>
      <c r="P42" t="s">
        <v>103</v>
      </c>
      <c r="Q42" s="3">
        <v>0.3125</v>
      </c>
      <c r="R42" t="b">
        <v>1</v>
      </c>
      <c r="S42" t="s">
        <v>1534</v>
      </c>
    </row>
    <row r="43" spans="1:19" x14ac:dyDescent="0.2">
      <c r="A43">
        <v>35</v>
      </c>
      <c r="B43" t="s">
        <v>266</v>
      </c>
      <c r="C43" t="s">
        <v>265</v>
      </c>
      <c r="D43">
        <v>91711</v>
      </c>
      <c r="E43">
        <v>1</v>
      </c>
      <c r="F43">
        <v>10341303</v>
      </c>
      <c r="G43" t="s">
        <v>914</v>
      </c>
      <c r="H43" t="s">
        <v>113</v>
      </c>
      <c r="I43" s="3">
        <v>0.33333333333333331</v>
      </c>
      <c r="J43" t="s">
        <v>103</v>
      </c>
      <c r="K43" s="3">
        <v>0.33333333333333331</v>
      </c>
      <c r="L43" t="s">
        <v>92</v>
      </c>
      <c r="M43" s="3">
        <v>0.33333333333333331</v>
      </c>
      <c r="N43" t="s">
        <v>113</v>
      </c>
      <c r="O43" s="3">
        <v>0.33333333333333331</v>
      </c>
      <c r="P43" t="s">
        <v>85</v>
      </c>
      <c r="Q43" s="3">
        <v>0.33333333333333331</v>
      </c>
      <c r="R43" t="b">
        <v>1</v>
      </c>
      <c r="S43" t="s">
        <v>1535</v>
      </c>
    </row>
    <row r="44" spans="1:19" x14ac:dyDescent="0.2">
      <c r="A44">
        <v>36</v>
      </c>
      <c r="B44" t="s">
        <v>255</v>
      </c>
      <c r="C44" t="s">
        <v>254</v>
      </c>
      <c r="D44">
        <v>91711</v>
      </c>
      <c r="E44">
        <v>0.5</v>
      </c>
      <c r="F44" t="s">
        <v>920</v>
      </c>
      <c r="G44" t="s">
        <v>914</v>
      </c>
      <c r="H44" t="s">
        <v>92</v>
      </c>
      <c r="I44" s="3">
        <v>0.33333333333333331</v>
      </c>
      <c r="J44" t="s">
        <v>92</v>
      </c>
      <c r="K44" s="3">
        <v>0.33333333333333331</v>
      </c>
      <c r="L44" t="s">
        <v>92</v>
      </c>
      <c r="M44" s="3">
        <v>0.33333333333333331</v>
      </c>
      <c r="N44" t="s">
        <v>92</v>
      </c>
      <c r="O44" s="3">
        <v>0.33333333333333331</v>
      </c>
      <c r="P44" t="s">
        <v>92</v>
      </c>
      <c r="Q44" s="3">
        <v>0.33333333333333331</v>
      </c>
      <c r="R44" t="b">
        <v>1</v>
      </c>
      <c r="S44" t="s">
        <v>1536</v>
      </c>
    </row>
    <row r="45" spans="1:19" x14ac:dyDescent="0.2">
      <c r="A45">
        <v>37</v>
      </c>
      <c r="B45" t="s">
        <v>1018</v>
      </c>
      <c r="C45" t="s">
        <v>1019</v>
      </c>
      <c r="D45">
        <v>91711</v>
      </c>
      <c r="E45">
        <v>4</v>
      </c>
      <c r="F45">
        <v>102897691</v>
      </c>
      <c r="G45" t="s">
        <v>914</v>
      </c>
      <c r="H45" t="s">
        <v>933</v>
      </c>
      <c r="I45" s="3">
        <v>0.35416666666666669</v>
      </c>
      <c r="J45" t="s">
        <v>103</v>
      </c>
      <c r="K45" s="3">
        <v>0.33333333333333331</v>
      </c>
      <c r="L45" t="s">
        <v>74</v>
      </c>
      <c r="M45" s="3">
        <v>0.35416666666666669</v>
      </c>
      <c r="N45" t="s">
        <v>74</v>
      </c>
      <c r="O45" s="3">
        <v>0.35416666666666669</v>
      </c>
      <c r="P45" t="s">
        <v>933</v>
      </c>
      <c r="Q45" s="3">
        <v>0.35416666666666669</v>
      </c>
      <c r="R45" t="b">
        <v>1</v>
      </c>
      <c r="S45" t="s">
        <v>1537</v>
      </c>
    </row>
    <row r="46" spans="1:19" x14ac:dyDescent="0.2">
      <c r="A46">
        <v>38</v>
      </c>
      <c r="B46" t="s">
        <v>609</v>
      </c>
      <c r="C46" t="s">
        <v>394</v>
      </c>
      <c r="D46">
        <v>91709</v>
      </c>
      <c r="E46">
        <v>13</v>
      </c>
      <c r="F46">
        <v>10368544</v>
      </c>
      <c r="G46" t="s">
        <v>914</v>
      </c>
      <c r="H46" t="s">
        <v>113</v>
      </c>
      <c r="I46" s="3">
        <v>0.3125</v>
      </c>
      <c r="J46" t="s">
        <v>113</v>
      </c>
      <c r="K46" s="3">
        <v>0.3125</v>
      </c>
      <c r="L46" t="s">
        <v>113</v>
      </c>
      <c r="M46" s="3">
        <v>0.3125</v>
      </c>
      <c r="N46" t="s">
        <v>113</v>
      </c>
      <c r="O46" s="3">
        <v>0.3125</v>
      </c>
      <c r="P46" t="s">
        <v>113</v>
      </c>
      <c r="Q46" s="3">
        <v>0.3125</v>
      </c>
      <c r="R46" t="b">
        <v>1</v>
      </c>
      <c r="S46" t="s">
        <v>1538</v>
      </c>
    </row>
    <row r="47" spans="1:19" x14ac:dyDescent="0.2">
      <c r="A47">
        <v>39</v>
      </c>
      <c r="B47" t="s">
        <v>342</v>
      </c>
      <c r="C47" t="s">
        <v>341</v>
      </c>
      <c r="D47">
        <v>91105</v>
      </c>
      <c r="E47">
        <v>17</v>
      </c>
      <c r="F47" t="s">
        <v>344</v>
      </c>
      <c r="G47" t="s">
        <v>914</v>
      </c>
      <c r="H47" t="s">
        <v>113</v>
      </c>
      <c r="I47" s="3">
        <v>0.35416666666666669</v>
      </c>
      <c r="J47" t="s">
        <v>113</v>
      </c>
      <c r="K47" s="3">
        <v>0.35416666666666669</v>
      </c>
      <c r="L47" t="s">
        <v>113</v>
      </c>
      <c r="M47" s="3">
        <v>0.35416666666666669</v>
      </c>
      <c r="N47" t="s">
        <v>113</v>
      </c>
      <c r="O47" s="3">
        <v>0.35416666666666669</v>
      </c>
      <c r="P47" t="s">
        <v>113</v>
      </c>
      <c r="Q47" s="3">
        <v>0.35416666666666669</v>
      </c>
      <c r="R47" t="b">
        <v>1</v>
      </c>
      <c r="S47" t="s">
        <v>1539</v>
      </c>
    </row>
    <row r="48" spans="1:19" x14ac:dyDescent="0.2">
      <c r="A48">
        <v>40</v>
      </c>
      <c r="B48" t="s">
        <v>372</v>
      </c>
      <c r="C48" t="s">
        <v>371</v>
      </c>
      <c r="D48">
        <v>91762</v>
      </c>
      <c r="E48">
        <v>5</v>
      </c>
      <c r="F48">
        <v>10358767</v>
      </c>
      <c r="G48" t="s">
        <v>914</v>
      </c>
      <c r="H48" t="s">
        <v>113</v>
      </c>
      <c r="I48" s="3">
        <v>0.41666666666666669</v>
      </c>
      <c r="J48" t="s">
        <v>113</v>
      </c>
      <c r="K48" s="3">
        <v>0.35416666666666669</v>
      </c>
      <c r="L48" t="s">
        <v>103</v>
      </c>
      <c r="M48" s="3">
        <v>0.33333333333333331</v>
      </c>
      <c r="N48" t="s">
        <v>113</v>
      </c>
      <c r="O48" s="3">
        <v>0.35416666666666669</v>
      </c>
      <c r="P48" t="s">
        <v>113</v>
      </c>
      <c r="Q48" s="3">
        <v>0.35416666666666669</v>
      </c>
      <c r="R48" t="b">
        <v>1</v>
      </c>
      <c r="S48" t="s">
        <v>1540</v>
      </c>
    </row>
    <row r="49" spans="1:19" x14ac:dyDescent="0.2">
      <c r="A49">
        <v>41</v>
      </c>
      <c r="B49" t="s">
        <v>1541</v>
      </c>
      <c r="C49" t="s">
        <v>1343</v>
      </c>
      <c r="D49">
        <v>91711</v>
      </c>
      <c r="E49">
        <v>3</v>
      </c>
      <c r="F49">
        <v>100205141</v>
      </c>
      <c r="G49" t="s">
        <v>1495</v>
      </c>
      <c r="H49" t="s">
        <v>113</v>
      </c>
      <c r="I49" s="3">
        <v>0.375</v>
      </c>
      <c r="J49" t="s">
        <v>113</v>
      </c>
      <c r="K49" s="3">
        <v>0.375</v>
      </c>
      <c r="L49" t="s">
        <v>113</v>
      </c>
      <c r="M49" s="3">
        <v>0.35416666666666669</v>
      </c>
      <c r="N49" t="s">
        <v>113</v>
      </c>
      <c r="O49" s="3">
        <v>0.39583333333333331</v>
      </c>
      <c r="P49" t="s">
        <v>113</v>
      </c>
      <c r="Q49" s="3">
        <v>0.375</v>
      </c>
      <c r="R49" t="b">
        <v>1</v>
      </c>
      <c r="S49" t="s">
        <v>1542</v>
      </c>
    </row>
    <row r="50" spans="1:19" x14ac:dyDescent="0.2">
      <c r="A50">
        <v>42</v>
      </c>
      <c r="B50" t="s">
        <v>627</v>
      </c>
      <c r="C50" t="s">
        <v>626</v>
      </c>
      <c r="D50">
        <v>91762</v>
      </c>
      <c r="E50">
        <v>5</v>
      </c>
      <c r="F50">
        <v>103454181</v>
      </c>
      <c r="G50" t="s">
        <v>914</v>
      </c>
      <c r="H50" t="s">
        <v>113</v>
      </c>
      <c r="I50" s="3">
        <v>0.375</v>
      </c>
      <c r="J50" t="s">
        <v>113</v>
      </c>
      <c r="K50" s="3">
        <v>0.375</v>
      </c>
      <c r="L50" t="s">
        <v>113</v>
      </c>
      <c r="M50" s="3">
        <v>0.375</v>
      </c>
      <c r="N50" t="s">
        <v>113</v>
      </c>
      <c r="O50" s="3">
        <v>0.375</v>
      </c>
      <c r="P50" t="s">
        <v>113</v>
      </c>
      <c r="Q50" s="3">
        <v>0.375</v>
      </c>
      <c r="R50" t="b">
        <v>1</v>
      </c>
      <c r="S50" t="s">
        <v>1543</v>
      </c>
    </row>
    <row r="51" spans="1:19" x14ac:dyDescent="0.2">
      <c r="A51">
        <v>43</v>
      </c>
      <c r="B51" t="s">
        <v>658</v>
      </c>
      <c r="C51" t="s">
        <v>657</v>
      </c>
      <c r="D51">
        <v>91701</v>
      </c>
      <c r="E51">
        <v>12</v>
      </c>
      <c r="F51">
        <v>102031651</v>
      </c>
      <c r="G51" t="s">
        <v>914</v>
      </c>
      <c r="H51" t="s">
        <v>103</v>
      </c>
      <c r="I51" s="3">
        <v>0.3125</v>
      </c>
      <c r="J51" t="s">
        <v>113</v>
      </c>
      <c r="K51" s="3">
        <v>0.3125</v>
      </c>
      <c r="L51" t="s">
        <v>113</v>
      </c>
      <c r="M51" s="3">
        <v>0.3125</v>
      </c>
      <c r="N51" t="s">
        <v>113</v>
      </c>
      <c r="O51" s="3">
        <v>0.3125</v>
      </c>
      <c r="P51" t="s">
        <v>103</v>
      </c>
      <c r="Q51" s="3">
        <v>0.3125</v>
      </c>
      <c r="R51" t="b">
        <v>1</v>
      </c>
      <c r="S51" t="s">
        <v>1544</v>
      </c>
    </row>
    <row r="52" spans="1:19" x14ac:dyDescent="0.2">
      <c r="A52">
        <v>44</v>
      </c>
      <c r="B52" t="s">
        <v>33</v>
      </c>
      <c r="C52" t="s">
        <v>1545</v>
      </c>
      <c r="D52">
        <v>91711</v>
      </c>
      <c r="E52">
        <v>2.5</v>
      </c>
      <c r="F52">
        <v>101198231</v>
      </c>
      <c r="G52" t="s">
        <v>1495</v>
      </c>
      <c r="H52" t="s">
        <v>74</v>
      </c>
      <c r="I52" s="3">
        <v>0.375</v>
      </c>
      <c r="J52" t="s">
        <v>74</v>
      </c>
      <c r="K52" s="3">
        <v>0.375</v>
      </c>
      <c r="L52" t="s">
        <v>74</v>
      </c>
      <c r="M52" s="3">
        <v>0.375</v>
      </c>
      <c r="N52" t="s">
        <v>74</v>
      </c>
      <c r="O52" s="3">
        <v>0.375</v>
      </c>
      <c r="P52" t="s">
        <v>74</v>
      </c>
      <c r="Q52" s="3">
        <v>0.375</v>
      </c>
      <c r="R52" t="b">
        <v>1</v>
      </c>
      <c r="S52" t="s">
        <v>1546</v>
      </c>
    </row>
    <row r="53" spans="1:19" x14ac:dyDescent="0.2">
      <c r="A53">
        <v>45</v>
      </c>
      <c r="B53" t="s">
        <v>749</v>
      </c>
      <c r="C53" t="s">
        <v>748</v>
      </c>
      <c r="D53">
        <v>90004</v>
      </c>
      <c r="E53">
        <v>33</v>
      </c>
      <c r="F53" t="s">
        <v>1288</v>
      </c>
      <c r="G53" t="s">
        <v>914</v>
      </c>
      <c r="H53" t="s">
        <v>103</v>
      </c>
      <c r="I53" s="3">
        <v>0.33333333333333331</v>
      </c>
      <c r="J53" t="s">
        <v>74</v>
      </c>
      <c r="K53" s="3">
        <v>0.33333333333333331</v>
      </c>
      <c r="L53" t="s">
        <v>74</v>
      </c>
      <c r="M53" s="3">
        <v>0.33333333333333331</v>
      </c>
      <c r="N53" t="s">
        <v>74</v>
      </c>
      <c r="O53" s="3">
        <v>0.33333333333333331</v>
      </c>
      <c r="P53" t="s">
        <v>74</v>
      </c>
      <c r="Q53" s="3">
        <v>0.33333333333333331</v>
      </c>
      <c r="R53" t="b">
        <v>1</v>
      </c>
      <c r="S53" t="s">
        <v>1547</v>
      </c>
    </row>
    <row r="54" spans="1:19" x14ac:dyDescent="0.2">
      <c r="A54">
        <v>46</v>
      </c>
      <c r="B54" t="s">
        <v>375</v>
      </c>
      <c r="C54" t="s">
        <v>374</v>
      </c>
      <c r="D54">
        <v>91730</v>
      </c>
      <c r="E54">
        <v>10</v>
      </c>
      <c r="F54">
        <v>10183233</v>
      </c>
      <c r="G54" t="s">
        <v>914</v>
      </c>
      <c r="H54" t="s">
        <v>113</v>
      </c>
      <c r="I54" s="3">
        <v>0.33333333333333331</v>
      </c>
      <c r="J54" t="s">
        <v>113</v>
      </c>
      <c r="K54" s="3">
        <v>0.33333333333333331</v>
      </c>
      <c r="L54" t="s">
        <v>113</v>
      </c>
      <c r="M54" s="3">
        <v>0.33333333333333331</v>
      </c>
      <c r="N54" t="s">
        <v>113</v>
      </c>
      <c r="O54" s="3">
        <v>0.33333333333333331</v>
      </c>
      <c r="P54" t="s">
        <v>113</v>
      </c>
      <c r="Q54" s="3">
        <v>0.33333333333333331</v>
      </c>
      <c r="R54" t="b">
        <v>1</v>
      </c>
      <c r="S54" t="s">
        <v>1548</v>
      </c>
    </row>
    <row r="55" spans="1:19" x14ac:dyDescent="0.2">
      <c r="A55">
        <v>47</v>
      </c>
      <c r="B55" t="s">
        <v>746</v>
      </c>
      <c r="C55" t="s">
        <v>745</v>
      </c>
      <c r="D55">
        <v>91763</v>
      </c>
      <c r="E55">
        <v>5</v>
      </c>
      <c r="F55">
        <v>10370556</v>
      </c>
      <c r="G55" t="s">
        <v>914</v>
      </c>
      <c r="H55" t="s">
        <v>108</v>
      </c>
      <c r="I55" s="3">
        <v>0.33333333333333331</v>
      </c>
      <c r="J55" t="s">
        <v>113</v>
      </c>
      <c r="K55" s="3">
        <v>0.33333333333333331</v>
      </c>
      <c r="L55" t="s">
        <v>108</v>
      </c>
      <c r="M55" s="3">
        <v>0.33333333333333331</v>
      </c>
      <c r="N55" t="s">
        <v>113</v>
      </c>
      <c r="O55" s="3">
        <v>0.33333333333333331</v>
      </c>
      <c r="P55" t="s">
        <v>113</v>
      </c>
      <c r="Q55" s="3">
        <v>0.33333333333333331</v>
      </c>
      <c r="R55" t="b">
        <v>1</v>
      </c>
      <c r="S55" t="s">
        <v>1549</v>
      </c>
    </row>
    <row r="56" spans="1:19" x14ac:dyDescent="0.2">
      <c r="A56">
        <v>48</v>
      </c>
      <c r="B56" t="s">
        <v>798</v>
      </c>
      <c r="C56" t="s">
        <v>797</v>
      </c>
      <c r="D56">
        <v>91709</v>
      </c>
      <c r="E56">
        <v>12</v>
      </c>
      <c r="F56">
        <v>103702141</v>
      </c>
      <c r="G56" t="s">
        <v>914</v>
      </c>
      <c r="H56" t="s">
        <v>74</v>
      </c>
      <c r="I56" s="3">
        <v>0.33333333333333331</v>
      </c>
      <c r="J56" t="s">
        <v>74</v>
      </c>
      <c r="K56" s="3">
        <v>0.33333333333333331</v>
      </c>
      <c r="L56" t="s">
        <v>74</v>
      </c>
      <c r="M56" s="3">
        <v>0.33333333333333331</v>
      </c>
      <c r="N56" t="s">
        <v>74</v>
      </c>
      <c r="O56" s="3">
        <v>0.33333333333333331</v>
      </c>
      <c r="P56" t="s">
        <v>74</v>
      </c>
      <c r="Q56" s="3">
        <v>0.33333333333333331</v>
      </c>
      <c r="R56" t="b">
        <v>1</v>
      </c>
      <c r="S56" t="s">
        <v>1550</v>
      </c>
    </row>
    <row r="57" spans="1:19" x14ac:dyDescent="0.2">
      <c r="A57">
        <v>49</v>
      </c>
      <c r="B57" t="s">
        <v>731</v>
      </c>
      <c r="C57" t="s">
        <v>730</v>
      </c>
      <c r="D57">
        <v>91764</v>
      </c>
      <c r="E57">
        <v>12</v>
      </c>
      <c r="F57">
        <v>10369586</v>
      </c>
      <c r="G57" t="s">
        <v>914</v>
      </c>
      <c r="H57" t="s">
        <v>933</v>
      </c>
      <c r="I57" s="3">
        <v>0.33333333333333331</v>
      </c>
      <c r="J57" t="s">
        <v>933</v>
      </c>
      <c r="K57" s="3">
        <v>0.33333333333333331</v>
      </c>
      <c r="L57" t="s">
        <v>933</v>
      </c>
      <c r="M57" s="3">
        <v>0.33333333333333331</v>
      </c>
      <c r="N57" t="s">
        <v>933</v>
      </c>
      <c r="O57" s="3">
        <v>0.33333333333333331</v>
      </c>
      <c r="P57" t="s">
        <v>933</v>
      </c>
      <c r="Q57" s="3">
        <v>0.33333333333333331</v>
      </c>
      <c r="R57" t="b">
        <v>1</v>
      </c>
      <c r="S57" t="s">
        <v>1551</v>
      </c>
    </row>
    <row r="58" spans="1:19" x14ac:dyDescent="0.2">
      <c r="A58">
        <v>50</v>
      </c>
      <c r="B58" t="s">
        <v>788</v>
      </c>
      <c r="C58" t="s">
        <v>787</v>
      </c>
      <c r="D58">
        <v>91711</v>
      </c>
      <c r="E58">
        <v>2</v>
      </c>
      <c r="F58">
        <v>10044199</v>
      </c>
      <c r="G58" t="s">
        <v>914</v>
      </c>
      <c r="H58" t="s">
        <v>98</v>
      </c>
      <c r="I58" s="3">
        <v>0.33333333333333331</v>
      </c>
      <c r="J58" t="s">
        <v>98</v>
      </c>
      <c r="K58" s="3">
        <v>0.33333333333333331</v>
      </c>
      <c r="L58" t="s">
        <v>98</v>
      </c>
      <c r="M58" s="3">
        <v>0.33333333333333331</v>
      </c>
      <c r="N58" t="s">
        <v>113</v>
      </c>
      <c r="O58" s="3">
        <v>0.33333333333333331</v>
      </c>
      <c r="P58" t="s">
        <v>202</v>
      </c>
      <c r="Q58" s="3">
        <v>0.25</v>
      </c>
      <c r="R58" t="b">
        <v>1</v>
      </c>
      <c r="S58" t="s">
        <v>1552</v>
      </c>
    </row>
    <row r="59" spans="1:19" x14ac:dyDescent="0.2">
      <c r="A59">
        <v>51</v>
      </c>
      <c r="B59" t="s">
        <v>239</v>
      </c>
      <c r="C59" t="s">
        <v>1020</v>
      </c>
      <c r="D59">
        <v>91750</v>
      </c>
      <c r="E59">
        <v>4</v>
      </c>
      <c r="F59">
        <v>10193210</v>
      </c>
      <c r="G59" t="s">
        <v>914</v>
      </c>
      <c r="H59" t="s">
        <v>113</v>
      </c>
      <c r="I59" s="3">
        <v>0.33333333333333331</v>
      </c>
      <c r="J59" t="s">
        <v>113</v>
      </c>
      <c r="K59" s="3">
        <v>0.33333333333333331</v>
      </c>
      <c r="L59" t="s">
        <v>113</v>
      </c>
      <c r="M59" s="3">
        <v>0.33333333333333331</v>
      </c>
      <c r="N59" t="s">
        <v>113</v>
      </c>
      <c r="O59" s="3">
        <v>0.33333333333333331</v>
      </c>
      <c r="P59" t="s">
        <v>113</v>
      </c>
      <c r="Q59" s="3">
        <v>0.375</v>
      </c>
      <c r="R59" t="b">
        <v>1</v>
      </c>
      <c r="S59" t="s">
        <v>1553</v>
      </c>
    </row>
    <row r="60" spans="1:19" x14ac:dyDescent="0.2">
      <c r="A60">
        <v>52</v>
      </c>
      <c r="B60" t="s">
        <v>538</v>
      </c>
      <c r="C60" t="s">
        <v>537</v>
      </c>
      <c r="D60">
        <v>92880</v>
      </c>
      <c r="E60">
        <v>23</v>
      </c>
      <c r="F60">
        <v>100750</v>
      </c>
      <c r="G60" t="s">
        <v>914</v>
      </c>
      <c r="H60" t="s">
        <v>103</v>
      </c>
      <c r="I60" s="3">
        <v>0.33333333333333331</v>
      </c>
      <c r="J60" t="s">
        <v>103</v>
      </c>
      <c r="K60" s="3">
        <v>0.33333333333333331</v>
      </c>
      <c r="L60" t="s">
        <v>103</v>
      </c>
      <c r="M60" s="3">
        <v>0.33333333333333331</v>
      </c>
      <c r="N60" t="s">
        <v>103</v>
      </c>
      <c r="O60" s="3">
        <v>0.33333333333333331</v>
      </c>
      <c r="P60" t="s">
        <v>103</v>
      </c>
      <c r="Q60" s="3">
        <v>0.33333333333333331</v>
      </c>
      <c r="R60" t="b">
        <v>1</v>
      </c>
      <c r="S60" t="s">
        <v>1554</v>
      </c>
    </row>
    <row r="61" spans="1:19" x14ac:dyDescent="0.2">
      <c r="A61">
        <v>53</v>
      </c>
      <c r="B61" t="s">
        <v>353</v>
      </c>
      <c r="C61" t="s">
        <v>352</v>
      </c>
      <c r="D61">
        <v>91711</v>
      </c>
      <c r="E61">
        <v>0.5</v>
      </c>
      <c r="F61">
        <v>121158</v>
      </c>
      <c r="G61" t="s">
        <v>914</v>
      </c>
      <c r="H61" t="s">
        <v>98</v>
      </c>
      <c r="I61" s="3">
        <v>0.375</v>
      </c>
      <c r="J61" t="s">
        <v>98</v>
      </c>
      <c r="K61" s="3">
        <v>0.375</v>
      </c>
      <c r="L61" t="s">
        <v>98</v>
      </c>
      <c r="M61" s="3">
        <v>0.375</v>
      </c>
      <c r="N61" t="s">
        <v>98</v>
      </c>
      <c r="O61" s="3">
        <v>0.375</v>
      </c>
      <c r="P61" t="s">
        <v>103</v>
      </c>
      <c r="Q61" s="3">
        <v>0.375</v>
      </c>
      <c r="R61" t="b">
        <v>1</v>
      </c>
      <c r="S61" t="s">
        <v>1555</v>
      </c>
    </row>
    <row r="62" spans="1:19" x14ac:dyDescent="0.2">
      <c r="A62">
        <v>54</v>
      </c>
      <c r="B62" t="s">
        <v>1556</v>
      </c>
      <c r="C62" t="s">
        <v>1557</v>
      </c>
      <c r="D62">
        <v>91711</v>
      </c>
      <c r="E62">
        <v>2</v>
      </c>
      <c r="F62">
        <v>101575751</v>
      </c>
      <c r="G62" t="s">
        <v>1495</v>
      </c>
      <c r="H62" t="s">
        <v>74</v>
      </c>
      <c r="I62" s="3">
        <v>0.33333333333333331</v>
      </c>
      <c r="J62" t="s">
        <v>933</v>
      </c>
      <c r="K62" s="3">
        <v>0.33333333333333331</v>
      </c>
      <c r="L62" t="s">
        <v>933</v>
      </c>
      <c r="M62" s="3">
        <v>0.33333333333333331</v>
      </c>
      <c r="N62" t="s">
        <v>103</v>
      </c>
      <c r="O62" s="3">
        <v>0.33333333333333331</v>
      </c>
      <c r="P62" t="s">
        <v>74</v>
      </c>
      <c r="Q62" s="3">
        <v>0.33333333333333331</v>
      </c>
      <c r="R62" t="b">
        <v>1</v>
      </c>
      <c r="S62" t="s">
        <v>1558</v>
      </c>
    </row>
    <row r="63" spans="1:19" x14ac:dyDescent="0.2">
      <c r="A63">
        <v>55</v>
      </c>
      <c r="B63" t="s">
        <v>1559</v>
      </c>
      <c r="C63" t="s">
        <v>1560</v>
      </c>
      <c r="D63">
        <v>92374</v>
      </c>
      <c r="E63">
        <v>34</v>
      </c>
      <c r="F63">
        <v>103566031</v>
      </c>
      <c r="G63" t="s">
        <v>1495</v>
      </c>
      <c r="H63" t="s">
        <v>103</v>
      </c>
      <c r="I63" s="3">
        <v>0.375</v>
      </c>
      <c r="J63" t="s">
        <v>113</v>
      </c>
      <c r="K63" s="3">
        <v>0.35416666666666669</v>
      </c>
      <c r="L63" t="s">
        <v>113</v>
      </c>
      <c r="M63" s="3">
        <v>0.52083333333333337</v>
      </c>
      <c r="N63" t="s">
        <v>113</v>
      </c>
      <c r="O63" s="3">
        <v>0.375</v>
      </c>
      <c r="P63" t="s">
        <v>103</v>
      </c>
      <c r="Q63" s="3">
        <v>0.375</v>
      </c>
      <c r="R63" t="b">
        <v>1</v>
      </c>
      <c r="S63" t="s">
        <v>1561</v>
      </c>
    </row>
    <row r="64" spans="1:19" x14ac:dyDescent="0.2">
      <c r="A64">
        <v>56</v>
      </c>
      <c r="B64" t="s">
        <v>1157</v>
      </c>
      <c r="C64" t="s">
        <v>1158</v>
      </c>
      <c r="D64">
        <v>91739</v>
      </c>
      <c r="E64">
        <v>14</v>
      </c>
      <c r="F64">
        <v>102040351</v>
      </c>
      <c r="G64" t="s">
        <v>914</v>
      </c>
      <c r="H64" t="s">
        <v>113</v>
      </c>
      <c r="I64" s="3">
        <v>0.35416666666666669</v>
      </c>
      <c r="J64" t="s">
        <v>113</v>
      </c>
      <c r="K64" s="3">
        <v>0.35416666666666669</v>
      </c>
      <c r="L64" t="s">
        <v>113</v>
      </c>
      <c r="M64" s="3">
        <v>0.35416666666666669</v>
      </c>
      <c r="N64" t="s">
        <v>113</v>
      </c>
      <c r="O64" s="3">
        <v>0.35416666666666669</v>
      </c>
      <c r="P64" t="s">
        <v>113</v>
      </c>
      <c r="Q64" s="3">
        <v>0.35416666666666669</v>
      </c>
      <c r="R64" t="b">
        <v>1</v>
      </c>
      <c r="S64" t="s">
        <v>1562</v>
      </c>
    </row>
    <row r="65" spans="1:19" x14ac:dyDescent="0.2">
      <c r="A65">
        <v>57</v>
      </c>
      <c r="B65" t="s">
        <v>1086</v>
      </c>
      <c r="C65" t="s">
        <v>1087</v>
      </c>
      <c r="D65">
        <v>91763</v>
      </c>
      <c r="E65">
        <v>8</v>
      </c>
      <c r="F65">
        <v>10346026</v>
      </c>
      <c r="G65" t="s">
        <v>914</v>
      </c>
      <c r="H65" t="s">
        <v>113</v>
      </c>
      <c r="I65" s="3">
        <v>0.33333333333333331</v>
      </c>
      <c r="J65" t="s">
        <v>113</v>
      </c>
      <c r="K65" s="3">
        <v>0.33333333333333331</v>
      </c>
      <c r="L65" t="s">
        <v>113</v>
      </c>
      <c r="M65" s="3">
        <v>0.33333333333333331</v>
      </c>
      <c r="N65" t="s">
        <v>113</v>
      </c>
      <c r="O65" s="3">
        <v>0.33333333333333331</v>
      </c>
      <c r="P65" t="s">
        <v>113</v>
      </c>
      <c r="Q65" s="3">
        <v>0.33333333333333331</v>
      </c>
      <c r="R65" t="b">
        <v>1</v>
      </c>
      <c r="S65" t="s">
        <v>1563</v>
      </c>
    </row>
    <row r="66" spans="1:19" x14ac:dyDescent="0.2">
      <c r="A66">
        <v>58</v>
      </c>
      <c r="B66" t="s">
        <v>263</v>
      </c>
      <c r="C66" t="s">
        <v>262</v>
      </c>
      <c r="D66">
        <v>91786</v>
      </c>
      <c r="E66">
        <v>1</v>
      </c>
      <c r="F66">
        <v>10366859</v>
      </c>
      <c r="G66" t="s">
        <v>914</v>
      </c>
      <c r="H66" t="s">
        <v>92</v>
      </c>
      <c r="I66" s="3">
        <v>0.33333333333333331</v>
      </c>
      <c r="J66" t="s">
        <v>92</v>
      </c>
      <c r="K66" s="3">
        <v>0.33333333333333331</v>
      </c>
      <c r="L66" t="s">
        <v>74</v>
      </c>
      <c r="M66" s="3">
        <v>0.33333333333333331</v>
      </c>
      <c r="N66" t="s">
        <v>74</v>
      </c>
      <c r="O66" s="3">
        <v>0.33333333333333331</v>
      </c>
      <c r="P66" t="s">
        <v>74</v>
      </c>
      <c r="Q66" s="3">
        <v>0.33333333333333331</v>
      </c>
      <c r="R66" t="b">
        <v>1</v>
      </c>
      <c r="S66" t="s">
        <v>1564</v>
      </c>
    </row>
    <row r="67" spans="1:19" x14ac:dyDescent="0.2">
      <c r="A67">
        <v>59</v>
      </c>
      <c r="B67" t="s">
        <v>384</v>
      </c>
      <c r="C67" t="s">
        <v>840</v>
      </c>
      <c r="D67">
        <v>91711</v>
      </c>
      <c r="E67">
        <v>1</v>
      </c>
      <c r="F67">
        <v>10042755</v>
      </c>
      <c r="G67" t="s">
        <v>914</v>
      </c>
      <c r="H67" t="s">
        <v>92</v>
      </c>
      <c r="I67" s="3">
        <v>0.35416666666666669</v>
      </c>
      <c r="J67" t="s">
        <v>113</v>
      </c>
      <c r="K67" s="3">
        <v>0.35416666666666669</v>
      </c>
      <c r="L67" t="s">
        <v>92</v>
      </c>
      <c r="M67" s="3">
        <v>0.35416666666666669</v>
      </c>
      <c r="N67" t="s">
        <v>113</v>
      </c>
      <c r="O67" s="3">
        <v>0.35416666666666669</v>
      </c>
      <c r="P67" t="s">
        <v>191</v>
      </c>
      <c r="Q67" s="3">
        <v>0.35416666666666669</v>
      </c>
      <c r="R67" t="b">
        <v>1</v>
      </c>
      <c r="S67" t="s">
        <v>1565</v>
      </c>
    </row>
    <row r="68" spans="1:19" x14ac:dyDescent="0.2">
      <c r="A68">
        <v>60</v>
      </c>
      <c r="B68" t="s">
        <v>1566</v>
      </c>
      <c r="C68" t="s">
        <v>1567</v>
      </c>
      <c r="D68">
        <v>91711</v>
      </c>
      <c r="E68">
        <v>0.5</v>
      </c>
      <c r="F68">
        <v>103713671</v>
      </c>
      <c r="G68" t="s">
        <v>1495</v>
      </c>
      <c r="H68" t="s">
        <v>92</v>
      </c>
      <c r="I68" s="3">
        <v>0.5</v>
      </c>
      <c r="J68" t="s">
        <v>92</v>
      </c>
      <c r="K68" s="3">
        <v>0.4375</v>
      </c>
      <c r="L68" t="s">
        <v>92</v>
      </c>
      <c r="M68" s="3">
        <v>0.5</v>
      </c>
      <c r="N68" t="s">
        <v>92</v>
      </c>
      <c r="O68" s="3">
        <v>0.5</v>
      </c>
      <c r="P68" t="s">
        <v>92</v>
      </c>
      <c r="Q68" s="3">
        <v>0.45833333333333331</v>
      </c>
      <c r="R68" t="b">
        <v>0</v>
      </c>
      <c r="S68" t="s">
        <v>1568</v>
      </c>
    </row>
    <row r="69" spans="1:19" x14ac:dyDescent="0.2">
      <c r="A69">
        <v>61</v>
      </c>
      <c r="B69" t="s">
        <v>956</v>
      </c>
      <c r="C69" t="s">
        <v>957</v>
      </c>
      <c r="D69">
        <v>91711</v>
      </c>
      <c r="E69">
        <v>2</v>
      </c>
      <c r="F69">
        <v>103706336</v>
      </c>
      <c r="G69" t="s">
        <v>919</v>
      </c>
      <c r="H69" t="s">
        <v>113</v>
      </c>
      <c r="I69" s="3">
        <v>0.33333333333333331</v>
      </c>
      <c r="J69" t="s">
        <v>113</v>
      </c>
      <c r="K69" s="3">
        <v>0.33333333333333331</v>
      </c>
      <c r="L69" t="s">
        <v>113</v>
      </c>
      <c r="M69" s="3">
        <v>0.33333333333333331</v>
      </c>
      <c r="N69" t="s">
        <v>113</v>
      </c>
      <c r="O69" s="3">
        <v>0.33333333333333331</v>
      </c>
      <c r="P69" t="s">
        <v>113</v>
      </c>
      <c r="Q69" s="3">
        <v>0.33333333333333331</v>
      </c>
      <c r="R69" t="b">
        <v>1</v>
      </c>
      <c r="S69" t="s">
        <v>1569</v>
      </c>
    </row>
    <row r="70" spans="1:19" x14ac:dyDescent="0.2">
      <c r="A70">
        <v>62</v>
      </c>
      <c r="B70" t="s">
        <v>1570</v>
      </c>
      <c r="C70" t="s">
        <v>1571</v>
      </c>
      <c r="D70">
        <v>91786</v>
      </c>
      <c r="E70">
        <v>1</v>
      </c>
      <c r="F70">
        <v>101966613</v>
      </c>
      <c r="G70" t="s">
        <v>1495</v>
      </c>
      <c r="H70" t="s">
        <v>202</v>
      </c>
      <c r="I70" s="3">
        <v>0.25</v>
      </c>
      <c r="J70" t="s">
        <v>92</v>
      </c>
      <c r="K70" s="3">
        <v>0.35416666666666669</v>
      </c>
      <c r="L70" t="s">
        <v>92</v>
      </c>
      <c r="M70" s="3">
        <v>0.58333333333333337</v>
      </c>
      <c r="N70" t="s">
        <v>113</v>
      </c>
      <c r="O70" s="3">
        <v>0.35416666666666669</v>
      </c>
      <c r="P70" t="s">
        <v>199</v>
      </c>
      <c r="Q70" s="3">
        <v>0.25</v>
      </c>
      <c r="R70" t="b">
        <v>1</v>
      </c>
      <c r="S70" t="s">
        <v>1572</v>
      </c>
    </row>
    <row r="71" spans="1:19" x14ac:dyDescent="0.2">
      <c r="A71">
        <v>63</v>
      </c>
      <c r="B71" t="s">
        <v>931</v>
      </c>
      <c r="C71" t="s">
        <v>932</v>
      </c>
      <c r="D71">
        <v>91711</v>
      </c>
      <c r="E71">
        <v>1</v>
      </c>
      <c r="F71">
        <v>10348203</v>
      </c>
      <c r="G71" t="s">
        <v>914</v>
      </c>
      <c r="H71" t="s">
        <v>933</v>
      </c>
      <c r="I71" s="3">
        <v>0.33333333333333331</v>
      </c>
      <c r="J71" t="s">
        <v>98</v>
      </c>
      <c r="K71" s="3">
        <v>0.33333333333333331</v>
      </c>
      <c r="L71" t="s">
        <v>98</v>
      </c>
      <c r="M71" s="3">
        <v>0.33333333333333331</v>
      </c>
      <c r="N71" t="s">
        <v>933</v>
      </c>
      <c r="O71" s="3">
        <v>0.33333333333333331</v>
      </c>
      <c r="P71" t="s">
        <v>933</v>
      </c>
      <c r="Q71" s="3">
        <v>0.33333333333333331</v>
      </c>
      <c r="R71" t="b">
        <v>1</v>
      </c>
      <c r="S71" t="s">
        <v>1573</v>
      </c>
    </row>
    <row r="72" spans="1:19" x14ac:dyDescent="0.2">
      <c r="A72">
        <v>64</v>
      </c>
      <c r="B72" t="s">
        <v>144</v>
      </c>
      <c r="C72" t="s">
        <v>582</v>
      </c>
      <c r="D72">
        <v>91750</v>
      </c>
      <c r="E72">
        <v>8</v>
      </c>
      <c r="F72">
        <v>103499721</v>
      </c>
      <c r="G72" t="s">
        <v>914</v>
      </c>
      <c r="H72" t="s">
        <v>113</v>
      </c>
      <c r="I72" s="3">
        <v>0.33333333333333331</v>
      </c>
      <c r="J72" t="s">
        <v>113</v>
      </c>
      <c r="K72" s="3">
        <v>0.33333333333333331</v>
      </c>
      <c r="L72" t="s">
        <v>113</v>
      </c>
      <c r="M72" s="3">
        <v>0.33333333333333331</v>
      </c>
      <c r="N72" t="s">
        <v>103</v>
      </c>
      <c r="O72" s="3">
        <v>0.33333333333333331</v>
      </c>
      <c r="P72" t="s">
        <v>113</v>
      </c>
      <c r="Q72" s="3">
        <v>0.33333333333333331</v>
      </c>
      <c r="R72" t="b">
        <v>1</v>
      </c>
      <c r="S72" t="s">
        <v>1574</v>
      </c>
    </row>
    <row r="73" spans="1:19" x14ac:dyDescent="0.2">
      <c r="A73">
        <v>65</v>
      </c>
      <c r="B73" t="s">
        <v>1195</v>
      </c>
      <c r="C73" t="s">
        <v>380</v>
      </c>
      <c r="D73">
        <v>92336</v>
      </c>
      <c r="E73">
        <v>16</v>
      </c>
      <c r="F73">
        <v>10144676</v>
      </c>
      <c r="G73" t="s">
        <v>914</v>
      </c>
      <c r="H73" t="s">
        <v>113</v>
      </c>
      <c r="I73" s="3">
        <v>0.33333333333333331</v>
      </c>
      <c r="J73" t="s">
        <v>113</v>
      </c>
      <c r="K73" s="3">
        <v>0.33333333333333331</v>
      </c>
      <c r="L73" t="s">
        <v>113</v>
      </c>
      <c r="M73" s="3">
        <v>0.33333333333333331</v>
      </c>
      <c r="N73" t="s">
        <v>113</v>
      </c>
      <c r="O73" s="3">
        <v>0.33333333333333331</v>
      </c>
      <c r="P73" t="s">
        <v>113</v>
      </c>
      <c r="Q73" s="3">
        <v>0.33333333333333331</v>
      </c>
      <c r="R73" t="b">
        <v>1</v>
      </c>
      <c r="S73" t="s">
        <v>1575</v>
      </c>
    </row>
    <row r="74" spans="1:19" x14ac:dyDescent="0.2">
      <c r="A74">
        <v>66</v>
      </c>
      <c r="B74" t="s">
        <v>876</v>
      </c>
      <c r="C74" t="s">
        <v>874</v>
      </c>
      <c r="D74">
        <v>91784</v>
      </c>
      <c r="E74">
        <v>7</v>
      </c>
      <c r="F74">
        <v>10180504</v>
      </c>
      <c r="G74" t="s">
        <v>914</v>
      </c>
      <c r="H74" t="s">
        <v>113</v>
      </c>
      <c r="I74" s="3">
        <v>0.39583333333333331</v>
      </c>
      <c r="J74" t="s">
        <v>113</v>
      </c>
      <c r="K74" s="3">
        <v>0.4375</v>
      </c>
      <c r="L74" t="s">
        <v>113</v>
      </c>
      <c r="M74" s="3">
        <v>0.4375</v>
      </c>
      <c r="N74" t="s">
        <v>113</v>
      </c>
      <c r="O74" s="3">
        <v>0.45833333333333331</v>
      </c>
      <c r="P74" t="s">
        <v>113</v>
      </c>
      <c r="Q74" s="3">
        <v>0.5</v>
      </c>
      <c r="R74" t="b">
        <v>1</v>
      </c>
      <c r="S74" t="s">
        <v>1576</v>
      </c>
    </row>
    <row r="75" spans="1:19" x14ac:dyDescent="0.2">
      <c r="A75">
        <v>67</v>
      </c>
      <c r="B75" t="s">
        <v>1221</v>
      </c>
      <c r="C75" t="s">
        <v>1222</v>
      </c>
      <c r="D75">
        <v>91711</v>
      </c>
      <c r="E75">
        <v>20</v>
      </c>
      <c r="F75">
        <v>10370479</v>
      </c>
      <c r="G75" t="s">
        <v>914</v>
      </c>
      <c r="H75" t="s">
        <v>98</v>
      </c>
      <c r="I75" s="3">
        <v>0.29166666666666669</v>
      </c>
      <c r="J75" t="s">
        <v>98</v>
      </c>
      <c r="K75" s="3">
        <v>0.29166666666666669</v>
      </c>
      <c r="L75" t="s">
        <v>98</v>
      </c>
      <c r="M75" s="3">
        <v>0.29166666666666669</v>
      </c>
      <c r="N75" t="s">
        <v>98</v>
      </c>
      <c r="O75" s="3">
        <v>0.29166666666666669</v>
      </c>
      <c r="P75" t="s">
        <v>98</v>
      </c>
      <c r="Q75" s="3">
        <v>0.29166666666666669</v>
      </c>
      <c r="R75" t="b">
        <v>1</v>
      </c>
      <c r="S75" t="s">
        <v>1577</v>
      </c>
    </row>
    <row r="76" spans="1:19" x14ac:dyDescent="0.2">
      <c r="A76">
        <v>68</v>
      </c>
      <c r="B76" t="s">
        <v>239</v>
      </c>
      <c r="C76" t="s">
        <v>1578</v>
      </c>
      <c r="D76">
        <v>91711</v>
      </c>
      <c r="E76">
        <v>0.7</v>
      </c>
      <c r="F76">
        <v>10323940</v>
      </c>
      <c r="G76" t="s">
        <v>1495</v>
      </c>
      <c r="H76" t="s">
        <v>92</v>
      </c>
      <c r="I76" s="3">
        <v>0.375</v>
      </c>
      <c r="J76" t="s">
        <v>92</v>
      </c>
      <c r="K76" s="3">
        <v>0.33333333333333331</v>
      </c>
      <c r="L76" t="s">
        <v>92</v>
      </c>
      <c r="M76" s="3">
        <v>0.41666666666666669</v>
      </c>
      <c r="N76" t="s">
        <v>92</v>
      </c>
      <c r="O76" s="3">
        <v>0.35416666666666669</v>
      </c>
      <c r="P76" t="s">
        <v>92</v>
      </c>
      <c r="Q76" s="3">
        <v>0.375</v>
      </c>
      <c r="R76" t="b">
        <v>1</v>
      </c>
      <c r="S76" t="s">
        <v>1579</v>
      </c>
    </row>
    <row r="77" spans="1:19" x14ac:dyDescent="0.2">
      <c r="A77">
        <v>69</v>
      </c>
      <c r="B77" t="s">
        <v>1580</v>
      </c>
      <c r="C77" t="s">
        <v>1581</v>
      </c>
      <c r="D77">
        <v>90016</v>
      </c>
      <c r="E77">
        <v>45</v>
      </c>
      <c r="F77" t="s">
        <v>1582</v>
      </c>
      <c r="G77" t="s">
        <v>1495</v>
      </c>
      <c r="H77" t="s">
        <v>108</v>
      </c>
      <c r="I77" s="3">
        <v>0.35416666666666669</v>
      </c>
      <c r="J77" t="s">
        <v>85</v>
      </c>
      <c r="K77" s="3">
        <v>0.27083333333333331</v>
      </c>
      <c r="L77" t="s">
        <v>108</v>
      </c>
      <c r="M77" s="3">
        <v>0.35416666666666669</v>
      </c>
      <c r="N77" t="s">
        <v>85</v>
      </c>
      <c r="O77" s="3">
        <v>0.27083333333333331</v>
      </c>
      <c r="P77" t="s">
        <v>108</v>
      </c>
      <c r="Q77" s="3">
        <v>0.29166666666666669</v>
      </c>
      <c r="R77" t="b">
        <v>1</v>
      </c>
      <c r="S77" t="s">
        <v>1583</v>
      </c>
    </row>
    <row r="78" spans="1:19" x14ac:dyDescent="0.2">
      <c r="A78">
        <v>70</v>
      </c>
      <c r="B78" t="s">
        <v>867</v>
      </c>
      <c r="C78" t="s">
        <v>472</v>
      </c>
      <c r="D78">
        <v>91786</v>
      </c>
      <c r="E78">
        <v>1</v>
      </c>
      <c r="F78">
        <v>101084471</v>
      </c>
      <c r="G78" t="s">
        <v>1495</v>
      </c>
      <c r="H78" t="s">
        <v>92</v>
      </c>
      <c r="I78" s="3">
        <v>0.54166666666666663</v>
      </c>
      <c r="J78" t="s">
        <v>92</v>
      </c>
      <c r="K78" s="3">
        <v>0.45833333333333331</v>
      </c>
      <c r="L78" t="s">
        <v>92</v>
      </c>
      <c r="M78" s="3">
        <v>0.54166666666666663</v>
      </c>
      <c r="N78" t="s">
        <v>103</v>
      </c>
      <c r="O78" s="3">
        <v>0.54166666666666663</v>
      </c>
      <c r="P78" t="s">
        <v>103</v>
      </c>
      <c r="Q78" s="3">
        <v>0.54166666666666663</v>
      </c>
      <c r="R78" t="b">
        <v>0</v>
      </c>
      <c r="S78" t="s">
        <v>1584</v>
      </c>
    </row>
    <row r="79" spans="1:19" x14ac:dyDescent="0.2">
      <c r="A79">
        <v>71</v>
      </c>
      <c r="B79" t="s">
        <v>834</v>
      </c>
      <c r="C79" t="s">
        <v>1585</v>
      </c>
      <c r="D79">
        <v>91711</v>
      </c>
      <c r="E79">
        <v>1.2</v>
      </c>
      <c r="F79" t="s">
        <v>1586</v>
      </c>
      <c r="G79" t="s">
        <v>1495</v>
      </c>
      <c r="H79" t="s">
        <v>202</v>
      </c>
      <c r="I79" s="3">
        <v>0.45833333333333331</v>
      </c>
      <c r="J79" t="s">
        <v>113</v>
      </c>
      <c r="K79" s="3">
        <v>0.54166666666666663</v>
      </c>
      <c r="L79" t="s">
        <v>202</v>
      </c>
      <c r="M79" s="3">
        <v>0.45833333333333331</v>
      </c>
      <c r="N79" t="s">
        <v>113</v>
      </c>
      <c r="O79" s="3">
        <v>0.54166666666666663</v>
      </c>
      <c r="P79" t="s">
        <v>202</v>
      </c>
      <c r="Q79" s="3">
        <v>0.45833333333333331</v>
      </c>
      <c r="R79" t="b">
        <v>0</v>
      </c>
      <c r="S79" t="s">
        <v>1587</v>
      </c>
    </row>
    <row r="80" spans="1:19" x14ac:dyDescent="0.2">
      <c r="A80">
        <v>72</v>
      </c>
      <c r="B80" t="s">
        <v>457</v>
      </c>
      <c r="C80" t="s">
        <v>791</v>
      </c>
      <c r="D80">
        <v>91104</v>
      </c>
      <c r="E80">
        <v>27</v>
      </c>
      <c r="F80">
        <v>10370589</v>
      </c>
      <c r="G80" t="s">
        <v>914</v>
      </c>
      <c r="H80" t="s">
        <v>933</v>
      </c>
      <c r="I80" s="3">
        <v>0.33333333333333331</v>
      </c>
      <c r="J80" t="s">
        <v>74</v>
      </c>
      <c r="K80" s="3">
        <v>0.33333333333333331</v>
      </c>
      <c r="L80" t="s">
        <v>74</v>
      </c>
      <c r="M80" s="3">
        <v>0.375</v>
      </c>
      <c r="N80" t="s">
        <v>74</v>
      </c>
      <c r="O80" s="3">
        <v>0.33333333333333331</v>
      </c>
      <c r="P80" t="s">
        <v>933</v>
      </c>
      <c r="Q80" s="3">
        <v>0.33333333333333331</v>
      </c>
      <c r="R80" t="b">
        <v>1</v>
      </c>
      <c r="S80" t="s">
        <v>1588</v>
      </c>
    </row>
    <row r="81" spans="1:19" x14ac:dyDescent="0.2">
      <c r="A81">
        <v>73</v>
      </c>
      <c r="B81" t="s">
        <v>1589</v>
      </c>
      <c r="C81" t="s">
        <v>1590</v>
      </c>
      <c r="D81">
        <v>91711</v>
      </c>
      <c r="E81">
        <v>1</v>
      </c>
      <c r="F81">
        <v>100421751</v>
      </c>
      <c r="G81" t="s">
        <v>1495</v>
      </c>
      <c r="H81" t="s">
        <v>92</v>
      </c>
      <c r="I81" s="3">
        <v>0.39583333333333331</v>
      </c>
      <c r="J81" t="s">
        <v>92</v>
      </c>
      <c r="K81" s="3">
        <v>0.39583333333333331</v>
      </c>
      <c r="L81" t="s">
        <v>92</v>
      </c>
      <c r="M81" s="3">
        <v>0.39583333333333331</v>
      </c>
      <c r="N81" t="s">
        <v>92</v>
      </c>
      <c r="O81" s="3">
        <v>0.39583333333333331</v>
      </c>
      <c r="P81" t="s">
        <v>92</v>
      </c>
      <c r="Q81" s="3">
        <v>0.39583333333333331</v>
      </c>
      <c r="R81" t="b">
        <v>1</v>
      </c>
      <c r="S81" t="s">
        <v>1591</v>
      </c>
    </row>
    <row r="82" spans="1:19" x14ac:dyDescent="0.2">
      <c r="A82">
        <v>74</v>
      </c>
      <c r="B82" t="s">
        <v>1592</v>
      </c>
      <c r="C82" t="s">
        <v>1593</v>
      </c>
      <c r="D82">
        <v>91711</v>
      </c>
      <c r="E82">
        <v>2</v>
      </c>
      <c r="F82">
        <v>10364482</v>
      </c>
      <c r="G82" t="s">
        <v>1495</v>
      </c>
      <c r="H82" t="s">
        <v>933</v>
      </c>
      <c r="I82" s="3">
        <v>0.375</v>
      </c>
      <c r="J82" t="s">
        <v>933</v>
      </c>
      <c r="K82" s="3">
        <v>0.33333333333333331</v>
      </c>
      <c r="L82" t="s">
        <v>933</v>
      </c>
      <c r="M82" s="3">
        <v>0.375</v>
      </c>
      <c r="N82" t="s">
        <v>933</v>
      </c>
      <c r="O82" s="3">
        <v>0.33333333333333331</v>
      </c>
      <c r="P82" t="s">
        <v>933</v>
      </c>
      <c r="Q82" s="3">
        <v>0.39583333333333331</v>
      </c>
      <c r="R82" t="b">
        <v>1</v>
      </c>
      <c r="S82" t="s">
        <v>1594</v>
      </c>
    </row>
    <row r="83" spans="1:19" x14ac:dyDescent="0.2">
      <c r="A83">
        <v>75</v>
      </c>
      <c r="B83" t="s">
        <v>636</v>
      </c>
      <c r="C83" t="s">
        <v>772</v>
      </c>
      <c r="D83">
        <v>91762</v>
      </c>
      <c r="E83">
        <v>6</v>
      </c>
      <c r="F83">
        <v>10043333</v>
      </c>
      <c r="G83" t="s">
        <v>914</v>
      </c>
      <c r="H83" t="s">
        <v>113</v>
      </c>
      <c r="I83" s="3">
        <v>0.29166666666666669</v>
      </c>
      <c r="J83" t="s">
        <v>113</v>
      </c>
      <c r="K83" s="3">
        <v>0.29166666666666669</v>
      </c>
      <c r="L83" t="s">
        <v>113</v>
      </c>
      <c r="M83" s="3">
        <v>0.29166666666666669</v>
      </c>
      <c r="N83" t="s">
        <v>113</v>
      </c>
      <c r="O83" s="3">
        <v>0.29166666666666669</v>
      </c>
      <c r="P83" t="s">
        <v>113</v>
      </c>
      <c r="Q83" s="3">
        <v>0.29166666666666669</v>
      </c>
      <c r="R83" t="b">
        <v>1</v>
      </c>
      <c r="S83" t="s">
        <v>1595</v>
      </c>
    </row>
    <row r="84" spans="1:19" x14ac:dyDescent="0.2">
      <c r="A84">
        <v>76</v>
      </c>
      <c r="B84" t="s">
        <v>636</v>
      </c>
      <c r="C84" t="s">
        <v>1596</v>
      </c>
      <c r="D84">
        <v>91711</v>
      </c>
      <c r="E84">
        <v>1</v>
      </c>
      <c r="F84">
        <v>101541347</v>
      </c>
      <c r="G84" t="s">
        <v>1495</v>
      </c>
      <c r="H84" t="s">
        <v>92</v>
      </c>
      <c r="I84" s="3">
        <v>0.375</v>
      </c>
      <c r="J84" t="s">
        <v>92</v>
      </c>
      <c r="K84" s="3">
        <v>0.375</v>
      </c>
      <c r="L84" t="s">
        <v>92</v>
      </c>
      <c r="M84" s="3">
        <v>0.375</v>
      </c>
      <c r="N84" t="s">
        <v>92</v>
      </c>
      <c r="O84" s="3">
        <v>0.375</v>
      </c>
      <c r="P84" t="s">
        <v>92</v>
      </c>
      <c r="Q84" s="3">
        <v>0.375</v>
      </c>
      <c r="R84" t="b">
        <v>1</v>
      </c>
      <c r="S84" t="s">
        <v>1597</v>
      </c>
    </row>
    <row r="85" spans="1:19" x14ac:dyDescent="0.2">
      <c r="A85">
        <v>77</v>
      </c>
      <c r="B85" t="s">
        <v>837</v>
      </c>
      <c r="C85" t="s">
        <v>836</v>
      </c>
      <c r="D85">
        <v>91780</v>
      </c>
      <c r="E85">
        <v>25</v>
      </c>
      <c r="F85" t="s">
        <v>1247</v>
      </c>
      <c r="G85" t="s">
        <v>914</v>
      </c>
      <c r="H85" t="s">
        <v>113</v>
      </c>
      <c r="I85" s="3">
        <v>0.3125</v>
      </c>
      <c r="J85" t="s">
        <v>113</v>
      </c>
      <c r="K85" s="3">
        <v>0.3125</v>
      </c>
      <c r="L85" t="s">
        <v>113</v>
      </c>
      <c r="M85" s="3">
        <v>0.3125</v>
      </c>
      <c r="N85" t="s">
        <v>199</v>
      </c>
      <c r="O85" s="3">
        <v>0.25</v>
      </c>
      <c r="P85" t="s">
        <v>199</v>
      </c>
      <c r="Q85" s="3">
        <v>0.25</v>
      </c>
      <c r="R85" t="b">
        <v>1</v>
      </c>
      <c r="S85" t="s">
        <v>1598</v>
      </c>
    </row>
    <row r="86" spans="1:19" x14ac:dyDescent="0.2">
      <c r="A86">
        <v>78</v>
      </c>
      <c r="B86" t="s">
        <v>983</v>
      </c>
      <c r="C86" t="s">
        <v>984</v>
      </c>
      <c r="D86">
        <v>91763</v>
      </c>
      <c r="E86">
        <v>3</v>
      </c>
      <c r="F86" t="s">
        <v>985</v>
      </c>
      <c r="G86" t="s">
        <v>914</v>
      </c>
      <c r="H86" t="s">
        <v>113</v>
      </c>
      <c r="I86" s="3">
        <v>0.20833333333333334</v>
      </c>
      <c r="J86" t="s">
        <v>113</v>
      </c>
      <c r="K86" s="3">
        <v>0.20833333333333334</v>
      </c>
      <c r="L86" t="s">
        <v>113</v>
      </c>
      <c r="M86" s="3">
        <v>0.20833333333333334</v>
      </c>
      <c r="N86" t="s">
        <v>113</v>
      </c>
      <c r="O86" s="3">
        <v>0.20833333333333334</v>
      </c>
      <c r="P86" t="s">
        <v>113</v>
      </c>
      <c r="Q86" s="3">
        <v>0.20833333333333334</v>
      </c>
      <c r="R86" t="b">
        <v>0</v>
      </c>
      <c r="S86" t="s">
        <v>1599</v>
      </c>
    </row>
    <row r="87" spans="1:19" x14ac:dyDescent="0.2">
      <c r="A87">
        <v>79</v>
      </c>
      <c r="B87" t="s">
        <v>388</v>
      </c>
      <c r="C87" t="s">
        <v>387</v>
      </c>
      <c r="D87">
        <v>91786</v>
      </c>
      <c r="E87">
        <v>4</v>
      </c>
      <c r="F87">
        <v>10109481</v>
      </c>
      <c r="G87" t="s">
        <v>914</v>
      </c>
      <c r="H87" t="s">
        <v>113</v>
      </c>
      <c r="I87" s="3">
        <v>0.3125</v>
      </c>
      <c r="J87" t="s">
        <v>113</v>
      </c>
      <c r="K87" s="3">
        <v>0.3125</v>
      </c>
      <c r="L87" t="s">
        <v>113</v>
      </c>
      <c r="M87" s="3">
        <v>0.3125</v>
      </c>
      <c r="N87" t="s">
        <v>113</v>
      </c>
      <c r="O87" s="3">
        <v>0.3125</v>
      </c>
      <c r="P87" t="s">
        <v>113</v>
      </c>
      <c r="Q87" s="3">
        <v>0.3125</v>
      </c>
      <c r="R87" t="b">
        <v>1</v>
      </c>
      <c r="S87" t="s">
        <v>1600</v>
      </c>
    </row>
    <row r="88" spans="1:19" x14ac:dyDescent="0.2">
      <c r="A88">
        <v>80</v>
      </c>
      <c r="B88" t="s">
        <v>243</v>
      </c>
      <c r="C88" t="s">
        <v>242</v>
      </c>
      <c r="D88">
        <v>91786</v>
      </c>
      <c r="E88">
        <v>3</v>
      </c>
      <c r="F88">
        <v>10368847</v>
      </c>
      <c r="G88" t="s">
        <v>914</v>
      </c>
      <c r="H88" t="s">
        <v>113</v>
      </c>
      <c r="I88" s="3">
        <v>0.33333333333333331</v>
      </c>
      <c r="J88" t="s">
        <v>113</v>
      </c>
      <c r="K88" s="3">
        <v>0.33333333333333331</v>
      </c>
      <c r="L88" t="s">
        <v>113</v>
      </c>
      <c r="M88" s="3">
        <v>0.33333333333333331</v>
      </c>
      <c r="N88" t="s">
        <v>113</v>
      </c>
      <c r="O88" s="3">
        <v>0.33333333333333331</v>
      </c>
      <c r="P88" t="s">
        <v>113</v>
      </c>
      <c r="Q88" s="3">
        <v>0.33333333333333331</v>
      </c>
      <c r="R88" t="b">
        <v>1</v>
      </c>
      <c r="S88" t="s">
        <v>1601</v>
      </c>
    </row>
    <row r="89" spans="1:19" x14ac:dyDescent="0.2">
      <c r="A89">
        <v>81</v>
      </c>
      <c r="B89" t="s">
        <v>1210</v>
      </c>
      <c r="C89" t="s">
        <v>1211</v>
      </c>
      <c r="D89">
        <v>92336</v>
      </c>
      <c r="E89">
        <v>17.5</v>
      </c>
      <c r="F89">
        <v>10097957</v>
      </c>
      <c r="G89" t="s">
        <v>914</v>
      </c>
      <c r="H89" t="s">
        <v>103</v>
      </c>
      <c r="I89" s="3">
        <v>0.3125</v>
      </c>
      <c r="J89" t="s">
        <v>103</v>
      </c>
      <c r="K89" s="3">
        <v>0.3125</v>
      </c>
      <c r="L89" t="s">
        <v>103</v>
      </c>
      <c r="M89" s="3">
        <v>0.3125</v>
      </c>
      <c r="N89" t="s">
        <v>103</v>
      </c>
      <c r="O89" s="3">
        <v>0.3125</v>
      </c>
      <c r="P89" t="s">
        <v>103</v>
      </c>
      <c r="Q89" s="3">
        <v>0.3125</v>
      </c>
      <c r="R89" t="b">
        <v>1</v>
      </c>
      <c r="S89" t="s">
        <v>1602</v>
      </c>
    </row>
    <row r="90" spans="1:19" x14ac:dyDescent="0.2">
      <c r="A90">
        <v>82</v>
      </c>
      <c r="B90" t="s">
        <v>543</v>
      </c>
      <c r="C90" t="s">
        <v>542</v>
      </c>
      <c r="D90">
        <v>91701</v>
      </c>
      <c r="E90">
        <v>10</v>
      </c>
      <c r="F90">
        <v>10375228</v>
      </c>
      <c r="G90" t="s">
        <v>914</v>
      </c>
      <c r="H90" t="s">
        <v>98</v>
      </c>
      <c r="I90" s="3">
        <v>0.33333333333333331</v>
      </c>
      <c r="J90" t="s">
        <v>98</v>
      </c>
      <c r="K90" s="3">
        <v>0.33333333333333331</v>
      </c>
      <c r="L90" t="s">
        <v>98</v>
      </c>
      <c r="M90" s="3">
        <v>0.33333333333333331</v>
      </c>
      <c r="N90" t="s">
        <v>98</v>
      </c>
      <c r="O90" s="3">
        <v>0.33333333333333331</v>
      </c>
      <c r="P90" t="s">
        <v>98</v>
      </c>
      <c r="Q90" s="3">
        <v>0.33333333333333331</v>
      </c>
      <c r="R90" t="b">
        <v>1</v>
      </c>
      <c r="S90" t="s">
        <v>1603</v>
      </c>
    </row>
    <row r="91" spans="1:19" x14ac:dyDescent="0.2">
      <c r="A91">
        <v>83</v>
      </c>
      <c r="B91" t="s">
        <v>246</v>
      </c>
      <c r="C91" t="s">
        <v>1604</v>
      </c>
      <c r="D91">
        <v>91711</v>
      </c>
      <c r="E91">
        <v>1</v>
      </c>
      <c r="F91">
        <v>101834102</v>
      </c>
      <c r="G91" t="s">
        <v>1495</v>
      </c>
      <c r="H91" t="s">
        <v>98</v>
      </c>
      <c r="I91" s="3">
        <v>0.33333333333333331</v>
      </c>
      <c r="J91" t="s">
        <v>98</v>
      </c>
      <c r="K91" s="3">
        <v>0.33333333333333331</v>
      </c>
      <c r="L91" t="s">
        <v>98</v>
      </c>
      <c r="M91" s="3">
        <v>0.33333333333333331</v>
      </c>
      <c r="N91" t="s">
        <v>98</v>
      </c>
      <c r="O91" s="3">
        <v>0.33333333333333331</v>
      </c>
      <c r="P91" t="s">
        <v>98</v>
      </c>
      <c r="Q91" s="3">
        <v>0.33333333333333331</v>
      </c>
      <c r="R91" t="b">
        <v>1</v>
      </c>
      <c r="S91" t="s">
        <v>1605</v>
      </c>
    </row>
    <row r="92" spans="1:19" x14ac:dyDescent="0.2">
      <c r="A92">
        <v>84</v>
      </c>
      <c r="B92" t="s">
        <v>1275</v>
      </c>
      <c r="C92" t="s">
        <v>1276</v>
      </c>
      <c r="D92">
        <v>92505</v>
      </c>
      <c r="E92">
        <v>30</v>
      </c>
      <c r="F92">
        <v>103614671</v>
      </c>
      <c r="G92" t="s">
        <v>914</v>
      </c>
      <c r="H92" t="s">
        <v>103</v>
      </c>
      <c r="I92" s="3">
        <v>0.33333333333333331</v>
      </c>
      <c r="J92" t="s">
        <v>113</v>
      </c>
      <c r="K92" s="3">
        <v>0.33333333333333331</v>
      </c>
      <c r="L92" t="s">
        <v>195</v>
      </c>
      <c r="M92" s="3">
        <v>0.33333333333333331</v>
      </c>
      <c r="N92" t="s">
        <v>103</v>
      </c>
      <c r="O92" s="3">
        <v>0.33333333333333331</v>
      </c>
      <c r="P92" t="s">
        <v>103</v>
      </c>
      <c r="Q92" s="3">
        <v>0.33333333333333331</v>
      </c>
      <c r="R92" t="b">
        <v>1</v>
      </c>
      <c r="S92" t="s">
        <v>1606</v>
      </c>
    </row>
    <row r="93" spans="1:19" x14ac:dyDescent="0.2">
      <c r="A93">
        <v>85</v>
      </c>
      <c r="B93" t="s">
        <v>970</v>
      </c>
      <c r="C93" t="s">
        <v>971</v>
      </c>
      <c r="D93">
        <v>91767</v>
      </c>
      <c r="E93">
        <v>2.1</v>
      </c>
      <c r="F93">
        <v>10370542</v>
      </c>
      <c r="G93" t="s">
        <v>914</v>
      </c>
      <c r="H93" t="s">
        <v>195</v>
      </c>
      <c r="I93" s="3">
        <v>0.33333333333333331</v>
      </c>
      <c r="J93" t="s">
        <v>933</v>
      </c>
      <c r="K93" s="3">
        <v>0.33333333333333331</v>
      </c>
      <c r="L93" t="s">
        <v>933</v>
      </c>
      <c r="M93" s="3">
        <v>0.33333333333333331</v>
      </c>
      <c r="N93" t="s">
        <v>191</v>
      </c>
      <c r="O93" s="3">
        <v>0.33333333333333331</v>
      </c>
      <c r="P93" t="s">
        <v>933</v>
      </c>
      <c r="Q93" s="3">
        <v>0.33333333333333331</v>
      </c>
      <c r="R93" t="b">
        <v>1</v>
      </c>
      <c r="S93" t="s">
        <v>1607</v>
      </c>
    </row>
    <row r="94" spans="1:19" x14ac:dyDescent="0.2">
      <c r="A94">
        <v>86</v>
      </c>
      <c r="B94" t="s">
        <v>449</v>
      </c>
      <c r="C94" t="s">
        <v>506</v>
      </c>
      <c r="D94">
        <v>91010</v>
      </c>
      <c r="E94">
        <v>16</v>
      </c>
      <c r="F94">
        <v>103704971</v>
      </c>
      <c r="G94" t="s">
        <v>914</v>
      </c>
      <c r="H94" t="s">
        <v>113</v>
      </c>
      <c r="I94" s="3">
        <v>0.33333333333333331</v>
      </c>
      <c r="J94" t="s">
        <v>113</v>
      </c>
      <c r="K94" s="3">
        <v>0.33333333333333331</v>
      </c>
      <c r="L94" t="s">
        <v>113</v>
      </c>
      <c r="M94" s="3">
        <v>0.33333333333333331</v>
      </c>
      <c r="N94" t="s">
        <v>113</v>
      </c>
      <c r="O94" s="3">
        <v>0.33333333333333331</v>
      </c>
      <c r="P94" t="s">
        <v>103</v>
      </c>
      <c r="Q94" s="3">
        <v>0.33333333333333331</v>
      </c>
      <c r="R94" t="b">
        <v>1</v>
      </c>
      <c r="S94" t="s">
        <v>1608</v>
      </c>
    </row>
    <row r="95" spans="1:19" x14ac:dyDescent="0.2">
      <c r="A95">
        <v>87</v>
      </c>
      <c r="B95" t="s">
        <v>1234</v>
      </c>
      <c r="C95" t="s">
        <v>1235</v>
      </c>
      <c r="D95">
        <v>92377</v>
      </c>
      <c r="E95">
        <v>21.5</v>
      </c>
      <c r="F95">
        <v>103688112</v>
      </c>
      <c r="G95" t="s">
        <v>914</v>
      </c>
      <c r="H95" t="s">
        <v>113</v>
      </c>
      <c r="I95" s="3">
        <v>0.29166666666666669</v>
      </c>
      <c r="J95" t="s">
        <v>113</v>
      </c>
      <c r="K95" s="3">
        <v>0.29166666666666669</v>
      </c>
      <c r="L95" t="s">
        <v>113</v>
      </c>
      <c r="M95" s="3">
        <v>0.29166666666666669</v>
      </c>
      <c r="N95" t="s">
        <v>113</v>
      </c>
      <c r="O95" s="3">
        <v>0.29166666666666669</v>
      </c>
      <c r="P95" t="s">
        <v>113</v>
      </c>
      <c r="Q95" s="3">
        <v>0.29166666666666669</v>
      </c>
      <c r="R95" t="b">
        <v>1</v>
      </c>
      <c r="S95" t="s">
        <v>1609</v>
      </c>
    </row>
    <row r="96" spans="1:19" x14ac:dyDescent="0.2">
      <c r="A96">
        <v>88</v>
      </c>
      <c r="B96" t="s">
        <v>1316</v>
      </c>
      <c r="C96" t="s">
        <v>1317</v>
      </c>
      <c r="D96">
        <v>92612</v>
      </c>
      <c r="E96">
        <v>45</v>
      </c>
      <c r="F96">
        <v>103730673</v>
      </c>
      <c r="G96" t="s">
        <v>914</v>
      </c>
      <c r="H96" t="s">
        <v>103</v>
      </c>
      <c r="I96" s="3">
        <v>0.33333333333333331</v>
      </c>
      <c r="J96" t="s">
        <v>195</v>
      </c>
      <c r="K96" s="3">
        <v>0.33333333333333331</v>
      </c>
      <c r="L96" t="s">
        <v>103</v>
      </c>
      <c r="M96" s="3">
        <v>0.33333333333333331</v>
      </c>
      <c r="N96" t="s">
        <v>195</v>
      </c>
      <c r="O96" s="3">
        <v>0.33333333333333331</v>
      </c>
      <c r="P96" t="s">
        <v>113</v>
      </c>
      <c r="Q96" s="3">
        <v>0.33333333333333331</v>
      </c>
      <c r="R96" t="b">
        <v>1</v>
      </c>
      <c r="S96" t="s">
        <v>1610</v>
      </c>
    </row>
    <row r="97" spans="1:19" x14ac:dyDescent="0.2">
      <c r="A97">
        <v>89</v>
      </c>
      <c r="B97" t="s">
        <v>893</v>
      </c>
      <c r="C97" t="s">
        <v>390</v>
      </c>
      <c r="D97">
        <v>91711</v>
      </c>
      <c r="E97">
        <v>1.5</v>
      </c>
      <c r="F97">
        <v>100132311</v>
      </c>
      <c r="G97" t="s">
        <v>914</v>
      </c>
      <c r="H97" t="s">
        <v>98</v>
      </c>
      <c r="I97" s="3">
        <v>0.33333333333333331</v>
      </c>
      <c r="J97" t="s">
        <v>98</v>
      </c>
      <c r="K97" s="3">
        <v>0.33333333333333331</v>
      </c>
      <c r="L97" t="s">
        <v>98</v>
      </c>
      <c r="M97" s="3">
        <v>0.33333333333333331</v>
      </c>
      <c r="N97" t="s">
        <v>98</v>
      </c>
      <c r="O97" s="3">
        <v>0.33333333333333331</v>
      </c>
      <c r="P97" t="s">
        <v>933</v>
      </c>
      <c r="Q97" s="3">
        <v>0.33333333333333331</v>
      </c>
      <c r="R97" t="b">
        <v>1</v>
      </c>
      <c r="S97" t="s">
        <v>1611</v>
      </c>
    </row>
    <row r="98" spans="1:19" x14ac:dyDescent="0.2">
      <c r="A98">
        <v>90</v>
      </c>
      <c r="B98" t="s">
        <v>978</v>
      </c>
      <c r="C98" t="s">
        <v>979</v>
      </c>
      <c r="D98">
        <v>91767</v>
      </c>
      <c r="E98">
        <v>2.9</v>
      </c>
      <c r="F98">
        <v>10370859</v>
      </c>
      <c r="G98" t="s">
        <v>914</v>
      </c>
      <c r="H98" t="s">
        <v>191</v>
      </c>
      <c r="I98" s="3">
        <v>0.33333333333333331</v>
      </c>
      <c r="J98" t="s">
        <v>191</v>
      </c>
      <c r="K98" s="3">
        <v>0.33333333333333331</v>
      </c>
      <c r="L98" t="s">
        <v>191</v>
      </c>
      <c r="M98" s="3">
        <v>0.33333333333333331</v>
      </c>
      <c r="N98" t="s">
        <v>191</v>
      </c>
      <c r="O98" s="3">
        <v>0.33333333333333331</v>
      </c>
      <c r="P98" t="s">
        <v>113</v>
      </c>
      <c r="Q98" s="3">
        <v>0.3125</v>
      </c>
      <c r="R98" t="b">
        <v>1</v>
      </c>
      <c r="S98" t="s">
        <v>1612</v>
      </c>
    </row>
    <row r="99" spans="1:19" x14ac:dyDescent="0.2">
      <c r="A99">
        <v>91</v>
      </c>
      <c r="B99" t="s">
        <v>1613</v>
      </c>
      <c r="C99" t="s">
        <v>1614</v>
      </c>
      <c r="D99">
        <v>91106</v>
      </c>
      <c r="E99">
        <v>28</v>
      </c>
      <c r="F99">
        <v>100891271</v>
      </c>
      <c r="G99" t="s">
        <v>1495</v>
      </c>
      <c r="H99" t="s">
        <v>113</v>
      </c>
      <c r="I99" s="3">
        <v>0.35416666666666669</v>
      </c>
      <c r="J99" t="s">
        <v>113</v>
      </c>
      <c r="K99" s="3">
        <v>0.35416666666666669</v>
      </c>
      <c r="L99" t="s">
        <v>113</v>
      </c>
      <c r="M99" s="3">
        <v>0.35416666666666669</v>
      </c>
      <c r="N99" t="s">
        <v>113</v>
      </c>
      <c r="O99" s="3">
        <v>0.35416666666666669</v>
      </c>
      <c r="P99" t="s">
        <v>113</v>
      </c>
      <c r="Q99" s="3">
        <v>0.35416666666666669</v>
      </c>
      <c r="R99" t="b">
        <v>1</v>
      </c>
      <c r="S99" t="s">
        <v>1615</v>
      </c>
    </row>
    <row r="100" spans="1:19" x14ac:dyDescent="0.2">
      <c r="A100">
        <v>92</v>
      </c>
      <c r="B100" t="s">
        <v>184</v>
      </c>
      <c r="C100" t="s">
        <v>397</v>
      </c>
      <c r="D100">
        <v>91786</v>
      </c>
      <c r="E100">
        <v>3</v>
      </c>
      <c r="F100">
        <v>10120810</v>
      </c>
      <c r="G100" t="s">
        <v>914</v>
      </c>
      <c r="H100" t="s">
        <v>113</v>
      </c>
      <c r="I100" s="3">
        <v>0.33333333333333331</v>
      </c>
      <c r="J100" t="s">
        <v>113</v>
      </c>
      <c r="K100" s="3">
        <v>0.33333333333333331</v>
      </c>
      <c r="L100" t="s">
        <v>113</v>
      </c>
      <c r="M100" s="3">
        <v>0.33333333333333331</v>
      </c>
      <c r="N100" t="s">
        <v>195</v>
      </c>
      <c r="O100" s="3">
        <v>0.33333333333333331</v>
      </c>
      <c r="P100" t="s">
        <v>195</v>
      </c>
      <c r="Q100" s="3">
        <v>0.33333333333333331</v>
      </c>
      <c r="R100" t="b">
        <v>1</v>
      </c>
      <c r="S100" t="s">
        <v>1616</v>
      </c>
    </row>
    <row r="101" spans="1:19" x14ac:dyDescent="0.2">
      <c r="A101">
        <v>93</v>
      </c>
      <c r="B101" t="s">
        <v>1086</v>
      </c>
      <c r="C101" t="s">
        <v>1203</v>
      </c>
      <c r="D101">
        <v>92336</v>
      </c>
      <c r="E101">
        <v>16.8</v>
      </c>
      <c r="F101">
        <v>10042188</v>
      </c>
      <c r="G101" t="s">
        <v>914</v>
      </c>
      <c r="H101" t="s">
        <v>113</v>
      </c>
      <c r="I101" s="3">
        <v>0.33333333333333331</v>
      </c>
      <c r="J101" t="s">
        <v>113</v>
      </c>
      <c r="K101" s="3">
        <v>0.33333333333333331</v>
      </c>
      <c r="L101" t="s">
        <v>113</v>
      </c>
      <c r="M101" s="3">
        <v>0.33333333333333331</v>
      </c>
      <c r="N101" t="s">
        <v>113</v>
      </c>
      <c r="O101" s="3">
        <v>0.33333333333333331</v>
      </c>
      <c r="P101" t="s">
        <v>113</v>
      </c>
      <c r="Q101" s="3">
        <v>0.33333333333333331</v>
      </c>
      <c r="R101" t="b">
        <v>1</v>
      </c>
      <c r="S101" t="s">
        <v>1617</v>
      </c>
    </row>
    <row r="102" spans="1:19" x14ac:dyDescent="0.2">
      <c r="A102">
        <v>94</v>
      </c>
      <c r="B102" t="s">
        <v>1618</v>
      </c>
      <c r="C102" t="s">
        <v>1619</v>
      </c>
      <c r="D102">
        <v>91711</v>
      </c>
      <c r="E102">
        <v>0.8</v>
      </c>
      <c r="F102">
        <v>10370232</v>
      </c>
      <c r="G102" t="s">
        <v>1495</v>
      </c>
      <c r="H102" t="s">
        <v>92</v>
      </c>
      <c r="I102" s="3">
        <v>0.35416666666666669</v>
      </c>
      <c r="J102" t="s">
        <v>92</v>
      </c>
      <c r="K102" s="3">
        <v>0.35416666666666669</v>
      </c>
      <c r="L102" t="s">
        <v>92</v>
      </c>
      <c r="M102" s="3">
        <v>0.35416666666666669</v>
      </c>
      <c r="N102" t="s">
        <v>92</v>
      </c>
      <c r="O102" s="3">
        <v>0.35416666666666669</v>
      </c>
      <c r="P102" t="s">
        <v>92</v>
      </c>
      <c r="Q102" s="3">
        <v>0.35416666666666669</v>
      </c>
      <c r="R102" t="b">
        <v>1</v>
      </c>
      <c r="S102" t="s">
        <v>1620</v>
      </c>
    </row>
    <row r="103" spans="1:19" x14ac:dyDescent="0.2">
      <c r="A103">
        <v>95</v>
      </c>
      <c r="B103" t="s">
        <v>457</v>
      </c>
      <c r="C103" t="s">
        <v>1621</v>
      </c>
      <c r="D103">
        <v>90808</v>
      </c>
      <c r="E103">
        <v>39</v>
      </c>
      <c r="F103" t="s">
        <v>1622</v>
      </c>
      <c r="G103" t="s">
        <v>1495</v>
      </c>
      <c r="H103" t="s">
        <v>108</v>
      </c>
      <c r="I103" s="3">
        <v>0.4375</v>
      </c>
      <c r="J103" t="s">
        <v>108</v>
      </c>
      <c r="K103" s="3">
        <v>0.41666666666666669</v>
      </c>
      <c r="L103" t="s">
        <v>108</v>
      </c>
      <c r="M103" s="3">
        <v>0.375</v>
      </c>
      <c r="N103" t="s">
        <v>74</v>
      </c>
      <c r="O103" s="3">
        <v>0.4375</v>
      </c>
      <c r="P103" t="s">
        <v>74</v>
      </c>
      <c r="Q103" s="3">
        <v>0.45833333333333331</v>
      </c>
      <c r="R103" t="b">
        <v>1</v>
      </c>
      <c r="S103" t="s">
        <v>1623</v>
      </c>
    </row>
    <row r="104" spans="1:19" x14ac:dyDescent="0.2">
      <c r="A104">
        <v>96</v>
      </c>
      <c r="B104" t="s">
        <v>33</v>
      </c>
      <c r="C104" t="s">
        <v>27</v>
      </c>
      <c r="D104">
        <v>91706</v>
      </c>
      <c r="E104">
        <v>18</v>
      </c>
      <c r="F104">
        <v>103477621</v>
      </c>
      <c r="G104" t="s">
        <v>914</v>
      </c>
      <c r="H104" t="s">
        <v>103</v>
      </c>
      <c r="I104" s="3">
        <v>0.33333333333333331</v>
      </c>
      <c r="J104" t="s">
        <v>113</v>
      </c>
      <c r="K104" s="3">
        <v>0.33333333333333331</v>
      </c>
      <c r="L104" t="s">
        <v>195</v>
      </c>
      <c r="M104" s="3">
        <v>0.33333333333333331</v>
      </c>
      <c r="N104" t="s">
        <v>195</v>
      </c>
      <c r="O104" s="3">
        <v>0.33333333333333331</v>
      </c>
      <c r="P104" t="s">
        <v>103</v>
      </c>
      <c r="Q104" s="3">
        <v>0.33333333333333331</v>
      </c>
      <c r="R104" t="b">
        <v>1</v>
      </c>
      <c r="S104" t="s">
        <v>1624</v>
      </c>
    </row>
    <row r="105" spans="1:19" x14ac:dyDescent="0.2">
      <c r="A105">
        <v>97</v>
      </c>
      <c r="B105" t="s">
        <v>1344</v>
      </c>
      <c r="C105" t="s">
        <v>1625</v>
      </c>
      <c r="D105">
        <v>91711</v>
      </c>
      <c r="E105">
        <v>1</v>
      </c>
      <c r="F105">
        <v>10042428</v>
      </c>
      <c r="G105" t="s">
        <v>1495</v>
      </c>
      <c r="H105" t="s">
        <v>74</v>
      </c>
      <c r="I105" s="3">
        <v>0.75</v>
      </c>
      <c r="J105" t="s">
        <v>202</v>
      </c>
      <c r="K105" s="3">
        <v>0.45833333333333331</v>
      </c>
      <c r="L105" t="s">
        <v>74</v>
      </c>
      <c r="M105" s="3">
        <v>0.75</v>
      </c>
      <c r="N105" t="s">
        <v>202</v>
      </c>
      <c r="O105" s="3">
        <v>0.45833333333333331</v>
      </c>
      <c r="P105" t="s">
        <v>202</v>
      </c>
      <c r="Q105" s="3">
        <v>0.45833333333333331</v>
      </c>
      <c r="R105" t="b">
        <v>0</v>
      </c>
      <c r="S105" t="s">
        <v>1626</v>
      </c>
    </row>
    <row r="106" spans="1:19" x14ac:dyDescent="0.2">
      <c r="A106">
        <v>98</v>
      </c>
      <c r="B106" t="s">
        <v>783</v>
      </c>
      <c r="C106" t="s">
        <v>782</v>
      </c>
      <c r="D106">
        <v>92821</v>
      </c>
      <c r="E106">
        <v>20</v>
      </c>
      <c r="F106" t="s">
        <v>1223</v>
      </c>
      <c r="G106" t="s">
        <v>914</v>
      </c>
      <c r="H106" t="s">
        <v>191</v>
      </c>
      <c r="I106" s="3">
        <v>0.33333333333333331</v>
      </c>
      <c r="J106" t="s">
        <v>113</v>
      </c>
      <c r="K106" s="3">
        <v>0.33333333333333331</v>
      </c>
      <c r="L106" t="s">
        <v>113</v>
      </c>
      <c r="M106" s="3">
        <v>0.33333333333333331</v>
      </c>
      <c r="N106" t="s">
        <v>113</v>
      </c>
      <c r="O106" s="3">
        <v>0.33333333333333331</v>
      </c>
      <c r="P106" t="s">
        <v>103</v>
      </c>
      <c r="Q106" s="3">
        <v>0.33333333333333331</v>
      </c>
      <c r="R106" t="b">
        <v>1</v>
      </c>
      <c r="S106" t="s">
        <v>1627</v>
      </c>
    </row>
    <row r="107" spans="1:19" x14ac:dyDescent="0.2">
      <c r="A107">
        <v>99</v>
      </c>
      <c r="B107" t="s">
        <v>1260</v>
      </c>
      <c r="C107" t="s">
        <v>1261</v>
      </c>
      <c r="D107">
        <v>92501</v>
      </c>
      <c r="E107">
        <v>26</v>
      </c>
      <c r="F107">
        <v>10187804</v>
      </c>
      <c r="G107" t="s">
        <v>914</v>
      </c>
      <c r="H107" t="s">
        <v>113</v>
      </c>
      <c r="I107" s="3">
        <v>0.22916666666666666</v>
      </c>
      <c r="J107" t="s">
        <v>113</v>
      </c>
      <c r="K107" s="3">
        <v>0.22916666666666666</v>
      </c>
      <c r="L107" t="s">
        <v>85</v>
      </c>
      <c r="M107" s="3">
        <v>0.22916666666666666</v>
      </c>
      <c r="N107" t="s">
        <v>85</v>
      </c>
      <c r="O107" s="3">
        <v>0.22916666666666666</v>
      </c>
      <c r="P107" t="s">
        <v>85</v>
      </c>
      <c r="Q107" s="3">
        <v>0.22916666666666666</v>
      </c>
      <c r="R107" t="b">
        <v>0</v>
      </c>
      <c r="S107" t="s">
        <v>1628</v>
      </c>
    </row>
    <row r="108" spans="1:19" x14ac:dyDescent="0.2">
      <c r="A108">
        <v>100</v>
      </c>
      <c r="B108" t="s">
        <v>711</v>
      </c>
      <c r="C108" t="s">
        <v>710</v>
      </c>
      <c r="D108">
        <v>91711</v>
      </c>
      <c r="E108">
        <v>0.1</v>
      </c>
      <c r="F108">
        <v>10355979</v>
      </c>
      <c r="G108" t="s">
        <v>914</v>
      </c>
      <c r="H108" t="s">
        <v>92</v>
      </c>
      <c r="I108" s="3">
        <v>0.33333333333333331</v>
      </c>
      <c r="J108" t="s">
        <v>92</v>
      </c>
      <c r="K108" s="3">
        <v>0.33333333333333331</v>
      </c>
      <c r="L108" t="s">
        <v>92</v>
      </c>
      <c r="M108" s="3">
        <v>0.33333333333333331</v>
      </c>
      <c r="N108" t="s">
        <v>92</v>
      </c>
      <c r="O108" s="3">
        <v>0.33333333333333331</v>
      </c>
      <c r="P108" t="s">
        <v>92</v>
      </c>
      <c r="Q108" s="3">
        <v>0.33333333333333331</v>
      </c>
      <c r="R108" t="b">
        <v>1</v>
      </c>
      <c r="S108" t="s">
        <v>1629</v>
      </c>
    </row>
    <row r="109" spans="1:19" x14ac:dyDescent="0.2">
      <c r="A109">
        <v>101</v>
      </c>
      <c r="B109" t="s">
        <v>565</v>
      </c>
      <c r="C109" t="s">
        <v>715</v>
      </c>
      <c r="D109">
        <v>91763</v>
      </c>
      <c r="E109">
        <v>0.7</v>
      </c>
      <c r="F109">
        <v>10370640</v>
      </c>
      <c r="G109" t="s">
        <v>914</v>
      </c>
      <c r="H109" t="s">
        <v>113</v>
      </c>
      <c r="I109" s="3">
        <v>0.35416666666666669</v>
      </c>
      <c r="J109" t="s">
        <v>113</v>
      </c>
      <c r="K109" s="3">
        <v>0.35416666666666669</v>
      </c>
      <c r="L109" t="s">
        <v>113</v>
      </c>
      <c r="M109" s="3">
        <v>0.35416666666666669</v>
      </c>
      <c r="N109" t="s">
        <v>113</v>
      </c>
      <c r="O109" s="3">
        <v>0.35416666666666669</v>
      </c>
      <c r="P109" t="s">
        <v>113</v>
      </c>
      <c r="Q109" s="3">
        <v>0.35416666666666669</v>
      </c>
      <c r="R109" t="b">
        <v>1</v>
      </c>
      <c r="S109" t="s">
        <v>1630</v>
      </c>
    </row>
    <row r="110" spans="1:19" x14ac:dyDescent="0.2">
      <c r="A110">
        <v>102</v>
      </c>
      <c r="B110" t="s">
        <v>285</v>
      </c>
      <c r="C110" t="s">
        <v>1631</v>
      </c>
      <c r="D110">
        <v>91711</v>
      </c>
      <c r="E110">
        <v>0.5</v>
      </c>
      <c r="F110">
        <v>10371440</v>
      </c>
      <c r="G110" t="s">
        <v>1632</v>
      </c>
      <c r="H110" t="s">
        <v>202</v>
      </c>
      <c r="I110" s="3">
        <v>0.25</v>
      </c>
      <c r="J110" t="s">
        <v>92</v>
      </c>
      <c r="K110" s="3">
        <v>0.4375</v>
      </c>
      <c r="L110" t="s">
        <v>202</v>
      </c>
      <c r="M110" s="3">
        <v>0.25</v>
      </c>
      <c r="N110" t="s">
        <v>92</v>
      </c>
      <c r="O110" s="3">
        <v>0.4375</v>
      </c>
      <c r="P110" t="s">
        <v>92</v>
      </c>
      <c r="Q110" s="3">
        <v>0.35416666666666669</v>
      </c>
      <c r="R110" t="b">
        <v>1</v>
      </c>
      <c r="S110" t="s">
        <v>1633</v>
      </c>
    </row>
    <row r="111" spans="1:19" x14ac:dyDescent="0.2">
      <c r="A111">
        <v>103</v>
      </c>
      <c r="B111" t="s">
        <v>1080</v>
      </c>
      <c r="C111" t="s">
        <v>1081</v>
      </c>
      <c r="D111">
        <v>91761</v>
      </c>
      <c r="E111">
        <v>7.4</v>
      </c>
      <c r="F111">
        <v>10356289</v>
      </c>
      <c r="G111" t="s">
        <v>914</v>
      </c>
      <c r="H111" t="s">
        <v>113</v>
      </c>
      <c r="I111" s="3">
        <v>0.25</v>
      </c>
      <c r="J111" t="s">
        <v>113</v>
      </c>
      <c r="K111" s="3">
        <v>0.25</v>
      </c>
      <c r="L111" t="s">
        <v>113</v>
      </c>
      <c r="M111" s="3">
        <v>0.25</v>
      </c>
      <c r="N111" t="s">
        <v>113</v>
      </c>
      <c r="O111" s="3">
        <v>0.25</v>
      </c>
      <c r="P111" t="s">
        <v>113</v>
      </c>
      <c r="Q111" s="3">
        <v>0.25</v>
      </c>
      <c r="R111" t="b">
        <v>1</v>
      </c>
      <c r="S111" t="s">
        <v>1634</v>
      </c>
    </row>
    <row r="112" spans="1:19" x14ac:dyDescent="0.2">
      <c r="A112">
        <v>104</v>
      </c>
      <c r="B112" t="s">
        <v>148</v>
      </c>
      <c r="C112" t="s">
        <v>1635</v>
      </c>
      <c r="D112">
        <v>91711</v>
      </c>
      <c r="E112">
        <v>2</v>
      </c>
      <c r="F112">
        <v>10180184</v>
      </c>
      <c r="G112" t="s">
        <v>1495</v>
      </c>
      <c r="H112" t="s">
        <v>98</v>
      </c>
      <c r="I112" s="3">
        <v>0.375</v>
      </c>
      <c r="J112" t="s">
        <v>98</v>
      </c>
      <c r="K112" s="3">
        <v>0.375</v>
      </c>
      <c r="L112" t="s">
        <v>98</v>
      </c>
      <c r="M112" s="3">
        <v>0.375</v>
      </c>
      <c r="N112" t="s">
        <v>98</v>
      </c>
      <c r="O112" s="3">
        <v>0.375</v>
      </c>
      <c r="P112" t="s">
        <v>98</v>
      </c>
      <c r="Q112" s="3">
        <v>0.375</v>
      </c>
      <c r="R112" t="b">
        <v>1</v>
      </c>
      <c r="S112" t="s">
        <v>1636</v>
      </c>
    </row>
    <row r="113" spans="1:19" x14ac:dyDescent="0.2">
      <c r="A113">
        <v>105</v>
      </c>
      <c r="B113" t="s">
        <v>966</v>
      </c>
      <c r="C113" t="s">
        <v>1637</v>
      </c>
      <c r="D113">
        <v>91711</v>
      </c>
      <c r="E113">
        <v>0.5</v>
      </c>
      <c r="F113">
        <v>10371018</v>
      </c>
      <c r="G113" t="s">
        <v>1638</v>
      </c>
      <c r="H113" t="s">
        <v>92</v>
      </c>
      <c r="I113" s="3">
        <v>0.54166666666666663</v>
      </c>
      <c r="J113" t="s">
        <v>202</v>
      </c>
      <c r="K113" s="3">
        <v>0.25</v>
      </c>
      <c r="L113" t="s">
        <v>92</v>
      </c>
      <c r="M113" s="3">
        <v>0.45833333333333331</v>
      </c>
      <c r="N113" t="s">
        <v>202</v>
      </c>
      <c r="O113" s="3">
        <v>0.25</v>
      </c>
      <c r="P113" t="s">
        <v>92</v>
      </c>
      <c r="Q113" s="3">
        <v>0.33333333333333331</v>
      </c>
      <c r="R113" t="b">
        <v>1</v>
      </c>
      <c r="S113" t="s">
        <v>1639</v>
      </c>
    </row>
    <row r="114" spans="1:19" x14ac:dyDescent="0.2">
      <c r="A114">
        <v>106</v>
      </c>
      <c r="B114" t="s">
        <v>144</v>
      </c>
      <c r="C114" t="s">
        <v>1038</v>
      </c>
      <c r="D114">
        <v>91784</v>
      </c>
      <c r="E114">
        <v>5</v>
      </c>
      <c r="F114">
        <v>10361237</v>
      </c>
      <c r="G114" t="s">
        <v>914</v>
      </c>
      <c r="H114" t="s">
        <v>113</v>
      </c>
      <c r="I114" s="3">
        <v>0.33333333333333331</v>
      </c>
      <c r="J114" t="s">
        <v>113</v>
      </c>
      <c r="K114" s="3">
        <v>0.33333333333333331</v>
      </c>
      <c r="L114" t="s">
        <v>113</v>
      </c>
      <c r="M114" s="3">
        <v>0.33333333333333331</v>
      </c>
      <c r="N114" t="s">
        <v>113</v>
      </c>
      <c r="O114" s="3">
        <v>0.33333333333333331</v>
      </c>
      <c r="P114" t="s">
        <v>103</v>
      </c>
      <c r="Q114" s="3">
        <v>0.33333333333333331</v>
      </c>
      <c r="R114" t="b">
        <v>1</v>
      </c>
      <c r="S114" t="s">
        <v>1640</v>
      </c>
    </row>
    <row r="115" spans="1:19" x14ac:dyDescent="0.2">
      <c r="A115">
        <v>107</v>
      </c>
      <c r="B115" t="s">
        <v>1641</v>
      </c>
      <c r="C115" t="s">
        <v>1642</v>
      </c>
      <c r="D115">
        <v>91711</v>
      </c>
      <c r="E115">
        <v>0.5</v>
      </c>
      <c r="F115">
        <v>91711</v>
      </c>
      <c r="G115" t="s">
        <v>1632</v>
      </c>
      <c r="H115" t="s">
        <v>92</v>
      </c>
      <c r="I115" s="3">
        <v>0.45833333333333331</v>
      </c>
      <c r="J115" t="s">
        <v>92</v>
      </c>
      <c r="K115" s="3">
        <v>0.45833333333333331</v>
      </c>
      <c r="L115" t="s">
        <v>92</v>
      </c>
      <c r="M115" s="3">
        <v>0.45833333333333331</v>
      </c>
      <c r="N115" t="s">
        <v>92</v>
      </c>
      <c r="O115" s="3">
        <v>0.45833333333333331</v>
      </c>
      <c r="P115" t="s">
        <v>92</v>
      </c>
      <c r="Q115" s="3">
        <v>0.45833333333333331</v>
      </c>
      <c r="R115" t="b">
        <v>0</v>
      </c>
      <c r="S115" t="s">
        <v>1643</v>
      </c>
    </row>
    <row r="116" spans="1:19" x14ac:dyDescent="0.2">
      <c r="A116">
        <v>108</v>
      </c>
      <c r="B116" t="s">
        <v>654</v>
      </c>
      <c r="C116" t="s">
        <v>1039</v>
      </c>
      <c r="D116">
        <v>91750</v>
      </c>
      <c r="E116">
        <v>5</v>
      </c>
      <c r="F116">
        <v>10283454</v>
      </c>
      <c r="G116" t="s">
        <v>914</v>
      </c>
      <c r="H116" t="s">
        <v>113</v>
      </c>
      <c r="I116" s="3">
        <v>0.25</v>
      </c>
      <c r="J116" t="s">
        <v>113</v>
      </c>
      <c r="K116" s="3">
        <v>0.25</v>
      </c>
      <c r="L116" t="s">
        <v>113</v>
      </c>
      <c r="M116" s="3">
        <v>0.25</v>
      </c>
      <c r="N116" t="s">
        <v>113</v>
      </c>
      <c r="O116" s="3">
        <v>0.25</v>
      </c>
      <c r="P116" t="s">
        <v>113</v>
      </c>
      <c r="Q116" s="3">
        <v>0.25</v>
      </c>
      <c r="R116" t="b">
        <v>1</v>
      </c>
      <c r="S116" t="s">
        <v>1644</v>
      </c>
    </row>
    <row r="117" spans="1:19" x14ac:dyDescent="0.2">
      <c r="A117">
        <v>109</v>
      </c>
      <c r="B117" t="s">
        <v>159</v>
      </c>
      <c r="C117" t="s">
        <v>155</v>
      </c>
      <c r="D117">
        <v>91763</v>
      </c>
      <c r="E117">
        <v>3</v>
      </c>
      <c r="F117">
        <v>10043299</v>
      </c>
      <c r="G117" t="s">
        <v>914</v>
      </c>
      <c r="H117" t="s">
        <v>113</v>
      </c>
      <c r="I117" s="3">
        <v>0.27083333333333331</v>
      </c>
      <c r="J117" t="s">
        <v>113</v>
      </c>
      <c r="K117" s="3">
        <v>0.27083333333333331</v>
      </c>
      <c r="L117" t="s">
        <v>113</v>
      </c>
      <c r="M117" s="3">
        <v>0.27083333333333331</v>
      </c>
      <c r="N117" t="s">
        <v>113</v>
      </c>
      <c r="O117" s="3">
        <v>0.27083333333333331</v>
      </c>
      <c r="P117" t="s">
        <v>113</v>
      </c>
      <c r="Q117" s="3">
        <v>0.27083333333333331</v>
      </c>
      <c r="R117" t="b">
        <v>1</v>
      </c>
      <c r="S117" t="s">
        <v>1645</v>
      </c>
    </row>
    <row r="118" spans="1:19" x14ac:dyDescent="0.2">
      <c r="A118">
        <v>110</v>
      </c>
      <c r="B118" t="s">
        <v>56</v>
      </c>
      <c r="C118" t="s">
        <v>55</v>
      </c>
      <c r="D118">
        <v>91761</v>
      </c>
      <c r="E118">
        <v>8.4</v>
      </c>
      <c r="F118" t="s">
        <v>1114</v>
      </c>
      <c r="G118" t="s">
        <v>914</v>
      </c>
      <c r="H118" t="s">
        <v>113</v>
      </c>
      <c r="I118" s="3">
        <v>0.25</v>
      </c>
      <c r="J118" t="s">
        <v>113</v>
      </c>
      <c r="K118" s="3">
        <v>0.25</v>
      </c>
      <c r="L118" t="s">
        <v>113</v>
      </c>
      <c r="M118" s="3">
        <v>0.25</v>
      </c>
      <c r="N118" t="s">
        <v>113</v>
      </c>
      <c r="O118" s="3">
        <v>0.25</v>
      </c>
      <c r="P118" t="s">
        <v>113</v>
      </c>
      <c r="Q118" s="3">
        <v>0.25</v>
      </c>
      <c r="R118" t="b">
        <v>1</v>
      </c>
      <c r="S118" t="s">
        <v>1646</v>
      </c>
    </row>
    <row r="119" spans="1:19" x14ac:dyDescent="0.2">
      <c r="A119">
        <v>111</v>
      </c>
      <c r="B119" t="s">
        <v>1647</v>
      </c>
      <c r="C119" t="s">
        <v>1648</v>
      </c>
      <c r="D119">
        <v>91711</v>
      </c>
      <c r="E119">
        <v>2</v>
      </c>
      <c r="F119">
        <v>100421361</v>
      </c>
      <c r="G119" t="s">
        <v>1495</v>
      </c>
      <c r="H119" t="s">
        <v>113</v>
      </c>
      <c r="I119" s="3">
        <v>0.45833333333333331</v>
      </c>
      <c r="J119" t="s">
        <v>202</v>
      </c>
      <c r="K119" s="3">
        <v>0.45833333333333331</v>
      </c>
      <c r="L119" t="s">
        <v>202</v>
      </c>
      <c r="M119" s="3">
        <v>0.45833333333333331</v>
      </c>
      <c r="N119" t="s">
        <v>202</v>
      </c>
      <c r="O119" s="3">
        <v>0.45833333333333331</v>
      </c>
      <c r="P119" t="s">
        <v>202</v>
      </c>
      <c r="Q119" s="3">
        <v>0.45833333333333331</v>
      </c>
      <c r="R119" t="b">
        <v>0</v>
      </c>
      <c r="S119" t="s">
        <v>1649</v>
      </c>
    </row>
    <row r="120" spans="1:19" x14ac:dyDescent="0.2">
      <c r="A120">
        <v>112</v>
      </c>
      <c r="B120" t="s">
        <v>1650</v>
      </c>
      <c r="C120" t="s">
        <v>1651</v>
      </c>
      <c r="D120">
        <v>92610</v>
      </c>
      <c r="E120">
        <v>40</v>
      </c>
      <c r="F120">
        <v>10042877</v>
      </c>
      <c r="G120" t="s">
        <v>1495</v>
      </c>
      <c r="H120" t="s">
        <v>202</v>
      </c>
      <c r="I120" s="3">
        <v>0.25</v>
      </c>
      <c r="J120" t="s">
        <v>113</v>
      </c>
      <c r="K120" s="3">
        <v>0.35416666666666669</v>
      </c>
      <c r="L120" t="s">
        <v>113</v>
      </c>
      <c r="M120" s="3">
        <v>0.375</v>
      </c>
      <c r="N120" t="s">
        <v>113</v>
      </c>
      <c r="O120" s="3">
        <v>0.35416666666666669</v>
      </c>
      <c r="P120" t="s">
        <v>202</v>
      </c>
      <c r="Q120" s="3">
        <v>0.25</v>
      </c>
      <c r="R120" t="b">
        <v>1</v>
      </c>
      <c r="S120" t="s">
        <v>1652</v>
      </c>
    </row>
    <row r="121" spans="1:19" x14ac:dyDescent="0.2">
      <c r="A121">
        <v>113</v>
      </c>
      <c r="B121" t="s">
        <v>1240</v>
      </c>
      <c r="C121" t="s">
        <v>1241</v>
      </c>
      <c r="D121">
        <v>92376</v>
      </c>
      <c r="E121">
        <v>23</v>
      </c>
      <c r="F121">
        <v>10368812</v>
      </c>
      <c r="G121" t="s">
        <v>914</v>
      </c>
      <c r="H121" t="s">
        <v>933</v>
      </c>
      <c r="I121" s="3">
        <v>0.33333333333333331</v>
      </c>
      <c r="J121" t="s">
        <v>933</v>
      </c>
      <c r="K121" s="3">
        <v>0.33333333333333331</v>
      </c>
      <c r="L121" t="s">
        <v>933</v>
      </c>
      <c r="M121" s="3">
        <v>0.33333333333333331</v>
      </c>
      <c r="N121" t="s">
        <v>933</v>
      </c>
      <c r="O121" s="3">
        <v>0.33333333333333331</v>
      </c>
      <c r="P121" t="s">
        <v>933</v>
      </c>
      <c r="Q121" s="3">
        <v>0.33333333333333331</v>
      </c>
      <c r="R121" t="b">
        <v>1</v>
      </c>
      <c r="S121" t="s">
        <v>1653</v>
      </c>
    </row>
    <row r="122" spans="1:19" x14ac:dyDescent="0.2">
      <c r="A122">
        <v>114</v>
      </c>
      <c r="B122" t="s">
        <v>403</v>
      </c>
      <c r="C122" t="s">
        <v>1654</v>
      </c>
      <c r="D122">
        <v>90065</v>
      </c>
      <c r="E122">
        <v>25</v>
      </c>
      <c r="F122">
        <v>103809</v>
      </c>
      <c r="G122" t="s">
        <v>1495</v>
      </c>
      <c r="H122" t="s">
        <v>202</v>
      </c>
      <c r="I122" s="3">
        <v>0.25</v>
      </c>
      <c r="J122" t="s">
        <v>202</v>
      </c>
      <c r="K122" s="3">
        <v>0.25</v>
      </c>
      <c r="L122" t="s">
        <v>202</v>
      </c>
      <c r="M122" s="3">
        <v>0.25</v>
      </c>
      <c r="N122" t="s">
        <v>202</v>
      </c>
      <c r="O122" s="3">
        <v>0.25</v>
      </c>
      <c r="P122" t="s">
        <v>113</v>
      </c>
      <c r="Q122" s="3">
        <v>0.375</v>
      </c>
      <c r="R122" t="b">
        <v>1</v>
      </c>
      <c r="S122" t="s">
        <v>1655</v>
      </c>
    </row>
    <row r="123" spans="1:19" x14ac:dyDescent="0.2">
      <c r="A123">
        <v>115</v>
      </c>
      <c r="B123" t="s">
        <v>33</v>
      </c>
      <c r="C123" t="s">
        <v>1656</v>
      </c>
      <c r="D123">
        <v>91711</v>
      </c>
      <c r="E123">
        <v>3</v>
      </c>
      <c r="F123">
        <v>100197373</v>
      </c>
      <c r="G123" t="s">
        <v>1495</v>
      </c>
      <c r="H123" t="s">
        <v>113</v>
      </c>
      <c r="I123" s="3">
        <v>0.35416666666666669</v>
      </c>
      <c r="J123" t="s">
        <v>113</v>
      </c>
      <c r="K123" s="3">
        <v>0.41666666666666669</v>
      </c>
      <c r="L123" t="s">
        <v>113</v>
      </c>
      <c r="M123" s="3">
        <v>0.35416666666666669</v>
      </c>
      <c r="N123" t="s">
        <v>113</v>
      </c>
      <c r="O123" s="3">
        <v>0.41666666666666669</v>
      </c>
      <c r="P123" t="s">
        <v>113</v>
      </c>
      <c r="Q123" s="3">
        <v>0.39583333333333331</v>
      </c>
      <c r="R123" t="b">
        <v>1</v>
      </c>
      <c r="S123" t="s">
        <v>1657</v>
      </c>
    </row>
    <row r="124" spans="1:19" x14ac:dyDescent="0.2">
      <c r="A124">
        <v>116</v>
      </c>
      <c r="B124" t="s">
        <v>867</v>
      </c>
      <c r="C124" t="s">
        <v>1658</v>
      </c>
      <c r="D124">
        <v>91711</v>
      </c>
      <c r="E124">
        <v>1</v>
      </c>
      <c r="F124">
        <v>0</v>
      </c>
      <c r="G124" t="s">
        <v>1495</v>
      </c>
      <c r="H124" t="s">
        <v>98</v>
      </c>
      <c r="I124" s="3">
        <v>0.35416666666666669</v>
      </c>
      <c r="J124" t="s">
        <v>98</v>
      </c>
      <c r="K124" s="3">
        <v>0.375</v>
      </c>
      <c r="L124" t="s">
        <v>113</v>
      </c>
      <c r="M124" s="3">
        <v>0.375</v>
      </c>
      <c r="N124" t="s">
        <v>103</v>
      </c>
      <c r="O124" s="3">
        <v>0.375</v>
      </c>
      <c r="P124" t="s">
        <v>103</v>
      </c>
      <c r="Q124" s="3">
        <v>0.375</v>
      </c>
      <c r="R124" t="b">
        <v>1</v>
      </c>
      <c r="S124" t="s">
        <v>1659</v>
      </c>
    </row>
    <row r="125" spans="1:19" x14ac:dyDescent="0.2">
      <c r="A125">
        <v>117</v>
      </c>
      <c r="B125" t="s">
        <v>584</v>
      </c>
      <c r="C125" t="s">
        <v>1660</v>
      </c>
      <c r="D125">
        <v>91711</v>
      </c>
      <c r="E125">
        <v>1</v>
      </c>
      <c r="F125">
        <v>10365571</v>
      </c>
      <c r="G125" t="s">
        <v>1495</v>
      </c>
      <c r="H125" t="s">
        <v>92</v>
      </c>
      <c r="I125" s="3">
        <v>0.375</v>
      </c>
      <c r="J125" t="s">
        <v>92</v>
      </c>
      <c r="K125" s="3">
        <v>0.375</v>
      </c>
      <c r="L125" t="s">
        <v>92</v>
      </c>
      <c r="M125" s="3">
        <v>0.375</v>
      </c>
      <c r="N125" t="s">
        <v>92</v>
      </c>
      <c r="O125" s="3">
        <v>0.375</v>
      </c>
      <c r="P125" t="s">
        <v>92</v>
      </c>
      <c r="Q125" s="3">
        <v>0.375</v>
      </c>
      <c r="R125" t="b">
        <v>1</v>
      </c>
      <c r="S125" t="s">
        <v>1661</v>
      </c>
    </row>
    <row r="126" spans="1:19" x14ac:dyDescent="0.2">
      <c r="A126">
        <v>118</v>
      </c>
      <c r="B126" t="s">
        <v>1248</v>
      </c>
      <c r="C126" t="s">
        <v>1249</v>
      </c>
      <c r="D126">
        <v>92376</v>
      </c>
      <c r="E126">
        <v>25</v>
      </c>
      <c r="F126">
        <v>10364310</v>
      </c>
      <c r="G126" t="s">
        <v>914</v>
      </c>
      <c r="H126" t="s">
        <v>113</v>
      </c>
      <c r="I126" s="3">
        <v>0.25</v>
      </c>
      <c r="J126" t="s">
        <v>113</v>
      </c>
      <c r="K126" s="3">
        <v>0.25</v>
      </c>
      <c r="L126" t="s">
        <v>113</v>
      </c>
      <c r="M126" s="3">
        <v>0.25</v>
      </c>
      <c r="N126" t="s">
        <v>113</v>
      </c>
      <c r="O126" s="3">
        <v>0.25</v>
      </c>
      <c r="P126" t="s">
        <v>113</v>
      </c>
      <c r="Q126" s="3">
        <v>0.25</v>
      </c>
      <c r="R126" t="b">
        <v>1</v>
      </c>
      <c r="S126" t="s">
        <v>1662</v>
      </c>
    </row>
    <row r="127" spans="1:19" x14ac:dyDescent="0.2">
      <c r="A127">
        <v>119</v>
      </c>
      <c r="B127" t="s">
        <v>1040</v>
      </c>
      <c r="C127" t="s">
        <v>1041</v>
      </c>
      <c r="D127">
        <v>91711</v>
      </c>
      <c r="E127">
        <v>5</v>
      </c>
      <c r="F127">
        <v>103393774</v>
      </c>
      <c r="G127" t="s">
        <v>914</v>
      </c>
      <c r="H127" t="s">
        <v>113</v>
      </c>
      <c r="I127" s="3">
        <v>0.33333333333333331</v>
      </c>
      <c r="J127" t="s">
        <v>113</v>
      </c>
      <c r="K127" s="3">
        <v>0.33333333333333331</v>
      </c>
      <c r="L127" t="s">
        <v>113</v>
      </c>
      <c r="M127" s="3">
        <v>0.33333333333333331</v>
      </c>
      <c r="N127" t="s">
        <v>113</v>
      </c>
      <c r="O127" s="3">
        <v>0.33333333333333331</v>
      </c>
      <c r="P127" t="s">
        <v>113</v>
      </c>
      <c r="Q127" s="3">
        <v>0.33333333333333331</v>
      </c>
      <c r="R127" t="b">
        <v>1</v>
      </c>
      <c r="S127" t="s">
        <v>1663</v>
      </c>
    </row>
    <row r="128" spans="1:19" x14ac:dyDescent="0.2">
      <c r="A128">
        <v>120</v>
      </c>
      <c r="B128" t="s">
        <v>1159</v>
      </c>
      <c r="C128" t="s">
        <v>1160</v>
      </c>
      <c r="D128">
        <v>91763</v>
      </c>
      <c r="E128">
        <v>15</v>
      </c>
      <c r="F128" t="s">
        <v>1161</v>
      </c>
      <c r="G128" t="s">
        <v>914</v>
      </c>
      <c r="H128" t="s">
        <v>113</v>
      </c>
      <c r="I128" s="3">
        <v>0.625</v>
      </c>
      <c r="J128" t="s">
        <v>113</v>
      </c>
      <c r="K128" s="3">
        <v>0.625</v>
      </c>
      <c r="L128" t="s">
        <v>113</v>
      </c>
      <c r="M128" s="3">
        <v>0.625</v>
      </c>
      <c r="N128" t="s">
        <v>113</v>
      </c>
      <c r="O128" s="3">
        <v>0.625</v>
      </c>
      <c r="P128" t="s">
        <v>113</v>
      </c>
      <c r="Q128" s="3">
        <v>0.625</v>
      </c>
      <c r="R128" t="b">
        <v>0</v>
      </c>
      <c r="S128" t="s">
        <v>1664</v>
      </c>
    </row>
    <row r="129" spans="1:19" x14ac:dyDescent="0.2">
      <c r="A129">
        <v>121</v>
      </c>
      <c r="B129" t="s">
        <v>1042</v>
      </c>
      <c r="C129" t="s">
        <v>455</v>
      </c>
      <c r="D129">
        <v>91750</v>
      </c>
      <c r="E129">
        <v>5</v>
      </c>
      <c r="F129">
        <v>1035574</v>
      </c>
      <c r="G129" t="s">
        <v>914</v>
      </c>
      <c r="H129" t="s">
        <v>113</v>
      </c>
      <c r="I129" s="3">
        <v>0.3125</v>
      </c>
      <c r="J129" t="s">
        <v>113</v>
      </c>
      <c r="K129" s="3">
        <v>0.3125</v>
      </c>
      <c r="L129" t="s">
        <v>113</v>
      </c>
      <c r="M129" s="3">
        <v>0.3125</v>
      </c>
      <c r="N129" t="s">
        <v>113</v>
      </c>
      <c r="O129" s="3">
        <v>0.3125</v>
      </c>
      <c r="P129" t="s">
        <v>113</v>
      </c>
      <c r="Q129" s="3">
        <v>0.3125</v>
      </c>
      <c r="R129" t="b">
        <v>1</v>
      </c>
      <c r="S129" t="s">
        <v>1665</v>
      </c>
    </row>
    <row r="130" spans="1:19" x14ac:dyDescent="0.2">
      <c r="A130">
        <v>122</v>
      </c>
      <c r="B130" t="s">
        <v>820</v>
      </c>
      <c r="C130" t="s">
        <v>594</v>
      </c>
      <c r="D130">
        <v>91711</v>
      </c>
      <c r="E130">
        <v>0.5</v>
      </c>
      <c r="F130">
        <v>10041967</v>
      </c>
      <c r="G130" t="s">
        <v>1495</v>
      </c>
      <c r="H130" t="s">
        <v>92</v>
      </c>
      <c r="I130" s="3">
        <v>0.33333333333333331</v>
      </c>
      <c r="J130" t="s">
        <v>92</v>
      </c>
      <c r="K130" s="3">
        <v>0.5</v>
      </c>
      <c r="L130" t="s">
        <v>92</v>
      </c>
      <c r="M130" s="3">
        <v>0.33333333333333331</v>
      </c>
      <c r="N130" t="s">
        <v>92</v>
      </c>
      <c r="O130" s="3">
        <v>0.5</v>
      </c>
      <c r="P130" t="s">
        <v>92</v>
      </c>
      <c r="Q130" s="3">
        <v>0.33333333333333331</v>
      </c>
      <c r="R130" t="b">
        <v>1</v>
      </c>
      <c r="S130" t="s">
        <v>1666</v>
      </c>
    </row>
    <row r="131" spans="1:19" x14ac:dyDescent="0.2">
      <c r="A131">
        <v>123</v>
      </c>
      <c r="B131" t="s">
        <v>908</v>
      </c>
      <c r="C131" t="s">
        <v>907</v>
      </c>
      <c r="D131">
        <v>92507</v>
      </c>
      <c r="E131">
        <v>28</v>
      </c>
      <c r="F131">
        <v>10366652</v>
      </c>
      <c r="G131" t="s">
        <v>914</v>
      </c>
      <c r="H131" t="s">
        <v>113</v>
      </c>
      <c r="I131" s="3">
        <v>0.66666666666666663</v>
      </c>
      <c r="J131" t="s">
        <v>113</v>
      </c>
      <c r="K131" s="3">
        <v>0.66666666666666663</v>
      </c>
      <c r="L131" t="s">
        <v>113</v>
      </c>
      <c r="M131" s="3">
        <v>0.66666666666666663</v>
      </c>
      <c r="N131" t="s">
        <v>113</v>
      </c>
      <c r="O131" s="3">
        <v>0.66666666666666663</v>
      </c>
      <c r="P131" t="s">
        <v>113</v>
      </c>
      <c r="Q131" s="3">
        <v>0.66666666666666663</v>
      </c>
      <c r="R131" t="b">
        <v>0</v>
      </c>
      <c r="S131" t="s">
        <v>1667</v>
      </c>
    </row>
    <row r="132" spans="1:19" x14ac:dyDescent="0.2">
      <c r="A132">
        <v>124</v>
      </c>
      <c r="B132" t="s">
        <v>958</v>
      </c>
      <c r="C132" t="s">
        <v>558</v>
      </c>
      <c r="D132">
        <v>91763</v>
      </c>
      <c r="E132">
        <v>2</v>
      </c>
      <c r="F132">
        <v>10373435</v>
      </c>
      <c r="G132" t="s">
        <v>919</v>
      </c>
      <c r="H132" t="s">
        <v>933</v>
      </c>
      <c r="I132" s="3">
        <v>0.64583333333333337</v>
      </c>
      <c r="J132" t="s">
        <v>933</v>
      </c>
      <c r="K132" s="3">
        <v>0.64583333333333337</v>
      </c>
      <c r="L132" t="s">
        <v>933</v>
      </c>
      <c r="M132" s="3">
        <v>0.64583333333333337</v>
      </c>
      <c r="N132" t="s">
        <v>933</v>
      </c>
      <c r="O132" s="3">
        <v>0.64583333333333337</v>
      </c>
      <c r="P132" t="s">
        <v>933</v>
      </c>
      <c r="Q132" s="3">
        <v>0.64583333333333337</v>
      </c>
      <c r="R132" t="b">
        <v>0</v>
      </c>
      <c r="S132" t="s">
        <v>1668</v>
      </c>
    </row>
    <row r="133" spans="1:19" x14ac:dyDescent="0.2">
      <c r="A133">
        <v>125</v>
      </c>
      <c r="B133" t="s">
        <v>986</v>
      </c>
      <c r="C133" t="s">
        <v>987</v>
      </c>
      <c r="D133">
        <v>91786</v>
      </c>
      <c r="E133">
        <v>3</v>
      </c>
      <c r="F133">
        <v>103687571</v>
      </c>
      <c r="G133" t="s">
        <v>914</v>
      </c>
      <c r="H133" t="s">
        <v>113</v>
      </c>
      <c r="I133" s="3">
        <v>0.33333333333333331</v>
      </c>
      <c r="J133" t="s">
        <v>113</v>
      </c>
      <c r="K133" s="3">
        <v>0.33333333333333331</v>
      </c>
      <c r="L133" t="s">
        <v>103</v>
      </c>
      <c r="M133" s="3">
        <v>0.33333333333333331</v>
      </c>
      <c r="N133" t="s">
        <v>103</v>
      </c>
      <c r="O133" s="3">
        <v>0.33333333333333331</v>
      </c>
      <c r="P133" t="s">
        <v>195</v>
      </c>
      <c r="Q133" s="3">
        <v>0.33333333333333331</v>
      </c>
      <c r="R133" t="b">
        <v>1</v>
      </c>
      <c r="S133" t="s">
        <v>1669</v>
      </c>
    </row>
    <row r="134" spans="1:19" x14ac:dyDescent="0.2">
      <c r="A134">
        <v>126</v>
      </c>
      <c r="B134" t="s">
        <v>983</v>
      </c>
      <c r="C134" t="s">
        <v>964</v>
      </c>
      <c r="D134">
        <v>91711</v>
      </c>
      <c r="E134">
        <v>5</v>
      </c>
      <c r="F134">
        <v>10366861</v>
      </c>
      <c r="G134" t="s">
        <v>914</v>
      </c>
      <c r="H134" t="s">
        <v>113</v>
      </c>
      <c r="I134" s="3">
        <v>0.64583333333333337</v>
      </c>
      <c r="J134" t="s">
        <v>113</v>
      </c>
      <c r="K134" s="3">
        <v>0.64583333333333337</v>
      </c>
      <c r="L134" t="s">
        <v>113</v>
      </c>
      <c r="M134" s="3">
        <v>0.64583333333333337</v>
      </c>
      <c r="N134" t="s">
        <v>113</v>
      </c>
      <c r="O134" s="3">
        <v>0.64583333333333337</v>
      </c>
      <c r="P134" t="s">
        <v>113</v>
      </c>
      <c r="Q134" s="3">
        <v>0.64583333333333337</v>
      </c>
      <c r="R134" t="b">
        <v>0</v>
      </c>
      <c r="S134" t="s">
        <v>1670</v>
      </c>
    </row>
    <row r="135" spans="1:19" x14ac:dyDescent="0.2">
      <c r="A135">
        <v>127</v>
      </c>
      <c r="B135" t="s">
        <v>1318</v>
      </c>
      <c r="C135" t="s">
        <v>1319</v>
      </c>
      <c r="D135">
        <v>92392</v>
      </c>
      <c r="E135">
        <v>45</v>
      </c>
      <c r="F135">
        <v>10366590</v>
      </c>
      <c r="G135" t="s">
        <v>914</v>
      </c>
      <c r="H135" t="s">
        <v>113</v>
      </c>
      <c r="I135" s="3">
        <v>0.35416666666666669</v>
      </c>
      <c r="J135" t="s">
        <v>103</v>
      </c>
      <c r="K135" s="3">
        <v>0.35416666666666669</v>
      </c>
      <c r="L135" t="s">
        <v>113</v>
      </c>
      <c r="M135" s="3">
        <v>0.35416666666666669</v>
      </c>
      <c r="N135" t="s">
        <v>113</v>
      </c>
      <c r="O135" s="3">
        <v>0.35416666666666669</v>
      </c>
      <c r="P135" t="s">
        <v>113</v>
      </c>
      <c r="Q135" s="3">
        <v>0.35416666666666669</v>
      </c>
      <c r="R135" t="b">
        <v>1</v>
      </c>
      <c r="S135" t="s">
        <v>1671</v>
      </c>
    </row>
    <row r="136" spans="1:19" x14ac:dyDescent="0.2">
      <c r="A136">
        <v>128</v>
      </c>
      <c r="B136" t="s">
        <v>33</v>
      </c>
      <c r="C136" t="s">
        <v>558</v>
      </c>
      <c r="D136">
        <v>92404</v>
      </c>
      <c r="E136">
        <v>28</v>
      </c>
      <c r="F136">
        <v>10353600</v>
      </c>
      <c r="G136" t="s">
        <v>914</v>
      </c>
      <c r="H136" t="s">
        <v>1176</v>
      </c>
      <c r="I136" s="3">
        <v>0.64583333333333337</v>
      </c>
      <c r="J136" t="s">
        <v>1176</v>
      </c>
      <c r="K136" s="3">
        <v>0.64583333333333337</v>
      </c>
      <c r="L136" t="s">
        <v>1176</v>
      </c>
      <c r="M136" s="3">
        <v>0.64583333333333337</v>
      </c>
      <c r="N136" t="s">
        <v>1176</v>
      </c>
      <c r="O136" s="3">
        <v>0.64583333333333337</v>
      </c>
      <c r="P136" t="s">
        <v>1176</v>
      </c>
      <c r="Q136" s="3">
        <v>0.64583333333333337</v>
      </c>
      <c r="R136" t="b">
        <v>0</v>
      </c>
      <c r="S136" t="s">
        <v>1672</v>
      </c>
    </row>
    <row r="137" spans="1:19" x14ac:dyDescent="0.2">
      <c r="A137">
        <v>129</v>
      </c>
      <c r="B137" t="s">
        <v>1313</v>
      </c>
      <c r="C137" t="s">
        <v>1314</v>
      </c>
      <c r="D137">
        <v>90814</v>
      </c>
      <c r="E137">
        <v>43</v>
      </c>
      <c r="F137">
        <v>10310504</v>
      </c>
      <c r="G137" t="s">
        <v>914</v>
      </c>
      <c r="H137" t="s">
        <v>199</v>
      </c>
      <c r="I137" s="3">
        <v>0.25</v>
      </c>
      <c r="J137" t="s">
        <v>199</v>
      </c>
      <c r="K137" s="3">
        <v>0.25</v>
      </c>
      <c r="L137" t="s">
        <v>199</v>
      </c>
      <c r="M137" s="3">
        <v>0.25</v>
      </c>
      <c r="N137" t="s">
        <v>199</v>
      </c>
      <c r="O137" s="3">
        <v>0.25</v>
      </c>
      <c r="P137" t="s">
        <v>199</v>
      </c>
      <c r="Q137" s="3">
        <v>0.25</v>
      </c>
      <c r="R137" t="b">
        <v>1</v>
      </c>
      <c r="S137" t="s">
        <v>1673</v>
      </c>
    </row>
    <row r="138" spans="1:19" x14ac:dyDescent="0.2">
      <c r="A138">
        <v>130</v>
      </c>
      <c r="B138" t="s">
        <v>850</v>
      </c>
      <c r="C138" t="s">
        <v>1674</v>
      </c>
      <c r="D138">
        <v>91759</v>
      </c>
      <c r="E138">
        <v>1</v>
      </c>
      <c r="F138">
        <v>10282330</v>
      </c>
      <c r="G138" t="s">
        <v>1495</v>
      </c>
      <c r="H138" t="s">
        <v>92</v>
      </c>
      <c r="I138" s="3">
        <v>0.33333333333333331</v>
      </c>
      <c r="J138" t="s">
        <v>92</v>
      </c>
      <c r="K138" s="3">
        <v>0.33333333333333331</v>
      </c>
      <c r="L138" t="s">
        <v>92</v>
      </c>
      <c r="M138" s="3">
        <v>0.33333333333333331</v>
      </c>
      <c r="N138" t="s">
        <v>92</v>
      </c>
      <c r="O138" s="3">
        <v>0.33333333333333331</v>
      </c>
      <c r="P138" t="s">
        <v>92</v>
      </c>
      <c r="Q138" s="3">
        <v>0.33333333333333331</v>
      </c>
      <c r="R138" t="b">
        <v>1</v>
      </c>
      <c r="S138" t="s">
        <v>1675</v>
      </c>
    </row>
    <row r="139" spans="1:19" x14ac:dyDescent="0.2">
      <c r="A139">
        <v>131</v>
      </c>
      <c r="B139" t="s">
        <v>1035</v>
      </c>
      <c r="C139" t="s">
        <v>1676</v>
      </c>
      <c r="D139">
        <v>91750</v>
      </c>
      <c r="E139">
        <v>7</v>
      </c>
      <c r="F139">
        <v>100859224</v>
      </c>
      <c r="G139" t="s">
        <v>1495</v>
      </c>
      <c r="H139" t="s">
        <v>202</v>
      </c>
      <c r="I139" s="3">
        <v>0.25</v>
      </c>
      <c r="J139" t="s">
        <v>202</v>
      </c>
      <c r="K139" s="3">
        <v>0.25</v>
      </c>
      <c r="L139" t="s">
        <v>202</v>
      </c>
      <c r="M139" s="3">
        <v>0.25</v>
      </c>
      <c r="N139" t="s">
        <v>202</v>
      </c>
      <c r="O139" s="3">
        <v>0.25</v>
      </c>
      <c r="P139" t="s">
        <v>113</v>
      </c>
      <c r="Q139" s="3">
        <v>0.375</v>
      </c>
      <c r="R139" t="b">
        <v>1</v>
      </c>
      <c r="S139" t="s">
        <v>1677</v>
      </c>
    </row>
    <row r="140" spans="1:19" x14ac:dyDescent="0.2">
      <c r="A140">
        <v>132</v>
      </c>
      <c r="B140" t="s">
        <v>1678</v>
      </c>
      <c r="C140" t="s">
        <v>1679</v>
      </c>
      <c r="D140">
        <v>91711</v>
      </c>
      <c r="E140">
        <v>1</v>
      </c>
      <c r="F140">
        <v>10368803</v>
      </c>
      <c r="G140" t="s">
        <v>1632</v>
      </c>
      <c r="H140" t="s">
        <v>202</v>
      </c>
      <c r="I140" s="3">
        <v>0.25</v>
      </c>
      <c r="J140" t="s">
        <v>92</v>
      </c>
      <c r="K140" s="3">
        <v>0.625</v>
      </c>
      <c r="L140" t="s">
        <v>202</v>
      </c>
      <c r="M140" s="3">
        <v>0.25</v>
      </c>
      <c r="N140" t="s">
        <v>92</v>
      </c>
      <c r="O140" s="3">
        <v>0.79166666666666663</v>
      </c>
      <c r="P140" t="s">
        <v>92</v>
      </c>
      <c r="Q140" s="3">
        <v>0.41666666666666669</v>
      </c>
      <c r="R140" t="b">
        <v>1</v>
      </c>
      <c r="S140" t="s">
        <v>1680</v>
      </c>
    </row>
    <row r="141" spans="1:19" x14ac:dyDescent="0.2">
      <c r="A141">
        <v>133</v>
      </c>
      <c r="B141" t="s">
        <v>1681</v>
      </c>
      <c r="C141" t="s">
        <v>1682</v>
      </c>
      <c r="D141">
        <v>91711</v>
      </c>
      <c r="E141">
        <v>1</v>
      </c>
      <c r="F141">
        <v>100000761</v>
      </c>
      <c r="G141" t="s">
        <v>1495</v>
      </c>
      <c r="H141" t="s">
        <v>92</v>
      </c>
      <c r="I141" s="3">
        <v>0.33333333333333331</v>
      </c>
      <c r="J141" t="s">
        <v>92</v>
      </c>
      <c r="K141" s="3">
        <v>0.33333333333333331</v>
      </c>
      <c r="L141" t="s">
        <v>92</v>
      </c>
      <c r="M141" s="3">
        <v>0.33333333333333331</v>
      </c>
      <c r="N141" t="s">
        <v>92</v>
      </c>
      <c r="O141" s="3">
        <v>0.33333333333333331</v>
      </c>
      <c r="P141" t="s">
        <v>103</v>
      </c>
      <c r="Q141" s="3">
        <v>0.33333333333333331</v>
      </c>
      <c r="R141" t="b">
        <v>1</v>
      </c>
      <c r="S141" t="s">
        <v>1683</v>
      </c>
    </row>
    <row r="142" spans="1:19" x14ac:dyDescent="0.2">
      <c r="A142">
        <v>134</v>
      </c>
      <c r="B142" t="s">
        <v>1344</v>
      </c>
      <c r="C142" t="s">
        <v>1684</v>
      </c>
      <c r="D142">
        <v>91711</v>
      </c>
      <c r="E142">
        <v>1.25</v>
      </c>
      <c r="F142" t="s">
        <v>1685</v>
      </c>
      <c r="G142" t="s">
        <v>1495</v>
      </c>
      <c r="H142" t="s">
        <v>113</v>
      </c>
      <c r="I142" s="3">
        <v>0.45833333333333331</v>
      </c>
      <c r="J142" t="s">
        <v>113</v>
      </c>
      <c r="K142" s="3">
        <v>0.45833333333333331</v>
      </c>
      <c r="L142" t="s">
        <v>113</v>
      </c>
      <c r="M142" s="3">
        <v>0.45833333333333331</v>
      </c>
      <c r="N142" t="s">
        <v>113</v>
      </c>
      <c r="O142" s="3">
        <v>0.45833333333333331</v>
      </c>
      <c r="P142" t="s">
        <v>113</v>
      </c>
      <c r="Q142" s="3">
        <v>0.45833333333333331</v>
      </c>
      <c r="R142" t="b">
        <v>0</v>
      </c>
      <c r="S142" t="s">
        <v>1686</v>
      </c>
    </row>
    <row r="143" spans="1:19" x14ac:dyDescent="0.2">
      <c r="A143">
        <v>135</v>
      </c>
      <c r="B143" t="s">
        <v>972</v>
      </c>
      <c r="C143" t="s">
        <v>511</v>
      </c>
      <c r="D143">
        <v>91711</v>
      </c>
      <c r="E143">
        <v>2.5</v>
      </c>
      <c r="F143">
        <v>10020070</v>
      </c>
      <c r="G143" t="s">
        <v>914</v>
      </c>
      <c r="H143" t="s">
        <v>191</v>
      </c>
      <c r="I143" s="3">
        <v>0.33333333333333331</v>
      </c>
      <c r="J143" t="s">
        <v>191</v>
      </c>
      <c r="K143" s="3">
        <v>0.33333333333333331</v>
      </c>
      <c r="L143" t="s">
        <v>191</v>
      </c>
      <c r="M143" s="3">
        <v>0.33333333333333331</v>
      </c>
      <c r="N143" t="s">
        <v>191</v>
      </c>
      <c r="O143" s="3">
        <v>0.33333333333333331</v>
      </c>
      <c r="P143" t="s">
        <v>191</v>
      </c>
      <c r="Q143" s="3">
        <v>0.33333333333333331</v>
      </c>
      <c r="R143" t="b">
        <v>1</v>
      </c>
      <c r="S143" t="s">
        <v>1687</v>
      </c>
    </row>
    <row r="144" spans="1:19" x14ac:dyDescent="0.2">
      <c r="A144">
        <v>136</v>
      </c>
      <c r="B144" t="s">
        <v>1688</v>
      </c>
      <c r="C144" t="s">
        <v>1689</v>
      </c>
      <c r="D144">
        <v>91711</v>
      </c>
      <c r="E144">
        <v>1</v>
      </c>
      <c r="F144">
        <v>103703351</v>
      </c>
      <c r="G144" t="s">
        <v>1495</v>
      </c>
      <c r="H144" t="s">
        <v>92</v>
      </c>
      <c r="I144" s="3">
        <v>0.35416666666666669</v>
      </c>
      <c r="J144" t="s">
        <v>92</v>
      </c>
      <c r="K144" s="3">
        <v>0.39583333333333331</v>
      </c>
      <c r="L144" t="s">
        <v>92</v>
      </c>
      <c r="M144" s="3">
        <v>0.35416666666666669</v>
      </c>
      <c r="N144" t="s">
        <v>108</v>
      </c>
      <c r="O144" s="3">
        <v>0.375</v>
      </c>
      <c r="P144" t="s">
        <v>92</v>
      </c>
      <c r="Q144" s="3">
        <v>0.375</v>
      </c>
      <c r="R144" t="b">
        <v>1</v>
      </c>
      <c r="S144" t="s">
        <v>1690</v>
      </c>
    </row>
    <row r="145" spans="1:19" x14ac:dyDescent="0.2">
      <c r="A145">
        <v>137</v>
      </c>
      <c r="B145" t="s">
        <v>181</v>
      </c>
      <c r="C145" t="s">
        <v>180</v>
      </c>
      <c r="D145">
        <v>91750</v>
      </c>
      <c r="E145">
        <v>4.7</v>
      </c>
      <c r="F145">
        <v>10366701</v>
      </c>
      <c r="G145" t="s">
        <v>914</v>
      </c>
      <c r="H145" t="s">
        <v>113</v>
      </c>
      <c r="I145" s="3">
        <v>0.33333333333333331</v>
      </c>
      <c r="J145" t="s">
        <v>113</v>
      </c>
      <c r="K145" s="3">
        <v>0.33333333333333331</v>
      </c>
      <c r="L145" t="s">
        <v>113</v>
      </c>
      <c r="M145" s="3">
        <v>0.33333333333333331</v>
      </c>
      <c r="N145" t="s">
        <v>191</v>
      </c>
      <c r="O145" s="3">
        <v>0.33333333333333331</v>
      </c>
      <c r="P145" t="s">
        <v>191</v>
      </c>
      <c r="Q145" s="3">
        <v>0.33333333333333331</v>
      </c>
      <c r="R145" t="b">
        <v>1</v>
      </c>
      <c r="S145" t="s">
        <v>1691</v>
      </c>
    </row>
    <row r="146" spans="1:19" x14ac:dyDescent="0.2">
      <c r="A146">
        <v>138</v>
      </c>
      <c r="B146" t="s">
        <v>33</v>
      </c>
      <c r="C146" t="s">
        <v>677</v>
      </c>
      <c r="D146">
        <v>91711</v>
      </c>
      <c r="E146">
        <v>1</v>
      </c>
      <c r="F146">
        <v>10257033</v>
      </c>
      <c r="G146" t="s">
        <v>914</v>
      </c>
      <c r="H146" t="s">
        <v>191</v>
      </c>
      <c r="I146" s="3">
        <v>0.33333333333333331</v>
      </c>
      <c r="J146" t="s">
        <v>191</v>
      </c>
      <c r="K146" s="3">
        <v>0.33333333333333331</v>
      </c>
      <c r="L146" t="s">
        <v>191</v>
      </c>
      <c r="M146" s="3">
        <v>0.33333333333333331</v>
      </c>
      <c r="N146" t="s">
        <v>191</v>
      </c>
      <c r="O146" s="3">
        <v>0.33333333333333331</v>
      </c>
      <c r="P146" t="s">
        <v>191</v>
      </c>
      <c r="Q146" s="3">
        <v>0.33333333333333331</v>
      </c>
      <c r="R146" t="b">
        <v>1</v>
      </c>
      <c r="S146" t="s">
        <v>1692</v>
      </c>
    </row>
    <row r="147" spans="1:19" x14ac:dyDescent="0.2">
      <c r="A147">
        <v>139</v>
      </c>
      <c r="B147" t="s">
        <v>337</v>
      </c>
      <c r="C147" t="s">
        <v>905</v>
      </c>
      <c r="D147">
        <v>91701</v>
      </c>
      <c r="E147">
        <v>10</v>
      </c>
      <c r="F147">
        <v>10366518</v>
      </c>
      <c r="G147" t="s">
        <v>914</v>
      </c>
      <c r="H147" t="s">
        <v>108</v>
      </c>
      <c r="I147" s="3">
        <v>0.33333333333333331</v>
      </c>
      <c r="J147" t="s">
        <v>108</v>
      </c>
      <c r="K147" s="3">
        <v>0.33333333333333331</v>
      </c>
      <c r="L147" t="s">
        <v>108</v>
      </c>
      <c r="M147" s="3">
        <v>0.33333333333333331</v>
      </c>
      <c r="N147" t="s">
        <v>103</v>
      </c>
      <c r="O147" s="3">
        <v>0.33333333333333331</v>
      </c>
      <c r="P147" t="s">
        <v>108</v>
      </c>
      <c r="Q147" s="3">
        <v>0.33333333333333331</v>
      </c>
      <c r="R147" t="b">
        <v>1</v>
      </c>
      <c r="S147" t="s">
        <v>1693</v>
      </c>
    </row>
    <row r="148" spans="1:19" x14ac:dyDescent="0.2">
      <c r="A148">
        <v>140</v>
      </c>
      <c r="B148" t="s">
        <v>988</v>
      </c>
      <c r="C148" t="s">
        <v>989</v>
      </c>
      <c r="D148">
        <v>91711</v>
      </c>
      <c r="E148">
        <v>3</v>
      </c>
      <c r="F148">
        <v>10025853</v>
      </c>
      <c r="G148" t="s">
        <v>914</v>
      </c>
      <c r="H148" t="s">
        <v>113</v>
      </c>
      <c r="I148" s="3">
        <v>0.33333333333333331</v>
      </c>
      <c r="J148" t="s">
        <v>113</v>
      </c>
      <c r="K148" s="3">
        <v>0.33333333333333331</v>
      </c>
      <c r="L148" t="s">
        <v>103</v>
      </c>
      <c r="M148" s="3">
        <v>0.33333333333333331</v>
      </c>
      <c r="N148" t="s">
        <v>103</v>
      </c>
      <c r="O148" s="3">
        <v>0.33333333333333331</v>
      </c>
      <c r="P148" t="s">
        <v>195</v>
      </c>
      <c r="Q148" s="3">
        <v>0.33333333333333331</v>
      </c>
      <c r="R148" t="b">
        <v>1</v>
      </c>
      <c r="S148" t="s">
        <v>1694</v>
      </c>
    </row>
    <row r="149" spans="1:19" x14ac:dyDescent="0.2">
      <c r="A149">
        <v>141</v>
      </c>
      <c r="B149" t="s">
        <v>33</v>
      </c>
      <c r="C149" t="s">
        <v>397</v>
      </c>
      <c r="D149">
        <v>91030</v>
      </c>
      <c r="E149">
        <v>30</v>
      </c>
      <c r="F149">
        <v>101589521</v>
      </c>
      <c r="G149" t="s">
        <v>1495</v>
      </c>
      <c r="H149" t="s">
        <v>113</v>
      </c>
      <c r="I149" s="3">
        <v>0.41666666666666669</v>
      </c>
      <c r="J149" t="s">
        <v>85</v>
      </c>
      <c r="K149" s="3">
        <v>0.41666666666666669</v>
      </c>
      <c r="L149" t="s">
        <v>113</v>
      </c>
      <c r="M149" s="3">
        <v>0.39583333333333331</v>
      </c>
      <c r="N149" t="s">
        <v>85</v>
      </c>
      <c r="O149" s="3">
        <v>0.41666666666666669</v>
      </c>
      <c r="P149" t="s">
        <v>108</v>
      </c>
      <c r="Q149" s="3">
        <v>0.375</v>
      </c>
      <c r="R149" t="b">
        <v>1</v>
      </c>
      <c r="S149" t="s">
        <v>1695</v>
      </c>
    </row>
    <row r="150" spans="1:19" x14ac:dyDescent="0.2">
      <c r="A150">
        <v>142</v>
      </c>
      <c r="B150" t="s">
        <v>1058</v>
      </c>
      <c r="C150" t="s">
        <v>675</v>
      </c>
      <c r="D150">
        <v>91784</v>
      </c>
      <c r="E150">
        <v>5.6</v>
      </c>
      <c r="F150">
        <v>10358547</v>
      </c>
      <c r="G150" t="s">
        <v>914</v>
      </c>
      <c r="H150" t="s">
        <v>191</v>
      </c>
      <c r="I150" s="3">
        <v>0.33333333333333331</v>
      </c>
      <c r="J150" t="s">
        <v>191</v>
      </c>
      <c r="K150" s="3">
        <v>0.33333333333333331</v>
      </c>
      <c r="L150" t="s">
        <v>191</v>
      </c>
      <c r="M150" s="3">
        <v>0.33333333333333331</v>
      </c>
      <c r="N150" t="s">
        <v>191</v>
      </c>
      <c r="O150" s="3">
        <v>0.33333333333333331</v>
      </c>
      <c r="P150" t="s">
        <v>191</v>
      </c>
      <c r="Q150" s="3">
        <v>0.33333333333333331</v>
      </c>
      <c r="R150" t="b">
        <v>1</v>
      </c>
      <c r="S150" t="s">
        <v>1696</v>
      </c>
    </row>
    <row r="151" spans="1:19" x14ac:dyDescent="0.2">
      <c r="A151">
        <v>143</v>
      </c>
      <c r="B151" t="s">
        <v>1088</v>
      </c>
      <c r="C151" t="s">
        <v>1089</v>
      </c>
      <c r="D151">
        <v>91762</v>
      </c>
      <c r="E151">
        <v>8</v>
      </c>
      <c r="F151">
        <v>10085156</v>
      </c>
      <c r="G151" t="s">
        <v>914</v>
      </c>
      <c r="H151" t="s">
        <v>113</v>
      </c>
      <c r="I151" s="3">
        <v>0.29166666666666669</v>
      </c>
      <c r="J151" t="s">
        <v>113</v>
      </c>
      <c r="K151" s="3">
        <v>0.29166666666666669</v>
      </c>
      <c r="L151" t="s">
        <v>113</v>
      </c>
      <c r="M151" s="3">
        <v>0.29166666666666669</v>
      </c>
      <c r="N151" t="s">
        <v>113</v>
      </c>
      <c r="O151" s="3">
        <v>0.29166666666666669</v>
      </c>
      <c r="P151" t="s">
        <v>113</v>
      </c>
      <c r="Q151" s="3">
        <v>0.29166666666666669</v>
      </c>
      <c r="R151" t="b">
        <v>1</v>
      </c>
      <c r="S151" t="s">
        <v>1697</v>
      </c>
    </row>
    <row r="152" spans="1:19" x14ac:dyDescent="0.2">
      <c r="A152">
        <v>144</v>
      </c>
      <c r="B152" t="s">
        <v>488</v>
      </c>
      <c r="C152" t="s">
        <v>487</v>
      </c>
      <c r="D152">
        <v>92336</v>
      </c>
      <c r="E152">
        <v>14</v>
      </c>
      <c r="F152">
        <v>10125379</v>
      </c>
      <c r="G152" t="s">
        <v>914</v>
      </c>
      <c r="H152" t="s">
        <v>113</v>
      </c>
      <c r="I152" s="3">
        <v>0.22916666666666666</v>
      </c>
      <c r="J152" t="s">
        <v>113</v>
      </c>
      <c r="K152" s="3">
        <v>0.72916666666666663</v>
      </c>
      <c r="L152" t="s">
        <v>113</v>
      </c>
      <c r="M152" s="3">
        <v>0.54166666666666663</v>
      </c>
      <c r="N152" t="s">
        <v>113</v>
      </c>
      <c r="O152" s="3">
        <v>0.25</v>
      </c>
      <c r="P152" t="s">
        <v>202</v>
      </c>
      <c r="Q152" s="3">
        <v>0.25</v>
      </c>
      <c r="R152" t="b">
        <v>1</v>
      </c>
      <c r="S152" t="s">
        <v>1698</v>
      </c>
    </row>
    <row r="153" spans="1:19" x14ac:dyDescent="0.2">
      <c r="A153">
        <v>145</v>
      </c>
      <c r="B153" t="s">
        <v>1277</v>
      </c>
      <c r="C153" t="s">
        <v>1278</v>
      </c>
      <c r="D153">
        <v>92404</v>
      </c>
      <c r="E153">
        <v>30</v>
      </c>
      <c r="F153">
        <v>10360807</v>
      </c>
      <c r="G153" t="s">
        <v>914</v>
      </c>
      <c r="H153" t="s">
        <v>113</v>
      </c>
      <c r="I153" s="3">
        <v>0.25</v>
      </c>
      <c r="J153" t="s">
        <v>113</v>
      </c>
      <c r="K153" s="3">
        <v>0.375</v>
      </c>
      <c r="L153" t="s">
        <v>113</v>
      </c>
      <c r="M153" s="3">
        <v>0.375</v>
      </c>
      <c r="N153" t="s">
        <v>113</v>
      </c>
      <c r="O153" s="3">
        <v>0.375</v>
      </c>
      <c r="P153" t="s">
        <v>113</v>
      </c>
      <c r="Q153" s="3">
        <v>0.25</v>
      </c>
      <c r="R153" t="b">
        <v>1</v>
      </c>
      <c r="S153" t="s">
        <v>1699</v>
      </c>
    </row>
    <row r="154" spans="1:19" x14ac:dyDescent="0.2">
      <c r="A154">
        <v>146</v>
      </c>
      <c r="B154" t="s">
        <v>501</v>
      </c>
      <c r="C154" t="s">
        <v>500</v>
      </c>
      <c r="D154">
        <v>91765</v>
      </c>
      <c r="E154">
        <v>12</v>
      </c>
      <c r="F154">
        <v>10366558</v>
      </c>
      <c r="G154" t="s">
        <v>914</v>
      </c>
      <c r="H154" t="s">
        <v>113</v>
      </c>
      <c r="I154" s="3">
        <v>0.35416666666666669</v>
      </c>
      <c r="J154" t="s">
        <v>103</v>
      </c>
      <c r="K154" s="3">
        <v>0.33333333333333331</v>
      </c>
      <c r="L154" t="s">
        <v>191</v>
      </c>
      <c r="M154" s="3">
        <v>0.33333333333333331</v>
      </c>
      <c r="N154" t="s">
        <v>191</v>
      </c>
      <c r="O154" s="3">
        <v>0.33333333333333331</v>
      </c>
      <c r="P154" t="s">
        <v>191</v>
      </c>
      <c r="Q154" s="3">
        <v>0.33333333333333331</v>
      </c>
      <c r="R154" t="b">
        <v>1</v>
      </c>
      <c r="S154" t="s">
        <v>1700</v>
      </c>
    </row>
    <row r="155" spans="1:19" x14ac:dyDescent="0.2">
      <c r="A155">
        <v>147</v>
      </c>
      <c r="B155" t="s">
        <v>1162</v>
      </c>
      <c r="C155" t="s">
        <v>1163</v>
      </c>
      <c r="D155">
        <v>91763</v>
      </c>
      <c r="E155">
        <v>15</v>
      </c>
      <c r="F155" t="s">
        <v>1164</v>
      </c>
      <c r="G155" t="s">
        <v>914</v>
      </c>
      <c r="H155" t="s">
        <v>98</v>
      </c>
      <c r="I155" s="3">
        <v>0.54166666666666663</v>
      </c>
      <c r="J155" t="s">
        <v>98</v>
      </c>
      <c r="K155" s="3">
        <v>0.54166666666666663</v>
      </c>
      <c r="L155" t="s">
        <v>98</v>
      </c>
      <c r="M155" s="3">
        <v>0.54166666666666663</v>
      </c>
      <c r="N155" t="s">
        <v>98</v>
      </c>
      <c r="O155" s="3">
        <v>0.54166666666666663</v>
      </c>
      <c r="P155" t="s">
        <v>98</v>
      </c>
      <c r="Q155" s="3">
        <v>0.54166666666666663</v>
      </c>
      <c r="R155" t="b">
        <v>0</v>
      </c>
      <c r="S155" t="s">
        <v>1701</v>
      </c>
    </row>
    <row r="156" spans="1:19" x14ac:dyDescent="0.2">
      <c r="A156">
        <v>148</v>
      </c>
      <c r="B156" t="s">
        <v>1090</v>
      </c>
      <c r="C156" t="s">
        <v>1091</v>
      </c>
      <c r="D156">
        <v>91762</v>
      </c>
      <c r="E156">
        <v>8</v>
      </c>
      <c r="F156">
        <v>10199325</v>
      </c>
      <c r="G156" t="s">
        <v>914</v>
      </c>
      <c r="H156" t="s">
        <v>113</v>
      </c>
      <c r="I156" s="3">
        <v>0.27083333333333331</v>
      </c>
      <c r="J156" t="s">
        <v>113</v>
      </c>
      <c r="K156" s="3">
        <v>0.27083333333333331</v>
      </c>
      <c r="L156" t="s">
        <v>113</v>
      </c>
      <c r="M156" s="3">
        <v>0.27083333333333331</v>
      </c>
      <c r="N156" t="s">
        <v>113</v>
      </c>
      <c r="O156" s="3">
        <v>0.27083333333333331</v>
      </c>
      <c r="P156" t="s">
        <v>113</v>
      </c>
      <c r="Q156" s="3">
        <v>0.16666666666666666</v>
      </c>
      <c r="R156" t="b">
        <v>1</v>
      </c>
      <c r="S156" t="s">
        <v>1702</v>
      </c>
    </row>
    <row r="157" spans="1:19" x14ac:dyDescent="0.2">
      <c r="A157">
        <v>149</v>
      </c>
      <c r="B157" t="s">
        <v>965</v>
      </c>
      <c r="C157" t="s">
        <v>1122</v>
      </c>
      <c r="D157">
        <v>91762</v>
      </c>
      <c r="E157">
        <v>10</v>
      </c>
      <c r="F157">
        <v>10043018</v>
      </c>
      <c r="G157" t="s">
        <v>914</v>
      </c>
      <c r="H157" t="s">
        <v>113</v>
      </c>
      <c r="I157" s="3">
        <v>0.20833333333333334</v>
      </c>
      <c r="J157" t="s">
        <v>113</v>
      </c>
      <c r="K157" s="3">
        <v>0.20833333333333334</v>
      </c>
      <c r="L157" t="s">
        <v>113</v>
      </c>
      <c r="M157" s="3">
        <v>0.20833333333333334</v>
      </c>
      <c r="N157" t="s">
        <v>113</v>
      </c>
      <c r="O157" s="3">
        <v>0.20833333333333334</v>
      </c>
      <c r="P157" t="s">
        <v>113</v>
      </c>
      <c r="Q157" s="3">
        <v>0.20833333333333334</v>
      </c>
      <c r="R157" t="b">
        <v>0</v>
      </c>
      <c r="S157" t="s">
        <v>1703</v>
      </c>
    </row>
    <row r="158" spans="1:19" x14ac:dyDescent="0.2">
      <c r="A158">
        <v>150</v>
      </c>
      <c r="B158" t="s">
        <v>1043</v>
      </c>
      <c r="C158" t="s">
        <v>218</v>
      </c>
      <c r="D158">
        <v>91767</v>
      </c>
      <c r="E158">
        <v>5</v>
      </c>
      <c r="F158">
        <v>10138149</v>
      </c>
      <c r="G158" t="s">
        <v>914</v>
      </c>
      <c r="H158" t="s">
        <v>103</v>
      </c>
      <c r="I158" s="3">
        <v>0.20833333333333334</v>
      </c>
      <c r="J158" t="s">
        <v>103</v>
      </c>
      <c r="K158" s="3">
        <v>0.20833333333333334</v>
      </c>
      <c r="L158" t="s">
        <v>103</v>
      </c>
      <c r="M158" s="3">
        <v>0.20833333333333334</v>
      </c>
      <c r="N158" t="s">
        <v>103</v>
      </c>
      <c r="O158" s="3">
        <v>0.20833333333333334</v>
      </c>
      <c r="P158" t="s">
        <v>103</v>
      </c>
      <c r="Q158" s="3">
        <v>0.20833333333333334</v>
      </c>
      <c r="R158" t="b">
        <v>0</v>
      </c>
      <c r="S158" t="s">
        <v>1704</v>
      </c>
    </row>
    <row r="159" spans="1:19" x14ac:dyDescent="0.2">
      <c r="A159">
        <v>151</v>
      </c>
      <c r="B159" t="s">
        <v>215</v>
      </c>
      <c r="C159" t="s">
        <v>214</v>
      </c>
      <c r="D159">
        <v>92336</v>
      </c>
      <c r="E159">
        <v>15</v>
      </c>
      <c r="F159">
        <v>10042857</v>
      </c>
      <c r="G159" t="s">
        <v>914</v>
      </c>
      <c r="H159" t="s">
        <v>191</v>
      </c>
      <c r="I159" s="3">
        <v>0.29166666666666669</v>
      </c>
      <c r="J159" t="s">
        <v>191</v>
      </c>
      <c r="K159" s="3">
        <v>0.29166666666666669</v>
      </c>
      <c r="L159" t="s">
        <v>191</v>
      </c>
      <c r="M159" s="3">
        <v>0.29166666666666669</v>
      </c>
      <c r="N159" t="s">
        <v>113</v>
      </c>
      <c r="O159" s="3">
        <v>0.29166666666666669</v>
      </c>
      <c r="P159" t="s">
        <v>113</v>
      </c>
      <c r="Q159" s="3">
        <v>0.29166666666666669</v>
      </c>
      <c r="R159" t="b">
        <v>1</v>
      </c>
      <c r="S159" t="s">
        <v>1705</v>
      </c>
    </row>
    <row r="160" spans="1:19" x14ac:dyDescent="0.2">
      <c r="A160">
        <v>152</v>
      </c>
      <c r="B160" t="s">
        <v>1007</v>
      </c>
      <c r="C160" t="s">
        <v>1008</v>
      </c>
      <c r="D160">
        <v>91784</v>
      </c>
      <c r="E160">
        <v>3.3</v>
      </c>
      <c r="F160">
        <v>10042924</v>
      </c>
      <c r="G160" t="s">
        <v>914</v>
      </c>
      <c r="H160" t="s">
        <v>113</v>
      </c>
      <c r="I160" s="3">
        <v>0.33333333333333331</v>
      </c>
      <c r="J160" t="s">
        <v>113</v>
      </c>
      <c r="K160" s="3">
        <v>0.33333333333333331</v>
      </c>
      <c r="L160" t="s">
        <v>113</v>
      </c>
      <c r="M160" s="3">
        <v>0.33333333333333331</v>
      </c>
      <c r="N160" t="s">
        <v>113</v>
      </c>
      <c r="O160" s="3">
        <v>0.33333333333333331</v>
      </c>
      <c r="P160" t="s">
        <v>113</v>
      </c>
      <c r="Q160" s="3">
        <v>0.33333333333333331</v>
      </c>
      <c r="R160" t="b">
        <v>1</v>
      </c>
      <c r="S160" t="s">
        <v>1706</v>
      </c>
    </row>
    <row r="161" spans="1:19" x14ac:dyDescent="0.2">
      <c r="A161">
        <v>153</v>
      </c>
      <c r="B161" t="s">
        <v>968</v>
      </c>
      <c r="C161" t="s">
        <v>675</v>
      </c>
      <c r="D161">
        <v>92376</v>
      </c>
      <c r="E161">
        <v>25</v>
      </c>
      <c r="F161" t="s">
        <v>1250</v>
      </c>
      <c r="G161" t="s">
        <v>914</v>
      </c>
      <c r="H161" t="s">
        <v>103</v>
      </c>
      <c r="I161" s="3">
        <v>0.20833333333333334</v>
      </c>
      <c r="J161" t="s">
        <v>103</v>
      </c>
      <c r="K161" s="3">
        <v>0.20833333333333334</v>
      </c>
      <c r="L161" t="s">
        <v>103</v>
      </c>
      <c r="M161" s="3">
        <v>0.20833333333333334</v>
      </c>
      <c r="N161" t="s">
        <v>103</v>
      </c>
      <c r="O161" s="3">
        <v>0.20833333333333334</v>
      </c>
      <c r="P161" t="s">
        <v>103</v>
      </c>
      <c r="Q161" s="3">
        <v>0.20833333333333334</v>
      </c>
      <c r="R161" t="b">
        <v>0</v>
      </c>
      <c r="S161" t="s">
        <v>1707</v>
      </c>
    </row>
    <row r="162" spans="1:19" x14ac:dyDescent="0.2">
      <c r="A162">
        <v>154</v>
      </c>
      <c r="B162" t="s">
        <v>1708</v>
      </c>
      <c r="C162" t="s">
        <v>1709</v>
      </c>
      <c r="D162">
        <v>91746</v>
      </c>
      <c r="E162">
        <v>17</v>
      </c>
      <c r="F162">
        <v>10238445</v>
      </c>
      <c r="G162" t="s">
        <v>1495</v>
      </c>
      <c r="H162" t="s">
        <v>81</v>
      </c>
      <c r="I162" s="3">
        <v>0.375</v>
      </c>
      <c r="J162" t="s">
        <v>81</v>
      </c>
      <c r="K162" s="3">
        <v>0.375</v>
      </c>
      <c r="L162" t="s">
        <v>81</v>
      </c>
      <c r="M162" s="3">
        <v>0.375</v>
      </c>
      <c r="N162" t="s">
        <v>81</v>
      </c>
      <c r="O162" s="3">
        <v>0.375</v>
      </c>
      <c r="P162" t="s">
        <v>81</v>
      </c>
      <c r="Q162" s="3">
        <v>0.375</v>
      </c>
      <c r="R162" t="b">
        <v>1</v>
      </c>
      <c r="S162" t="s">
        <v>1710</v>
      </c>
    </row>
    <row r="163" spans="1:19" x14ac:dyDescent="0.2">
      <c r="A163">
        <v>155</v>
      </c>
      <c r="B163" t="s">
        <v>1303</v>
      </c>
      <c r="C163" t="s">
        <v>1304</v>
      </c>
      <c r="D163">
        <v>92346</v>
      </c>
      <c r="E163">
        <v>40</v>
      </c>
      <c r="F163" t="s">
        <v>1305</v>
      </c>
      <c r="G163" t="s">
        <v>914</v>
      </c>
      <c r="H163" t="s">
        <v>113</v>
      </c>
      <c r="I163" s="3">
        <v>0.70833333333333337</v>
      </c>
      <c r="J163" t="s">
        <v>113</v>
      </c>
      <c r="K163" s="3">
        <v>0.70833333333333337</v>
      </c>
      <c r="L163" t="s">
        <v>113</v>
      </c>
      <c r="M163" s="3">
        <v>0.70833333333333337</v>
      </c>
      <c r="N163" t="s">
        <v>113</v>
      </c>
      <c r="O163" s="3">
        <v>0.70833333333333337</v>
      </c>
      <c r="P163" t="s">
        <v>113</v>
      </c>
      <c r="Q163" s="3">
        <v>0.70833333333333337</v>
      </c>
      <c r="R163" t="b">
        <v>0</v>
      </c>
      <c r="S163" t="s">
        <v>1711</v>
      </c>
    </row>
    <row r="164" spans="1:19" x14ac:dyDescent="0.2">
      <c r="A164">
        <v>156</v>
      </c>
      <c r="B164" t="s">
        <v>1021</v>
      </c>
      <c r="C164" t="s">
        <v>341</v>
      </c>
      <c r="D164">
        <v>91762</v>
      </c>
      <c r="E164">
        <v>4</v>
      </c>
      <c r="F164">
        <v>10347862</v>
      </c>
      <c r="G164" t="s">
        <v>914</v>
      </c>
      <c r="H164" t="s">
        <v>113</v>
      </c>
      <c r="I164" s="3">
        <v>0.25</v>
      </c>
      <c r="J164" t="s">
        <v>113</v>
      </c>
      <c r="K164" s="3">
        <v>0.25</v>
      </c>
      <c r="L164" t="s">
        <v>113</v>
      </c>
      <c r="M164" s="3">
        <v>0.25</v>
      </c>
      <c r="N164" t="s">
        <v>113</v>
      </c>
      <c r="O164" s="3">
        <v>0.25</v>
      </c>
      <c r="P164" t="s">
        <v>113</v>
      </c>
      <c r="Q164" s="3">
        <v>0.25</v>
      </c>
      <c r="R164" t="b">
        <v>1</v>
      </c>
      <c r="S164" t="s">
        <v>1712</v>
      </c>
    </row>
    <row r="165" spans="1:19" x14ac:dyDescent="0.2">
      <c r="A165">
        <v>157</v>
      </c>
      <c r="B165" t="s">
        <v>661</v>
      </c>
      <c r="C165" t="s">
        <v>660</v>
      </c>
      <c r="D165">
        <v>91711</v>
      </c>
      <c r="E165">
        <v>1.5</v>
      </c>
      <c r="F165">
        <v>10358850</v>
      </c>
      <c r="G165" t="s">
        <v>914</v>
      </c>
      <c r="H165" t="s">
        <v>98</v>
      </c>
      <c r="I165" s="3">
        <v>0.375</v>
      </c>
      <c r="J165" t="s">
        <v>98</v>
      </c>
      <c r="K165" s="3">
        <v>0.375</v>
      </c>
      <c r="L165" t="s">
        <v>98</v>
      </c>
      <c r="M165" s="3">
        <v>0.375</v>
      </c>
      <c r="N165" t="s">
        <v>98</v>
      </c>
      <c r="O165" s="3">
        <v>0.375</v>
      </c>
      <c r="P165" t="s">
        <v>98</v>
      </c>
      <c r="Q165" s="3">
        <v>0.375</v>
      </c>
      <c r="R165" t="b">
        <v>1</v>
      </c>
      <c r="S165" t="s">
        <v>1713</v>
      </c>
    </row>
    <row r="166" spans="1:19" x14ac:dyDescent="0.2">
      <c r="A166">
        <v>158</v>
      </c>
      <c r="B166" t="s">
        <v>921</v>
      </c>
      <c r="C166" t="s">
        <v>922</v>
      </c>
      <c r="D166">
        <v>10025</v>
      </c>
      <c r="E166">
        <v>0.5</v>
      </c>
      <c r="F166">
        <v>10369321</v>
      </c>
      <c r="G166" t="s">
        <v>919</v>
      </c>
      <c r="H166" t="s">
        <v>92</v>
      </c>
      <c r="I166" s="3">
        <v>0.52083333333333337</v>
      </c>
      <c r="J166" t="s">
        <v>202</v>
      </c>
      <c r="K166" s="3">
        <v>0.45833333333333331</v>
      </c>
      <c r="L166" t="s">
        <v>202</v>
      </c>
      <c r="M166" s="3">
        <v>0.45833333333333331</v>
      </c>
      <c r="N166" t="s">
        <v>202</v>
      </c>
      <c r="O166" s="3">
        <v>0.45833333333333331</v>
      </c>
      <c r="P166" t="s">
        <v>202</v>
      </c>
      <c r="Q166" s="3">
        <v>0.45833333333333331</v>
      </c>
      <c r="R166" t="b">
        <v>0</v>
      </c>
      <c r="S166" t="s">
        <v>1714</v>
      </c>
    </row>
    <row r="167" spans="1:19" x14ac:dyDescent="0.2">
      <c r="A167">
        <v>159</v>
      </c>
      <c r="B167" t="s">
        <v>1044</v>
      </c>
      <c r="C167" t="s">
        <v>551</v>
      </c>
      <c r="D167">
        <v>91750</v>
      </c>
      <c r="E167">
        <v>5</v>
      </c>
      <c r="F167">
        <v>10371627</v>
      </c>
      <c r="G167" t="s">
        <v>919</v>
      </c>
      <c r="H167" t="s">
        <v>113</v>
      </c>
      <c r="I167" s="3">
        <v>0.33333333333333331</v>
      </c>
      <c r="J167" t="s">
        <v>113</v>
      </c>
      <c r="K167" s="3">
        <v>0.33333333333333331</v>
      </c>
      <c r="L167" t="s">
        <v>113</v>
      </c>
      <c r="M167" s="3">
        <v>0.33333333333333331</v>
      </c>
      <c r="N167" t="s">
        <v>113</v>
      </c>
      <c r="O167" s="3">
        <v>0.33333333333333331</v>
      </c>
      <c r="P167" t="s">
        <v>113</v>
      </c>
      <c r="Q167" s="3">
        <v>0.33333333333333331</v>
      </c>
      <c r="R167" t="b">
        <v>1</v>
      </c>
      <c r="S167" t="s">
        <v>1715</v>
      </c>
    </row>
    <row r="168" spans="1:19" x14ac:dyDescent="0.2">
      <c r="A168">
        <v>160</v>
      </c>
      <c r="B168" t="s">
        <v>135</v>
      </c>
      <c r="C168" t="s">
        <v>134</v>
      </c>
      <c r="D168">
        <v>92316</v>
      </c>
      <c r="E168">
        <v>25</v>
      </c>
      <c r="F168">
        <v>10151953</v>
      </c>
      <c r="G168" t="s">
        <v>914</v>
      </c>
      <c r="H168" t="s">
        <v>113</v>
      </c>
      <c r="I168" s="3">
        <v>0.29166666666666669</v>
      </c>
      <c r="J168" t="s">
        <v>113</v>
      </c>
      <c r="K168" s="3">
        <v>0.29166666666666669</v>
      </c>
      <c r="L168" t="s">
        <v>113</v>
      </c>
      <c r="M168" s="3">
        <v>0.29166666666666669</v>
      </c>
      <c r="N168" t="s">
        <v>113</v>
      </c>
      <c r="O168" s="3">
        <v>0.29166666666666669</v>
      </c>
      <c r="P168" t="s">
        <v>113</v>
      </c>
      <c r="Q168" s="3">
        <v>0.29166666666666669</v>
      </c>
      <c r="R168" t="b">
        <v>1</v>
      </c>
      <c r="S168" t="s">
        <v>1716</v>
      </c>
    </row>
    <row r="169" spans="1:19" x14ac:dyDescent="0.2">
      <c r="A169">
        <v>161</v>
      </c>
      <c r="B169" t="s">
        <v>1224</v>
      </c>
      <c r="C169" t="s">
        <v>832</v>
      </c>
      <c r="D169">
        <v>92335</v>
      </c>
      <c r="E169">
        <v>20</v>
      </c>
      <c r="F169" t="s">
        <v>1225</v>
      </c>
      <c r="G169" t="s">
        <v>914</v>
      </c>
      <c r="H169" t="s">
        <v>113</v>
      </c>
      <c r="I169" s="3">
        <v>0.29166666666666669</v>
      </c>
      <c r="J169" t="s">
        <v>113</v>
      </c>
      <c r="K169" s="3">
        <v>0.29166666666666669</v>
      </c>
      <c r="L169" t="s">
        <v>113</v>
      </c>
      <c r="M169" s="3">
        <v>0.29166666666666669</v>
      </c>
      <c r="N169" t="s">
        <v>113</v>
      </c>
      <c r="O169" s="3">
        <v>0.29166666666666669</v>
      </c>
      <c r="P169" t="s">
        <v>113</v>
      </c>
      <c r="Q169" s="3">
        <v>0.29166666666666669</v>
      </c>
      <c r="R169" t="b">
        <v>1</v>
      </c>
      <c r="S169" t="s">
        <v>1717</v>
      </c>
    </row>
    <row r="170" spans="1:19" x14ac:dyDescent="0.2">
      <c r="A170">
        <v>162</v>
      </c>
      <c r="B170" t="s">
        <v>468</v>
      </c>
      <c r="C170" t="s">
        <v>467</v>
      </c>
      <c r="D170">
        <v>91711</v>
      </c>
      <c r="E170">
        <v>1</v>
      </c>
      <c r="F170">
        <v>10374423</v>
      </c>
      <c r="G170" t="s">
        <v>914</v>
      </c>
      <c r="H170" t="s">
        <v>92</v>
      </c>
      <c r="I170" s="3">
        <v>0.29166666666666669</v>
      </c>
      <c r="J170" t="s">
        <v>92</v>
      </c>
      <c r="K170" s="3">
        <v>0.29166666666666669</v>
      </c>
      <c r="L170" t="s">
        <v>92</v>
      </c>
      <c r="M170" s="3">
        <v>0.29166666666666669</v>
      </c>
      <c r="N170" t="s">
        <v>92</v>
      </c>
      <c r="O170" s="3">
        <v>0.29166666666666669</v>
      </c>
      <c r="P170" t="s">
        <v>92</v>
      </c>
      <c r="Q170" s="3">
        <v>0.29166666666666669</v>
      </c>
      <c r="R170" t="b">
        <v>1</v>
      </c>
      <c r="S170" t="s">
        <v>1718</v>
      </c>
    </row>
    <row r="171" spans="1:19" x14ac:dyDescent="0.2">
      <c r="A171">
        <v>163</v>
      </c>
      <c r="B171" t="s">
        <v>403</v>
      </c>
      <c r="C171" t="s">
        <v>1092</v>
      </c>
      <c r="D171">
        <v>91730</v>
      </c>
      <c r="E171">
        <v>8</v>
      </c>
      <c r="F171">
        <v>10042917</v>
      </c>
      <c r="G171" t="s">
        <v>914</v>
      </c>
      <c r="H171" t="s">
        <v>113</v>
      </c>
      <c r="I171" s="3">
        <v>0.29166666666666669</v>
      </c>
      <c r="J171" t="s">
        <v>113</v>
      </c>
      <c r="K171" s="3">
        <v>0.29166666666666669</v>
      </c>
      <c r="L171" t="s">
        <v>113</v>
      </c>
      <c r="M171" s="3">
        <v>0.29166666666666669</v>
      </c>
      <c r="N171" t="s">
        <v>113</v>
      </c>
      <c r="O171" s="3">
        <v>0.29166666666666669</v>
      </c>
      <c r="P171" t="s">
        <v>113</v>
      </c>
      <c r="Q171" s="3">
        <v>0.29166666666666669</v>
      </c>
      <c r="R171" t="b">
        <v>1</v>
      </c>
      <c r="S171" t="s">
        <v>1719</v>
      </c>
    </row>
    <row r="172" spans="1:19" x14ac:dyDescent="0.2">
      <c r="A172">
        <v>164</v>
      </c>
      <c r="B172" t="s">
        <v>1196</v>
      </c>
      <c r="C172" t="s">
        <v>1197</v>
      </c>
      <c r="D172">
        <v>92335</v>
      </c>
      <c r="E172">
        <v>16</v>
      </c>
      <c r="F172">
        <v>10366672</v>
      </c>
      <c r="G172" t="s">
        <v>914</v>
      </c>
      <c r="H172" t="s">
        <v>113</v>
      </c>
      <c r="I172" s="3">
        <v>0.64583333333333337</v>
      </c>
      <c r="J172" t="s">
        <v>113</v>
      </c>
      <c r="K172" s="3">
        <v>0.64583333333333337</v>
      </c>
      <c r="L172" t="s">
        <v>113</v>
      </c>
      <c r="M172" s="3">
        <v>0.64583333333333337</v>
      </c>
      <c r="N172" t="s">
        <v>113</v>
      </c>
      <c r="O172" s="3">
        <v>0.64583333333333337</v>
      </c>
      <c r="P172" t="s">
        <v>113</v>
      </c>
      <c r="Q172" s="3">
        <v>0.64583333333333337</v>
      </c>
      <c r="R172" t="b">
        <v>0</v>
      </c>
      <c r="S172" t="s">
        <v>1720</v>
      </c>
    </row>
    <row r="173" spans="1:19" x14ac:dyDescent="0.2">
      <c r="A173">
        <v>165</v>
      </c>
      <c r="B173" t="s">
        <v>1165</v>
      </c>
      <c r="C173" t="s">
        <v>1166</v>
      </c>
      <c r="D173">
        <v>92377</v>
      </c>
      <c r="E173">
        <v>15</v>
      </c>
      <c r="F173">
        <v>10042242</v>
      </c>
      <c r="G173" t="s">
        <v>914</v>
      </c>
      <c r="H173" t="s">
        <v>113</v>
      </c>
      <c r="I173" s="3">
        <v>0.29166666666666669</v>
      </c>
      <c r="J173" t="s">
        <v>113</v>
      </c>
      <c r="K173" s="3">
        <v>0.29166666666666669</v>
      </c>
      <c r="L173" t="s">
        <v>113</v>
      </c>
      <c r="M173" s="3">
        <v>0.29166666666666669</v>
      </c>
      <c r="N173" t="s">
        <v>113</v>
      </c>
      <c r="O173" s="3">
        <v>0.29166666666666669</v>
      </c>
      <c r="P173" t="s">
        <v>113</v>
      </c>
      <c r="Q173" s="3">
        <v>0.29166666666666669</v>
      </c>
      <c r="R173" t="b">
        <v>1</v>
      </c>
      <c r="S173" t="s">
        <v>1721</v>
      </c>
    </row>
    <row r="174" spans="1:19" x14ac:dyDescent="0.2">
      <c r="A174">
        <v>166</v>
      </c>
      <c r="B174" t="s">
        <v>746</v>
      </c>
      <c r="C174" t="s">
        <v>1145</v>
      </c>
      <c r="D174">
        <v>91730</v>
      </c>
      <c r="E174">
        <v>12</v>
      </c>
      <c r="F174">
        <v>10370484</v>
      </c>
      <c r="G174" t="s">
        <v>914</v>
      </c>
      <c r="H174" t="s">
        <v>191</v>
      </c>
      <c r="I174" s="3">
        <v>0.33333333333333331</v>
      </c>
      <c r="J174" t="s">
        <v>113</v>
      </c>
      <c r="K174" s="3">
        <v>0.33333333333333331</v>
      </c>
      <c r="L174" t="s">
        <v>113</v>
      </c>
      <c r="M174" s="3">
        <v>0.33333333333333331</v>
      </c>
      <c r="N174" t="s">
        <v>113</v>
      </c>
      <c r="O174" s="3">
        <v>0.33333333333333331</v>
      </c>
      <c r="P174" t="s">
        <v>113</v>
      </c>
      <c r="Q174" s="3">
        <v>0.33333333333333331</v>
      </c>
      <c r="R174" t="b">
        <v>1</v>
      </c>
      <c r="S174" t="s">
        <v>1722</v>
      </c>
    </row>
    <row r="175" spans="1:19" x14ac:dyDescent="0.2">
      <c r="A175">
        <v>167</v>
      </c>
      <c r="B175" t="s">
        <v>527</v>
      </c>
      <c r="C175" t="s">
        <v>526</v>
      </c>
      <c r="D175">
        <v>91764</v>
      </c>
      <c r="E175">
        <v>13</v>
      </c>
      <c r="F175">
        <v>10042458</v>
      </c>
      <c r="G175" t="s">
        <v>914</v>
      </c>
      <c r="H175" t="s">
        <v>113</v>
      </c>
      <c r="I175" s="3">
        <v>0.29166666666666669</v>
      </c>
      <c r="J175" t="s">
        <v>113</v>
      </c>
      <c r="K175" s="3">
        <v>0.29166666666666669</v>
      </c>
      <c r="L175" t="s">
        <v>113</v>
      </c>
      <c r="M175" s="3">
        <v>0.29166666666666669</v>
      </c>
      <c r="N175" t="s">
        <v>113</v>
      </c>
      <c r="O175" s="3">
        <v>0.29166666666666669</v>
      </c>
      <c r="P175" t="s">
        <v>113</v>
      </c>
      <c r="Q175" s="3">
        <v>0.29166666666666669</v>
      </c>
      <c r="R175" t="b">
        <v>1</v>
      </c>
      <c r="S175" t="s">
        <v>1723</v>
      </c>
    </row>
    <row r="176" spans="1:19" x14ac:dyDescent="0.2">
      <c r="A176">
        <v>168</v>
      </c>
      <c r="B176" t="s">
        <v>321</v>
      </c>
      <c r="C176" t="s">
        <v>320</v>
      </c>
      <c r="D176">
        <v>92376</v>
      </c>
      <c r="E176">
        <v>24</v>
      </c>
      <c r="F176">
        <v>101772261</v>
      </c>
      <c r="G176" t="s">
        <v>914</v>
      </c>
      <c r="H176" t="s">
        <v>195</v>
      </c>
      <c r="I176" s="3">
        <v>0.33333333333333331</v>
      </c>
      <c r="J176" t="s">
        <v>1016</v>
      </c>
      <c r="K176" s="3">
        <v>0.33333333333333331</v>
      </c>
      <c r="L176" t="s">
        <v>1016</v>
      </c>
      <c r="M176" s="3">
        <v>0.33333333333333331</v>
      </c>
      <c r="N176" t="s">
        <v>191</v>
      </c>
      <c r="O176" s="3">
        <v>0.33333333333333331</v>
      </c>
      <c r="P176" t="s">
        <v>191</v>
      </c>
      <c r="Q176" s="3">
        <v>0.33333333333333331</v>
      </c>
      <c r="R176" t="b">
        <v>1</v>
      </c>
      <c r="S176" t="s">
        <v>1724</v>
      </c>
    </row>
    <row r="177" spans="1:19" x14ac:dyDescent="0.2">
      <c r="A177">
        <v>169</v>
      </c>
      <c r="B177" t="s">
        <v>33</v>
      </c>
      <c r="C177" t="s">
        <v>1226</v>
      </c>
      <c r="D177">
        <v>92335</v>
      </c>
      <c r="E177">
        <v>20</v>
      </c>
      <c r="F177">
        <v>10042928</v>
      </c>
      <c r="G177" t="s">
        <v>914</v>
      </c>
      <c r="H177" t="s">
        <v>85</v>
      </c>
      <c r="I177" s="3">
        <v>0.29166666666666669</v>
      </c>
      <c r="J177" t="s">
        <v>85</v>
      </c>
      <c r="K177" s="3">
        <v>0.29166666666666669</v>
      </c>
      <c r="L177" t="s">
        <v>85</v>
      </c>
      <c r="M177" s="3">
        <v>0.29166666666666669</v>
      </c>
      <c r="N177" t="s">
        <v>85</v>
      </c>
      <c r="O177" s="3">
        <v>0.29166666666666669</v>
      </c>
      <c r="P177" t="s">
        <v>85</v>
      </c>
      <c r="Q177" s="3">
        <v>0.29166666666666669</v>
      </c>
      <c r="R177" t="b">
        <v>1</v>
      </c>
      <c r="S177" t="s">
        <v>1725</v>
      </c>
    </row>
    <row r="178" spans="1:19" x14ac:dyDescent="0.2">
      <c r="A178">
        <v>170</v>
      </c>
      <c r="B178" t="s">
        <v>28</v>
      </c>
      <c r="C178" t="s">
        <v>467</v>
      </c>
      <c r="D178">
        <v>91764</v>
      </c>
      <c r="E178">
        <v>6</v>
      </c>
      <c r="F178" t="s">
        <v>1059</v>
      </c>
      <c r="G178" t="s">
        <v>914</v>
      </c>
      <c r="H178" t="s">
        <v>113</v>
      </c>
      <c r="I178" s="3">
        <v>0.27083333333333331</v>
      </c>
      <c r="J178" t="s">
        <v>113</v>
      </c>
      <c r="K178" s="3">
        <v>0.27083333333333331</v>
      </c>
      <c r="L178" t="s">
        <v>113</v>
      </c>
      <c r="M178" s="3">
        <v>0.27083333333333331</v>
      </c>
      <c r="N178" t="s">
        <v>113</v>
      </c>
      <c r="O178" s="3">
        <v>0.27083333333333331</v>
      </c>
      <c r="P178" t="s">
        <v>113</v>
      </c>
      <c r="Q178" s="3">
        <v>0.27083333333333331</v>
      </c>
      <c r="R178" t="b">
        <v>1</v>
      </c>
      <c r="S178" t="s">
        <v>1726</v>
      </c>
    </row>
    <row r="179" spans="1:19" x14ac:dyDescent="0.2">
      <c r="A179">
        <v>171</v>
      </c>
      <c r="B179" t="s">
        <v>239</v>
      </c>
      <c r="C179" t="s">
        <v>390</v>
      </c>
      <c r="D179">
        <v>91711</v>
      </c>
      <c r="E179">
        <v>3</v>
      </c>
      <c r="F179">
        <v>10120597</v>
      </c>
      <c r="G179" t="s">
        <v>914</v>
      </c>
      <c r="H179" t="s">
        <v>113</v>
      </c>
      <c r="I179" s="3">
        <v>0.33333333333333331</v>
      </c>
      <c r="J179" t="s">
        <v>113</v>
      </c>
      <c r="K179" s="3">
        <v>0.33333333333333331</v>
      </c>
      <c r="L179" t="s">
        <v>113</v>
      </c>
      <c r="M179" s="3">
        <v>0.33333333333333331</v>
      </c>
      <c r="N179" t="s">
        <v>113</v>
      </c>
      <c r="O179" s="3">
        <v>0.33333333333333331</v>
      </c>
      <c r="P179" t="s">
        <v>113</v>
      </c>
      <c r="Q179" s="3">
        <v>0.33333333333333331</v>
      </c>
      <c r="R179" t="b">
        <v>1</v>
      </c>
      <c r="S179" t="s">
        <v>1727</v>
      </c>
    </row>
    <row r="180" spans="1:19" x14ac:dyDescent="0.2">
      <c r="A180">
        <v>172</v>
      </c>
      <c r="B180" t="s">
        <v>288</v>
      </c>
      <c r="C180" t="s">
        <v>1045</v>
      </c>
      <c r="D180">
        <v>91786</v>
      </c>
      <c r="E180">
        <v>5</v>
      </c>
      <c r="F180" t="s">
        <v>1046</v>
      </c>
      <c r="G180" t="s">
        <v>914</v>
      </c>
      <c r="H180" t="s">
        <v>113</v>
      </c>
      <c r="I180" s="3">
        <v>0.45833333333333331</v>
      </c>
      <c r="J180" t="s">
        <v>113</v>
      </c>
      <c r="K180" s="3">
        <v>0.45833333333333331</v>
      </c>
      <c r="L180" t="s">
        <v>113</v>
      </c>
      <c r="M180" s="3">
        <v>0.45833333333333331</v>
      </c>
      <c r="N180" t="s">
        <v>113</v>
      </c>
      <c r="O180" s="3">
        <v>0.45833333333333331</v>
      </c>
      <c r="P180" t="s">
        <v>113</v>
      </c>
      <c r="Q180" s="3">
        <v>0.45833333333333331</v>
      </c>
      <c r="R180" t="b">
        <v>0</v>
      </c>
      <c r="S180" t="s">
        <v>1728</v>
      </c>
    </row>
    <row r="181" spans="1:19" x14ac:dyDescent="0.2">
      <c r="A181">
        <v>173</v>
      </c>
      <c r="B181" t="s">
        <v>140</v>
      </c>
      <c r="C181" t="s">
        <v>139</v>
      </c>
      <c r="D181">
        <v>91786</v>
      </c>
      <c r="E181">
        <v>1</v>
      </c>
      <c r="F181">
        <v>10105644</v>
      </c>
      <c r="G181" t="s">
        <v>914</v>
      </c>
      <c r="H181" t="s">
        <v>113</v>
      </c>
      <c r="I181" s="3">
        <v>0.375</v>
      </c>
      <c r="J181" t="s">
        <v>92</v>
      </c>
      <c r="K181" s="3">
        <v>0.375</v>
      </c>
      <c r="L181" t="s">
        <v>92</v>
      </c>
      <c r="M181" s="3">
        <v>0.375</v>
      </c>
      <c r="N181" t="s">
        <v>113</v>
      </c>
      <c r="O181" s="3">
        <v>0.375</v>
      </c>
      <c r="P181" t="s">
        <v>113</v>
      </c>
      <c r="Q181" s="3">
        <v>0.375</v>
      </c>
      <c r="R181" t="b">
        <v>1</v>
      </c>
      <c r="S181" t="s">
        <v>1729</v>
      </c>
    </row>
    <row r="182" spans="1:19" x14ac:dyDescent="0.2">
      <c r="A182">
        <v>174</v>
      </c>
      <c r="B182" t="s">
        <v>1047</v>
      </c>
      <c r="C182" t="s">
        <v>1048</v>
      </c>
      <c r="D182">
        <v>91763</v>
      </c>
      <c r="E182">
        <v>5</v>
      </c>
      <c r="F182">
        <v>10144352</v>
      </c>
      <c r="G182" t="s">
        <v>914</v>
      </c>
      <c r="H182" t="s">
        <v>113</v>
      </c>
      <c r="I182" s="3">
        <v>0.47916666666666669</v>
      </c>
      <c r="J182" t="s">
        <v>113</v>
      </c>
      <c r="K182" s="3">
        <v>0.47916666666666669</v>
      </c>
      <c r="L182" t="s">
        <v>113</v>
      </c>
      <c r="M182" s="3">
        <v>0.47916666666666669</v>
      </c>
      <c r="N182" t="s">
        <v>113</v>
      </c>
      <c r="O182" s="3">
        <v>0.47916666666666669</v>
      </c>
      <c r="P182" t="s">
        <v>113</v>
      </c>
      <c r="Q182" s="3">
        <v>0.47916666666666669</v>
      </c>
      <c r="R182" t="b">
        <v>0</v>
      </c>
      <c r="S182" t="s">
        <v>1730</v>
      </c>
    </row>
    <row r="183" spans="1:19" x14ac:dyDescent="0.2">
      <c r="A183">
        <v>175</v>
      </c>
      <c r="B183" t="s">
        <v>1090</v>
      </c>
      <c r="C183" t="s">
        <v>1262</v>
      </c>
      <c r="D183">
        <v>92509</v>
      </c>
      <c r="E183">
        <v>26</v>
      </c>
      <c r="F183" t="s">
        <v>1263</v>
      </c>
      <c r="G183" t="s">
        <v>914</v>
      </c>
      <c r="H183" t="s">
        <v>113</v>
      </c>
      <c r="I183" s="3">
        <v>0.64583333333333337</v>
      </c>
      <c r="J183" t="s">
        <v>113</v>
      </c>
      <c r="K183" s="3">
        <v>0.64583333333333337</v>
      </c>
      <c r="L183" t="s">
        <v>113</v>
      </c>
      <c r="M183" s="3">
        <v>0.64583333333333337</v>
      </c>
      <c r="N183" t="s">
        <v>113</v>
      </c>
      <c r="O183" s="3">
        <v>0.64583333333333337</v>
      </c>
      <c r="P183" t="s">
        <v>113</v>
      </c>
      <c r="Q183" s="3">
        <v>0.64583333333333337</v>
      </c>
      <c r="R183" t="b">
        <v>0</v>
      </c>
      <c r="S183" t="s">
        <v>1731</v>
      </c>
    </row>
    <row r="184" spans="1:19" x14ac:dyDescent="0.2">
      <c r="A184">
        <v>176</v>
      </c>
      <c r="B184" t="s">
        <v>1123</v>
      </c>
      <c r="C184" t="s">
        <v>1124</v>
      </c>
      <c r="D184">
        <v>91701</v>
      </c>
      <c r="E184">
        <v>10</v>
      </c>
      <c r="F184">
        <v>10042683</v>
      </c>
      <c r="G184" t="s">
        <v>914</v>
      </c>
      <c r="H184" t="s">
        <v>113</v>
      </c>
      <c r="I184" s="3">
        <v>0.64583333333333337</v>
      </c>
      <c r="J184" t="s">
        <v>113</v>
      </c>
      <c r="K184" s="3">
        <v>0.64583333333333337</v>
      </c>
      <c r="L184" t="s">
        <v>113</v>
      </c>
      <c r="M184" s="3">
        <v>0.64583333333333337</v>
      </c>
      <c r="N184" t="s">
        <v>113</v>
      </c>
      <c r="O184" s="3">
        <v>0.64583333333333337</v>
      </c>
      <c r="P184" t="s">
        <v>113</v>
      </c>
      <c r="Q184" s="3">
        <v>0.64583333333333337</v>
      </c>
      <c r="R184" t="b">
        <v>0</v>
      </c>
      <c r="S184" t="s">
        <v>1732</v>
      </c>
    </row>
    <row r="185" spans="1:19" x14ac:dyDescent="0.2">
      <c r="A185">
        <v>177</v>
      </c>
      <c r="B185" t="s">
        <v>1206</v>
      </c>
      <c r="C185" t="s">
        <v>218</v>
      </c>
      <c r="D185">
        <v>92316</v>
      </c>
      <c r="E185">
        <v>17</v>
      </c>
      <c r="F185">
        <v>10197150</v>
      </c>
      <c r="G185" t="s">
        <v>914</v>
      </c>
      <c r="H185" t="s">
        <v>103</v>
      </c>
      <c r="I185" s="3">
        <v>0.20833333333333334</v>
      </c>
      <c r="J185" t="s">
        <v>103</v>
      </c>
      <c r="K185" s="3">
        <v>0.20833333333333334</v>
      </c>
      <c r="L185" t="s">
        <v>103</v>
      </c>
      <c r="M185" s="3">
        <v>0.20833333333333334</v>
      </c>
      <c r="N185" t="s">
        <v>103</v>
      </c>
      <c r="O185" s="3">
        <v>0.20833333333333334</v>
      </c>
      <c r="P185" t="s">
        <v>103</v>
      </c>
      <c r="Q185" s="3">
        <v>0.20833333333333334</v>
      </c>
      <c r="R185" t="b">
        <v>0</v>
      </c>
      <c r="S185" t="s">
        <v>1733</v>
      </c>
    </row>
    <row r="186" spans="1:19" x14ac:dyDescent="0.2">
      <c r="A186">
        <v>178</v>
      </c>
      <c r="B186" t="s">
        <v>1060</v>
      </c>
      <c r="C186" t="s">
        <v>1061</v>
      </c>
      <c r="D186">
        <v>91706</v>
      </c>
      <c r="E186">
        <v>6</v>
      </c>
      <c r="F186">
        <v>10366662</v>
      </c>
      <c r="G186" t="s">
        <v>914</v>
      </c>
      <c r="H186" t="s">
        <v>103</v>
      </c>
      <c r="I186" s="3">
        <v>0.29166666666666669</v>
      </c>
      <c r="J186" t="s">
        <v>103</v>
      </c>
      <c r="K186" s="3">
        <v>0.29166666666666669</v>
      </c>
      <c r="L186" t="s">
        <v>103</v>
      </c>
      <c r="M186" s="3">
        <v>0.29166666666666669</v>
      </c>
      <c r="N186" t="s">
        <v>103</v>
      </c>
      <c r="O186" s="3">
        <v>0.29166666666666669</v>
      </c>
      <c r="P186" t="s">
        <v>103</v>
      </c>
      <c r="Q186" s="3">
        <v>0.29166666666666669</v>
      </c>
      <c r="R186" t="b">
        <v>1</v>
      </c>
      <c r="S186" t="s">
        <v>1734</v>
      </c>
    </row>
    <row r="187" spans="1:19" x14ac:dyDescent="0.2">
      <c r="A187">
        <v>179</v>
      </c>
      <c r="B187" t="s">
        <v>1295</v>
      </c>
      <c r="C187" t="s">
        <v>1296</v>
      </c>
      <c r="D187">
        <v>92509</v>
      </c>
      <c r="E187">
        <v>35</v>
      </c>
      <c r="F187" t="s">
        <v>1297</v>
      </c>
      <c r="G187" t="s">
        <v>914</v>
      </c>
      <c r="H187" t="s">
        <v>113</v>
      </c>
      <c r="I187" s="3">
        <v>0.25</v>
      </c>
      <c r="J187" t="s">
        <v>113</v>
      </c>
      <c r="K187" s="3">
        <v>0.29166666666666669</v>
      </c>
      <c r="L187" t="s">
        <v>113</v>
      </c>
      <c r="M187" s="3">
        <v>0.29166666666666669</v>
      </c>
      <c r="N187" t="s">
        <v>113</v>
      </c>
      <c r="O187" s="3">
        <v>0.29166666666666669</v>
      </c>
      <c r="P187" t="s">
        <v>113</v>
      </c>
      <c r="Q187" s="3">
        <v>0.29166666666666669</v>
      </c>
      <c r="R187" t="b">
        <v>1</v>
      </c>
      <c r="S187" t="s">
        <v>1735</v>
      </c>
    </row>
    <row r="188" spans="1:19" x14ac:dyDescent="0.2">
      <c r="A188">
        <v>180</v>
      </c>
      <c r="B188" t="s">
        <v>934</v>
      </c>
      <c r="C188" t="s">
        <v>935</v>
      </c>
      <c r="D188">
        <v>91763</v>
      </c>
      <c r="E188">
        <v>1</v>
      </c>
      <c r="F188">
        <v>10042835</v>
      </c>
      <c r="G188" t="s">
        <v>914</v>
      </c>
      <c r="H188" t="s">
        <v>113</v>
      </c>
      <c r="I188" s="3">
        <v>0.29166666666666669</v>
      </c>
      <c r="J188" t="s">
        <v>113</v>
      </c>
      <c r="K188" s="3">
        <v>0.29166666666666669</v>
      </c>
      <c r="L188" t="s">
        <v>113</v>
      </c>
      <c r="M188" s="3">
        <v>0.29166666666666669</v>
      </c>
      <c r="N188" t="s">
        <v>113</v>
      </c>
      <c r="O188" s="3">
        <v>0.29166666666666669</v>
      </c>
      <c r="P188" t="s">
        <v>113</v>
      </c>
      <c r="Q188" s="3">
        <v>0.29166666666666669</v>
      </c>
      <c r="R188" t="b">
        <v>1</v>
      </c>
      <c r="S188" t="s">
        <v>1736</v>
      </c>
    </row>
    <row r="189" spans="1:19" x14ac:dyDescent="0.2">
      <c r="A189">
        <v>181</v>
      </c>
      <c r="B189" t="s">
        <v>1022</v>
      </c>
      <c r="C189" t="s">
        <v>1023</v>
      </c>
      <c r="D189">
        <v>91767</v>
      </c>
      <c r="E189">
        <v>4</v>
      </c>
      <c r="F189" t="s">
        <v>1024</v>
      </c>
      <c r="G189" t="s">
        <v>914</v>
      </c>
      <c r="H189" t="s">
        <v>933</v>
      </c>
      <c r="I189" s="3">
        <v>0.29166666666666669</v>
      </c>
      <c r="J189" t="s">
        <v>933</v>
      </c>
      <c r="K189" s="3">
        <v>0.29166666666666669</v>
      </c>
      <c r="L189" t="s">
        <v>933</v>
      </c>
      <c r="M189" s="3">
        <v>0.29166666666666669</v>
      </c>
      <c r="N189" t="s">
        <v>933</v>
      </c>
      <c r="O189" s="3">
        <v>0.29166666666666669</v>
      </c>
      <c r="P189" t="s">
        <v>933</v>
      </c>
      <c r="Q189" s="3">
        <v>0.29166666666666669</v>
      </c>
      <c r="R189" t="b">
        <v>1</v>
      </c>
      <c r="S189" t="s">
        <v>1737</v>
      </c>
    </row>
    <row r="190" spans="1:19" x14ac:dyDescent="0.2">
      <c r="A190">
        <v>182</v>
      </c>
      <c r="B190" t="s">
        <v>869</v>
      </c>
      <c r="C190" t="s">
        <v>1119</v>
      </c>
      <c r="D190">
        <v>91710</v>
      </c>
      <c r="E190">
        <v>9.1999999999999993</v>
      </c>
      <c r="F190">
        <v>10346125</v>
      </c>
      <c r="G190" t="s">
        <v>914</v>
      </c>
      <c r="H190" t="s">
        <v>103</v>
      </c>
      <c r="I190" s="3">
        <v>0.29166666666666669</v>
      </c>
      <c r="J190" t="s">
        <v>103</v>
      </c>
      <c r="K190" s="3">
        <v>0.29166666666666669</v>
      </c>
      <c r="L190" t="s">
        <v>103</v>
      </c>
      <c r="M190" s="3">
        <v>0.29166666666666669</v>
      </c>
      <c r="N190" t="s">
        <v>103</v>
      </c>
      <c r="O190" s="3">
        <v>0.29166666666666669</v>
      </c>
      <c r="P190" t="s">
        <v>103</v>
      </c>
      <c r="Q190" s="3">
        <v>0.29166666666666669</v>
      </c>
      <c r="R190" t="b">
        <v>1</v>
      </c>
      <c r="S190" t="s">
        <v>1738</v>
      </c>
    </row>
    <row r="191" spans="1:19" x14ac:dyDescent="0.2">
      <c r="A191">
        <v>183</v>
      </c>
      <c r="B191" t="s">
        <v>1082</v>
      </c>
      <c r="C191" t="s">
        <v>1083</v>
      </c>
      <c r="D191">
        <v>91764</v>
      </c>
      <c r="E191">
        <v>7.5</v>
      </c>
      <c r="F191">
        <v>10340696</v>
      </c>
      <c r="G191" t="s">
        <v>914</v>
      </c>
      <c r="H191" t="s">
        <v>113</v>
      </c>
      <c r="I191" s="3">
        <v>0.29166666666666669</v>
      </c>
      <c r="J191" t="s">
        <v>113</v>
      </c>
      <c r="K191" s="3">
        <v>0.29166666666666669</v>
      </c>
      <c r="L191" t="s">
        <v>113</v>
      </c>
      <c r="M191" s="3">
        <v>0.29166666666666669</v>
      </c>
      <c r="N191" t="s">
        <v>113</v>
      </c>
      <c r="O191" s="3">
        <v>0.29166666666666669</v>
      </c>
      <c r="P191" t="s">
        <v>113</v>
      </c>
      <c r="Q191" s="3">
        <v>0.29166666666666669</v>
      </c>
      <c r="R191" t="b">
        <v>1</v>
      </c>
      <c r="S191" t="s">
        <v>1739</v>
      </c>
    </row>
    <row r="192" spans="1:19" x14ac:dyDescent="0.2">
      <c r="A192">
        <v>184</v>
      </c>
      <c r="B192" t="s">
        <v>1093</v>
      </c>
      <c r="C192" t="s">
        <v>1094</v>
      </c>
      <c r="D192">
        <v>91701</v>
      </c>
      <c r="E192">
        <v>8</v>
      </c>
      <c r="F192" t="s">
        <v>1095</v>
      </c>
      <c r="G192" t="s">
        <v>914</v>
      </c>
      <c r="H192" t="s">
        <v>113</v>
      </c>
      <c r="I192" s="3">
        <v>0.29166666666666669</v>
      </c>
      <c r="J192" t="s">
        <v>113</v>
      </c>
      <c r="K192" s="3">
        <v>0.29166666666666669</v>
      </c>
      <c r="L192" t="s">
        <v>113</v>
      </c>
      <c r="M192" s="3">
        <v>0.29166666666666669</v>
      </c>
      <c r="N192" t="s">
        <v>113</v>
      </c>
      <c r="O192" s="3">
        <v>0.29166666666666669</v>
      </c>
      <c r="P192" t="s">
        <v>113</v>
      </c>
      <c r="Q192" s="3">
        <v>0.29166666666666669</v>
      </c>
      <c r="R192" t="b">
        <v>1</v>
      </c>
      <c r="S192" t="s">
        <v>1740</v>
      </c>
    </row>
    <row r="193" spans="1:19" x14ac:dyDescent="0.2">
      <c r="A193">
        <v>185</v>
      </c>
      <c r="B193" t="s">
        <v>632</v>
      </c>
      <c r="C193" t="s">
        <v>1207</v>
      </c>
      <c r="D193">
        <v>91762</v>
      </c>
      <c r="E193">
        <v>17</v>
      </c>
      <c r="F193">
        <v>101993243</v>
      </c>
      <c r="G193" t="s">
        <v>914</v>
      </c>
      <c r="H193" t="s">
        <v>113</v>
      </c>
      <c r="I193" s="3">
        <v>0.29166666666666669</v>
      </c>
      <c r="J193" t="s">
        <v>113</v>
      </c>
      <c r="K193" s="3">
        <v>0.29166666666666669</v>
      </c>
      <c r="L193" t="s">
        <v>113</v>
      </c>
      <c r="M193" s="3">
        <v>0.29166666666666669</v>
      </c>
      <c r="N193" t="s">
        <v>113</v>
      </c>
      <c r="O193" s="3">
        <v>0.29166666666666669</v>
      </c>
      <c r="P193" t="s">
        <v>113</v>
      </c>
      <c r="Q193" s="3">
        <v>0.29166666666666669</v>
      </c>
      <c r="R193" t="b">
        <v>1</v>
      </c>
      <c r="S193" t="s">
        <v>1741</v>
      </c>
    </row>
    <row r="194" spans="1:19" x14ac:dyDescent="0.2">
      <c r="A194">
        <v>186</v>
      </c>
      <c r="B194" t="s">
        <v>1327</v>
      </c>
      <c r="C194" t="s">
        <v>1328</v>
      </c>
      <c r="D194">
        <v>92395</v>
      </c>
      <c r="E194">
        <v>55</v>
      </c>
      <c r="F194">
        <v>10366437</v>
      </c>
      <c r="G194" t="s">
        <v>914</v>
      </c>
      <c r="H194" t="s">
        <v>113</v>
      </c>
      <c r="I194" s="3">
        <v>0.20833333333333334</v>
      </c>
      <c r="J194" t="s">
        <v>113</v>
      </c>
      <c r="K194" s="3">
        <v>0.20833333333333334</v>
      </c>
      <c r="L194" t="s">
        <v>113</v>
      </c>
      <c r="M194" s="3">
        <v>0.20833333333333334</v>
      </c>
      <c r="N194" t="s">
        <v>113</v>
      </c>
      <c r="O194" s="3">
        <v>0.20833333333333334</v>
      </c>
      <c r="P194" t="s">
        <v>113</v>
      </c>
      <c r="Q194" s="3">
        <v>0.20833333333333334</v>
      </c>
      <c r="R194" t="b">
        <v>0</v>
      </c>
      <c r="S194" t="s">
        <v>1742</v>
      </c>
    </row>
    <row r="195" spans="1:19" x14ac:dyDescent="0.2">
      <c r="A195">
        <v>187</v>
      </c>
      <c r="B195" t="s">
        <v>28</v>
      </c>
      <c r="C195" t="s">
        <v>27</v>
      </c>
      <c r="D195">
        <v>92376</v>
      </c>
      <c r="E195">
        <v>24.3</v>
      </c>
      <c r="F195">
        <v>101330641</v>
      </c>
      <c r="G195" t="s">
        <v>914</v>
      </c>
      <c r="H195" t="s">
        <v>85</v>
      </c>
      <c r="I195" s="3">
        <v>0.29166666666666669</v>
      </c>
      <c r="J195" t="s">
        <v>85</v>
      </c>
      <c r="K195" s="3">
        <v>0.29166666666666669</v>
      </c>
      <c r="L195" t="s">
        <v>85</v>
      </c>
      <c r="M195" s="3">
        <v>0.29166666666666669</v>
      </c>
      <c r="N195" t="s">
        <v>85</v>
      </c>
      <c r="O195" s="3">
        <v>0.29166666666666669</v>
      </c>
      <c r="P195" t="s">
        <v>85</v>
      </c>
      <c r="Q195" s="3">
        <v>0.29166666666666669</v>
      </c>
      <c r="R195" t="b">
        <v>1</v>
      </c>
      <c r="S195" t="s">
        <v>1743</v>
      </c>
    </row>
    <row r="196" spans="1:19" x14ac:dyDescent="0.2">
      <c r="A196">
        <v>188</v>
      </c>
      <c r="B196" t="s">
        <v>1167</v>
      </c>
      <c r="C196" t="s">
        <v>1168</v>
      </c>
      <c r="D196">
        <v>91762</v>
      </c>
      <c r="E196">
        <v>15</v>
      </c>
      <c r="F196">
        <v>1035852</v>
      </c>
      <c r="G196" t="s">
        <v>914</v>
      </c>
      <c r="H196" t="s">
        <v>103</v>
      </c>
      <c r="I196" s="3">
        <v>0.33333333333333331</v>
      </c>
      <c r="J196" t="s">
        <v>103</v>
      </c>
      <c r="K196" s="3">
        <v>0.33333333333333331</v>
      </c>
      <c r="L196" t="s">
        <v>103</v>
      </c>
      <c r="M196" s="3">
        <v>0.33333333333333331</v>
      </c>
      <c r="N196" t="s">
        <v>103</v>
      </c>
      <c r="O196" s="3">
        <v>0.33333333333333331</v>
      </c>
      <c r="P196" t="s">
        <v>103</v>
      </c>
      <c r="Q196" s="3">
        <v>0.33333333333333331</v>
      </c>
      <c r="R196" t="b">
        <v>1</v>
      </c>
      <c r="S196" t="s">
        <v>1744</v>
      </c>
    </row>
    <row r="197" spans="1:19" x14ac:dyDescent="0.2">
      <c r="A197">
        <v>189</v>
      </c>
      <c r="B197" t="s">
        <v>33</v>
      </c>
      <c r="C197" t="s">
        <v>990</v>
      </c>
      <c r="D197">
        <v>91711</v>
      </c>
      <c r="E197">
        <v>3</v>
      </c>
      <c r="F197">
        <v>10358371</v>
      </c>
      <c r="G197" t="s">
        <v>914</v>
      </c>
      <c r="H197" t="s">
        <v>98</v>
      </c>
      <c r="I197" s="3">
        <v>0.33333333333333331</v>
      </c>
      <c r="J197" t="s">
        <v>98</v>
      </c>
      <c r="K197" s="3">
        <v>0.33333333333333331</v>
      </c>
      <c r="L197" t="s">
        <v>113</v>
      </c>
      <c r="M197" s="3">
        <v>0.33333333333333331</v>
      </c>
      <c r="N197" t="s">
        <v>98</v>
      </c>
      <c r="O197" s="3">
        <v>0.33333333333333331</v>
      </c>
      <c r="P197" t="s">
        <v>74</v>
      </c>
      <c r="Q197" s="3">
        <v>0.33333333333333331</v>
      </c>
      <c r="R197" t="b">
        <v>1</v>
      </c>
      <c r="S197" t="s">
        <v>1745</v>
      </c>
    </row>
    <row r="198" spans="1:19" x14ac:dyDescent="0.2">
      <c r="A198">
        <v>190</v>
      </c>
      <c r="B198" t="s">
        <v>246</v>
      </c>
      <c r="C198" t="s">
        <v>959</v>
      </c>
      <c r="D198">
        <v>91763</v>
      </c>
      <c r="E198">
        <v>2</v>
      </c>
      <c r="F198">
        <v>10362526</v>
      </c>
      <c r="G198" t="s">
        <v>914</v>
      </c>
      <c r="H198" t="s">
        <v>113</v>
      </c>
      <c r="I198" s="3">
        <v>0.375</v>
      </c>
      <c r="J198" t="s">
        <v>113</v>
      </c>
      <c r="K198" s="3">
        <v>0.375</v>
      </c>
      <c r="L198" t="s">
        <v>113</v>
      </c>
      <c r="M198" s="3">
        <v>0.375</v>
      </c>
      <c r="N198" t="s">
        <v>113</v>
      </c>
      <c r="O198" s="3">
        <v>0.375</v>
      </c>
      <c r="P198" t="s">
        <v>113</v>
      </c>
      <c r="Q198" s="3">
        <v>0.375</v>
      </c>
      <c r="R198" t="b">
        <v>1</v>
      </c>
      <c r="S198" t="s">
        <v>1746</v>
      </c>
    </row>
    <row r="199" spans="1:19" x14ac:dyDescent="0.2">
      <c r="A199">
        <v>191</v>
      </c>
      <c r="B199" t="s">
        <v>1345</v>
      </c>
      <c r="C199" t="s">
        <v>196</v>
      </c>
      <c r="D199">
        <v>91762</v>
      </c>
      <c r="E199">
        <v>5</v>
      </c>
      <c r="F199">
        <v>10337578</v>
      </c>
      <c r="G199" t="s">
        <v>1495</v>
      </c>
      <c r="H199" t="s">
        <v>113</v>
      </c>
      <c r="I199" s="3">
        <v>0.375</v>
      </c>
      <c r="J199" t="s">
        <v>113</v>
      </c>
      <c r="K199" s="3">
        <v>0.375</v>
      </c>
      <c r="L199" t="s">
        <v>113</v>
      </c>
      <c r="M199" s="3">
        <v>0.375</v>
      </c>
      <c r="N199" t="s">
        <v>113</v>
      </c>
      <c r="O199" s="3">
        <v>0.375</v>
      </c>
      <c r="P199" t="s">
        <v>113</v>
      </c>
      <c r="Q199" s="3">
        <v>0.375</v>
      </c>
      <c r="R199" t="b">
        <v>1</v>
      </c>
      <c r="S199" t="s">
        <v>1747</v>
      </c>
    </row>
    <row r="200" spans="1:19" x14ac:dyDescent="0.2">
      <c r="A200">
        <v>192</v>
      </c>
      <c r="B200" t="s">
        <v>329</v>
      </c>
      <c r="C200" t="s">
        <v>328</v>
      </c>
      <c r="D200">
        <v>91763</v>
      </c>
      <c r="E200">
        <v>3</v>
      </c>
      <c r="F200">
        <v>103685701</v>
      </c>
      <c r="G200" t="s">
        <v>914</v>
      </c>
      <c r="H200" t="s">
        <v>191</v>
      </c>
      <c r="I200" s="3">
        <v>0.29166666666666669</v>
      </c>
      <c r="J200" t="s">
        <v>191</v>
      </c>
      <c r="K200" s="3">
        <v>0.29166666666666669</v>
      </c>
      <c r="L200" t="s">
        <v>191</v>
      </c>
      <c r="M200" s="3">
        <v>0.29166666666666669</v>
      </c>
      <c r="N200" t="s">
        <v>191</v>
      </c>
      <c r="O200" s="3">
        <v>0.29166666666666669</v>
      </c>
      <c r="P200" t="s">
        <v>191</v>
      </c>
      <c r="Q200" s="3">
        <v>0.29166666666666669</v>
      </c>
      <c r="R200" t="b">
        <v>1</v>
      </c>
      <c r="S200" t="s">
        <v>1748</v>
      </c>
    </row>
    <row r="201" spans="1:19" x14ac:dyDescent="0.2">
      <c r="A201">
        <v>193</v>
      </c>
      <c r="B201" t="s">
        <v>1125</v>
      </c>
      <c r="C201" t="s">
        <v>257</v>
      </c>
      <c r="D201">
        <v>91761</v>
      </c>
      <c r="E201">
        <v>10</v>
      </c>
      <c r="F201">
        <v>103685096</v>
      </c>
      <c r="G201" t="s">
        <v>914</v>
      </c>
      <c r="H201" t="s">
        <v>113</v>
      </c>
      <c r="I201" s="3">
        <v>0.29166666666666669</v>
      </c>
      <c r="J201" t="s">
        <v>113</v>
      </c>
      <c r="K201" s="3">
        <v>0.29166666666666669</v>
      </c>
      <c r="L201" t="s">
        <v>113</v>
      </c>
      <c r="M201" s="3">
        <v>0.29166666666666669</v>
      </c>
      <c r="N201" t="s">
        <v>113</v>
      </c>
      <c r="O201" s="3">
        <v>0.29166666666666669</v>
      </c>
      <c r="P201" t="s">
        <v>113</v>
      </c>
      <c r="Q201" s="3">
        <v>0.29166666666666669</v>
      </c>
      <c r="R201" t="b">
        <v>1</v>
      </c>
      <c r="S201" t="s">
        <v>1749</v>
      </c>
    </row>
    <row r="202" spans="1:19" x14ac:dyDescent="0.2">
      <c r="A202">
        <v>194</v>
      </c>
      <c r="B202" t="s">
        <v>640</v>
      </c>
      <c r="C202" t="s">
        <v>639</v>
      </c>
      <c r="D202">
        <v>92337</v>
      </c>
      <c r="E202">
        <v>16</v>
      </c>
      <c r="F202">
        <v>10043729</v>
      </c>
      <c r="G202" t="s">
        <v>914</v>
      </c>
      <c r="H202" t="s">
        <v>85</v>
      </c>
      <c r="I202" s="3">
        <v>0.29166666666666669</v>
      </c>
      <c r="J202" t="s">
        <v>85</v>
      </c>
      <c r="K202" s="3">
        <v>0.29166666666666669</v>
      </c>
      <c r="L202" t="s">
        <v>85</v>
      </c>
      <c r="M202" s="3">
        <v>0.29166666666666669</v>
      </c>
      <c r="N202" t="s">
        <v>85</v>
      </c>
      <c r="O202" s="3">
        <v>0.29166666666666669</v>
      </c>
      <c r="P202" t="s">
        <v>195</v>
      </c>
      <c r="Q202" s="3">
        <v>0.33333333333333331</v>
      </c>
      <c r="R202" t="b">
        <v>1</v>
      </c>
      <c r="S202" t="s">
        <v>1750</v>
      </c>
    </row>
    <row r="203" spans="1:19" x14ac:dyDescent="0.2">
      <c r="A203">
        <v>195</v>
      </c>
      <c r="B203" t="s">
        <v>12</v>
      </c>
      <c r="C203" t="s">
        <v>558</v>
      </c>
      <c r="D203">
        <v>91786</v>
      </c>
      <c r="E203">
        <v>3.5</v>
      </c>
      <c r="F203" t="s">
        <v>1013</v>
      </c>
      <c r="G203" t="s">
        <v>914</v>
      </c>
      <c r="H203" t="s">
        <v>113</v>
      </c>
      <c r="I203" s="3">
        <v>0.27083333333333331</v>
      </c>
      <c r="J203" t="s">
        <v>113</v>
      </c>
      <c r="K203" s="3">
        <v>0.27083333333333331</v>
      </c>
      <c r="L203" t="s">
        <v>113</v>
      </c>
      <c r="M203" s="3">
        <v>0.27083333333333331</v>
      </c>
      <c r="N203" t="s">
        <v>113</v>
      </c>
      <c r="O203" s="3">
        <v>0.27083333333333331</v>
      </c>
      <c r="P203" t="s">
        <v>113</v>
      </c>
      <c r="Q203" s="3">
        <v>0.27083333333333331</v>
      </c>
      <c r="R203" t="b">
        <v>1</v>
      </c>
      <c r="S203" t="s">
        <v>1751</v>
      </c>
    </row>
    <row r="204" spans="1:19" x14ac:dyDescent="0.2">
      <c r="A204">
        <v>196</v>
      </c>
      <c r="B204" t="s">
        <v>1251</v>
      </c>
      <c r="C204" t="s">
        <v>982</v>
      </c>
      <c r="D204">
        <v>90605</v>
      </c>
      <c r="E204">
        <v>25</v>
      </c>
      <c r="F204">
        <v>10372767</v>
      </c>
      <c r="G204" t="s">
        <v>914</v>
      </c>
      <c r="H204" t="s">
        <v>113</v>
      </c>
      <c r="I204" s="3">
        <v>0.33333333333333331</v>
      </c>
      <c r="J204" t="s">
        <v>113</v>
      </c>
      <c r="K204" s="3">
        <v>0.33333333333333331</v>
      </c>
      <c r="L204" t="s">
        <v>113</v>
      </c>
      <c r="M204" s="3">
        <v>0.33333333333333331</v>
      </c>
      <c r="N204" t="s">
        <v>113</v>
      </c>
      <c r="O204" s="3">
        <v>0.33333333333333331</v>
      </c>
      <c r="P204" t="s">
        <v>113</v>
      </c>
      <c r="Q204" s="3">
        <v>0.33333333333333331</v>
      </c>
      <c r="R204" t="b">
        <v>1</v>
      </c>
      <c r="S204" t="s">
        <v>1752</v>
      </c>
    </row>
    <row r="205" spans="1:19" x14ac:dyDescent="0.2">
      <c r="A205">
        <v>197</v>
      </c>
      <c r="B205" t="s">
        <v>853</v>
      </c>
      <c r="C205" t="s">
        <v>1169</v>
      </c>
      <c r="D205">
        <v>92860</v>
      </c>
      <c r="E205">
        <v>15</v>
      </c>
      <c r="F205">
        <v>10368759</v>
      </c>
      <c r="G205" t="s">
        <v>914</v>
      </c>
      <c r="H205" t="s">
        <v>113</v>
      </c>
      <c r="I205" s="3">
        <v>0.29166666666666669</v>
      </c>
      <c r="J205" t="s">
        <v>113</v>
      </c>
      <c r="K205" s="3">
        <v>0.29166666666666669</v>
      </c>
      <c r="L205" t="s">
        <v>113</v>
      </c>
      <c r="M205" s="3">
        <v>0.29166666666666669</v>
      </c>
      <c r="N205" t="s">
        <v>113</v>
      </c>
      <c r="O205" s="3">
        <v>0.29166666666666669</v>
      </c>
      <c r="P205" t="s">
        <v>113</v>
      </c>
      <c r="Q205" s="3">
        <v>0.29166666666666669</v>
      </c>
      <c r="R205" t="b">
        <v>1</v>
      </c>
      <c r="S205" t="s">
        <v>1753</v>
      </c>
    </row>
    <row r="206" spans="1:19" x14ac:dyDescent="0.2">
      <c r="A206">
        <v>198</v>
      </c>
      <c r="B206" t="s">
        <v>1198</v>
      </c>
      <c r="C206" t="s">
        <v>728</v>
      </c>
      <c r="D206">
        <v>92335</v>
      </c>
      <c r="E206">
        <v>16</v>
      </c>
      <c r="F206" t="s">
        <v>1199</v>
      </c>
      <c r="G206" t="s">
        <v>914</v>
      </c>
      <c r="H206" t="s">
        <v>933</v>
      </c>
      <c r="I206" s="3">
        <v>0.20833333333333334</v>
      </c>
      <c r="J206" t="s">
        <v>933</v>
      </c>
      <c r="K206" s="3">
        <v>0.20833333333333334</v>
      </c>
      <c r="L206" t="s">
        <v>933</v>
      </c>
      <c r="M206" s="3">
        <v>0.20833333333333334</v>
      </c>
      <c r="N206" t="s">
        <v>933</v>
      </c>
      <c r="O206" s="3">
        <v>0.20833333333333334</v>
      </c>
      <c r="P206" t="s">
        <v>933</v>
      </c>
      <c r="Q206" s="3">
        <v>0.20833333333333334</v>
      </c>
      <c r="R206" t="b">
        <v>0</v>
      </c>
      <c r="S206" t="s">
        <v>1754</v>
      </c>
    </row>
    <row r="207" spans="1:19" x14ac:dyDescent="0.2">
      <c r="A207">
        <v>199</v>
      </c>
      <c r="B207" t="s">
        <v>573</v>
      </c>
      <c r="C207" t="s">
        <v>572</v>
      </c>
      <c r="D207">
        <v>91762</v>
      </c>
      <c r="E207">
        <v>6</v>
      </c>
      <c r="F207">
        <v>10042946</v>
      </c>
      <c r="G207" t="s">
        <v>914</v>
      </c>
      <c r="H207" t="s">
        <v>113</v>
      </c>
      <c r="I207" s="3">
        <v>0.33333333333333331</v>
      </c>
      <c r="J207" t="s">
        <v>113</v>
      </c>
      <c r="K207" s="3">
        <v>0.33333333333333331</v>
      </c>
      <c r="L207" t="s">
        <v>113</v>
      </c>
      <c r="M207" s="3">
        <v>0.33333333333333331</v>
      </c>
      <c r="N207" t="s">
        <v>113</v>
      </c>
      <c r="O207" s="3">
        <v>0.33333333333333331</v>
      </c>
      <c r="P207" t="s">
        <v>113</v>
      </c>
      <c r="Q207" s="3">
        <v>0.33333333333333331</v>
      </c>
      <c r="R207" t="b">
        <v>1</v>
      </c>
      <c r="S207" t="s">
        <v>1755</v>
      </c>
    </row>
    <row r="208" spans="1:19" x14ac:dyDescent="0.2">
      <c r="A208">
        <v>200</v>
      </c>
      <c r="B208" t="s">
        <v>1022</v>
      </c>
      <c r="C208" t="s">
        <v>689</v>
      </c>
      <c r="D208">
        <v>91764</v>
      </c>
      <c r="E208">
        <v>7</v>
      </c>
      <c r="F208">
        <v>10373053</v>
      </c>
      <c r="G208" t="s">
        <v>914</v>
      </c>
      <c r="H208" t="s">
        <v>113</v>
      </c>
      <c r="I208" s="3">
        <v>0.29166666666666669</v>
      </c>
      <c r="J208" t="s">
        <v>113</v>
      </c>
      <c r="K208" s="3">
        <v>0.29166666666666669</v>
      </c>
      <c r="L208" t="s">
        <v>113</v>
      </c>
      <c r="M208" s="3">
        <v>0.29166666666666669</v>
      </c>
      <c r="N208" t="s">
        <v>113</v>
      </c>
      <c r="O208" s="3">
        <v>0.29166666666666669</v>
      </c>
      <c r="P208" t="s">
        <v>113</v>
      </c>
      <c r="Q208" s="3">
        <v>0.29166666666666669</v>
      </c>
      <c r="R208" t="b">
        <v>1</v>
      </c>
      <c r="S208" t="s">
        <v>1756</v>
      </c>
    </row>
    <row r="209" spans="1:19" x14ac:dyDescent="0.2">
      <c r="A209">
        <v>201</v>
      </c>
      <c r="B209" t="s">
        <v>1096</v>
      </c>
      <c r="C209" t="s">
        <v>1097</v>
      </c>
      <c r="D209">
        <v>91769</v>
      </c>
      <c r="E209">
        <v>8</v>
      </c>
      <c r="F209">
        <v>10358766</v>
      </c>
      <c r="G209" t="s">
        <v>914</v>
      </c>
      <c r="H209" t="s">
        <v>103</v>
      </c>
      <c r="I209" s="3">
        <v>0.33333333333333331</v>
      </c>
      <c r="J209" t="s">
        <v>103</v>
      </c>
      <c r="K209" s="3">
        <v>0.33333333333333331</v>
      </c>
      <c r="L209" t="s">
        <v>103</v>
      </c>
      <c r="M209" s="3">
        <v>0.33333333333333331</v>
      </c>
      <c r="N209" t="s">
        <v>103</v>
      </c>
      <c r="O209" s="3">
        <v>0.33333333333333331</v>
      </c>
      <c r="P209" t="s">
        <v>103</v>
      </c>
      <c r="Q209" s="3">
        <v>0.33333333333333331</v>
      </c>
      <c r="R209" t="b">
        <v>1</v>
      </c>
      <c r="S209" t="s">
        <v>1757</v>
      </c>
    </row>
    <row r="210" spans="1:19" x14ac:dyDescent="0.2">
      <c r="A210">
        <v>202</v>
      </c>
      <c r="B210" t="s">
        <v>973</v>
      </c>
      <c r="C210" t="s">
        <v>974</v>
      </c>
      <c r="D210">
        <v>91763</v>
      </c>
      <c r="E210">
        <v>2.5</v>
      </c>
      <c r="F210">
        <v>100913353</v>
      </c>
      <c r="G210" t="s">
        <v>914</v>
      </c>
      <c r="H210" t="s">
        <v>933</v>
      </c>
      <c r="I210" s="3">
        <v>0.29166666666666669</v>
      </c>
      <c r="J210" t="s">
        <v>933</v>
      </c>
      <c r="K210" s="3">
        <v>0.29166666666666669</v>
      </c>
      <c r="L210" t="s">
        <v>933</v>
      </c>
      <c r="M210" s="3">
        <v>0.29166666666666669</v>
      </c>
      <c r="N210" t="s">
        <v>933</v>
      </c>
      <c r="O210" s="3">
        <v>0.29166666666666669</v>
      </c>
      <c r="P210" t="s">
        <v>202</v>
      </c>
      <c r="Q210" s="3">
        <v>0.25</v>
      </c>
      <c r="R210" t="b">
        <v>1</v>
      </c>
      <c r="S210" t="s">
        <v>1758</v>
      </c>
    </row>
    <row r="211" spans="1:19" x14ac:dyDescent="0.2">
      <c r="A211">
        <v>203</v>
      </c>
      <c r="B211" t="s">
        <v>171</v>
      </c>
      <c r="C211" t="s">
        <v>642</v>
      </c>
      <c r="D211">
        <v>91753</v>
      </c>
      <c r="E211">
        <v>7</v>
      </c>
      <c r="F211">
        <v>10368510</v>
      </c>
      <c r="G211" t="s">
        <v>914</v>
      </c>
      <c r="H211" t="s">
        <v>113</v>
      </c>
      <c r="I211" s="3">
        <v>0.25</v>
      </c>
      <c r="J211" t="s">
        <v>113</v>
      </c>
      <c r="K211" s="3">
        <v>0.25</v>
      </c>
      <c r="L211" t="s">
        <v>113</v>
      </c>
      <c r="M211" s="3">
        <v>0.25</v>
      </c>
      <c r="N211" t="s">
        <v>113</v>
      </c>
      <c r="O211" s="3">
        <v>0.25</v>
      </c>
      <c r="P211" t="s">
        <v>113</v>
      </c>
      <c r="Q211" s="3">
        <v>0.25</v>
      </c>
      <c r="R211" t="b">
        <v>1</v>
      </c>
      <c r="S211" t="s">
        <v>1759</v>
      </c>
    </row>
    <row r="212" spans="1:19" x14ac:dyDescent="0.2">
      <c r="A212">
        <v>204</v>
      </c>
      <c r="B212" t="s">
        <v>1098</v>
      </c>
      <c r="C212" t="s">
        <v>490</v>
      </c>
      <c r="D212">
        <v>91711</v>
      </c>
      <c r="E212">
        <v>8</v>
      </c>
      <c r="F212">
        <v>10373043</v>
      </c>
      <c r="G212" t="s">
        <v>919</v>
      </c>
      <c r="H212" t="s">
        <v>113</v>
      </c>
      <c r="I212" s="3">
        <v>0.3125</v>
      </c>
      <c r="J212" t="s">
        <v>113</v>
      </c>
      <c r="K212" s="3">
        <v>0.3125</v>
      </c>
      <c r="L212" t="s">
        <v>113</v>
      </c>
      <c r="M212" s="3">
        <v>0.3125</v>
      </c>
      <c r="N212" t="s">
        <v>113</v>
      </c>
      <c r="O212" s="3">
        <v>0.3125</v>
      </c>
      <c r="P212" t="s">
        <v>113</v>
      </c>
      <c r="Q212" s="3">
        <v>0.3125</v>
      </c>
      <c r="R212" t="b">
        <v>1</v>
      </c>
      <c r="S212" t="s">
        <v>1760</v>
      </c>
    </row>
    <row r="213" spans="1:19" x14ac:dyDescent="0.2">
      <c r="A213">
        <v>205</v>
      </c>
      <c r="B213" t="s">
        <v>1062</v>
      </c>
      <c r="C213" t="s">
        <v>1063</v>
      </c>
      <c r="D213">
        <v>91766</v>
      </c>
      <c r="E213">
        <v>6</v>
      </c>
      <c r="F213">
        <v>122122</v>
      </c>
      <c r="G213" t="s">
        <v>914</v>
      </c>
      <c r="H213" t="s">
        <v>113</v>
      </c>
      <c r="I213" s="3">
        <v>0.3125</v>
      </c>
      <c r="J213" t="s">
        <v>113</v>
      </c>
      <c r="K213" s="3">
        <v>0.3125</v>
      </c>
      <c r="L213" t="s">
        <v>113</v>
      </c>
      <c r="M213" s="3">
        <v>0.3125</v>
      </c>
      <c r="N213" t="s">
        <v>113</v>
      </c>
      <c r="O213" s="3">
        <v>0.29166666666666669</v>
      </c>
      <c r="P213" t="s">
        <v>113</v>
      </c>
      <c r="Q213" s="3">
        <v>0.3125</v>
      </c>
      <c r="R213" t="b">
        <v>1</v>
      </c>
      <c r="S213" t="s">
        <v>1761</v>
      </c>
    </row>
    <row r="214" spans="1:19" x14ac:dyDescent="0.2">
      <c r="A214">
        <v>206</v>
      </c>
      <c r="B214" t="s">
        <v>1126</v>
      </c>
      <c r="C214" t="s">
        <v>1127</v>
      </c>
      <c r="D214">
        <v>91764</v>
      </c>
      <c r="E214">
        <v>10</v>
      </c>
      <c r="F214">
        <v>101964924</v>
      </c>
      <c r="G214" t="s">
        <v>914</v>
      </c>
      <c r="H214" t="s">
        <v>103</v>
      </c>
      <c r="I214" s="3">
        <v>0.64583333333333337</v>
      </c>
      <c r="J214" t="s">
        <v>103</v>
      </c>
      <c r="K214" s="3">
        <v>0.64583333333333337</v>
      </c>
      <c r="L214" t="s">
        <v>103</v>
      </c>
      <c r="M214" s="3">
        <v>0.64583333333333337</v>
      </c>
      <c r="N214" t="s">
        <v>103</v>
      </c>
      <c r="O214" s="3">
        <v>0.64583333333333337</v>
      </c>
      <c r="P214" t="s">
        <v>103</v>
      </c>
      <c r="Q214" s="3">
        <v>0.64583333333333337</v>
      </c>
      <c r="R214" t="b">
        <v>0</v>
      </c>
      <c r="S214" t="s">
        <v>1762</v>
      </c>
    </row>
    <row r="215" spans="1:19" x14ac:dyDescent="0.2">
      <c r="A215">
        <v>207</v>
      </c>
      <c r="B215" t="s">
        <v>1279</v>
      </c>
      <c r="C215" t="s">
        <v>1280</v>
      </c>
      <c r="D215">
        <v>92335</v>
      </c>
      <c r="E215">
        <v>30</v>
      </c>
      <c r="F215">
        <v>10254405</v>
      </c>
      <c r="G215" t="s">
        <v>914</v>
      </c>
      <c r="H215" t="s">
        <v>103</v>
      </c>
      <c r="I215" s="3">
        <v>0.64583333333333337</v>
      </c>
      <c r="J215" t="s">
        <v>103</v>
      </c>
      <c r="K215" s="3">
        <v>0.64583333333333337</v>
      </c>
      <c r="L215" t="s">
        <v>103</v>
      </c>
      <c r="M215" s="3">
        <v>0.64583333333333337</v>
      </c>
      <c r="N215" t="s">
        <v>103</v>
      </c>
      <c r="O215" s="3">
        <v>0.64583333333333337</v>
      </c>
      <c r="P215" t="s">
        <v>103</v>
      </c>
      <c r="Q215" s="3">
        <v>0.64583333333333337</v>
      </c>
      <c r="R215" t="b">
        <v>0</v>
      </c>
      <c r="S215" t="s">
        <v>1763</v>
      </c>
    </row>
    <row r="216" spans="1:19" x14ac:dyDescent="0.2">
      <c r="A216">
        <v>208</v>
      </c>
      <c r="B216" t="s">
        <v>121</v>
      </c>
      <c r="C216" t="s">
        <v>120</v>
      </c>
      <c r="D216">
        <v>91786</v>
      </c>
      <c r="E216">
        <v>5</v>
      </c>
      <c r="F216">
        <v>10243165</v>
      </c>
      <c r="G216" t="s">
        <v>914</v>
      </c>
      <c r="H216" t="s">
        <v>98</v>
      </c>
      <c r="I216" s="3">
        <v>0.25</v>
      </c>
      <c r="J216" t="s">
        <v>98</v>
      </c>
      <c r="K216" s="3">
        <v>0.25</v>
      </c>
      <c r="L216" t="s">
        <v>98</v>
      </c>
      <c r="M216" s="3">
        <v>0.25</v>
      </c>
      <c r="N216" t="s">
        <v>98</v>
      </c>
      <c r="O216" s="3">
        <v>0.25</v>
      </c>
      <c r="P216" t="s">
        <v>98</v>
      </c>
      <c r="Q216" s="3">
        <v>0.25</v>
      </c>
      <c r="R216" t="b">
        <v>1</v>
      </c>
      <c r="S216" t="s">
        <v>1764</v>
      </c>
    </row>
    <row r="217" spans="1:19" x14ac:dyDescent="0.2">
      <c r="A217">
        <v>209</v>
      </c>
      <c r="B217" t="s">
        <v>923</v>
      </c>
      <c r="C217" t="s">
        <v>924</v>
      </c>
      <c r="D217">
        <v>91711</v>
      </c>
      <c r="E217">
        <v>0.5</v>
      </c>
      <c r="F217">
        <v>117777</v>
      </c>
      <c r="G217" t="s">
        <v>919</v>
      </c>
      <c r="H217" t="s">
        <v>92</v>
      </c>
      <c r="I217" s="3">
        <v>0.35416666666666669</v>
      </c>
      <c r="J217" t="s">
        <v>92</v>
      </c>
      <c r="K217" s="3">
        <v>0.35416666666666669</v>
      </c>
      <c r="L217" t="s">
        <v>195</v>
      </c>
      <c r="M217" s="3">
        <v>0.35416666666666669</v>
      </c>
      <c r="N217" t="s">
        <v>195</v>
      </c>
      <c r="O217" s="3">
        <v>0.35416666666666669</v>
      </c>
      <c r="P217" t="s">
        <v>195</v>
      </c>
      <c r="Q217" s="3">
        <v>0.35416666666666669</v>
      </c>
      <c r="R217" t="b">
        <v>1</v>
      </c>
      <c r="S217" t="s">
        <v>1765</v>
      </c>
    </row>
    <row r="218" spans="1:19" x14ac:dyDescent="0.2">
      <c r="A218">
        <v>210</v>
      </c>
      <c r="B218" t="s">
        <v>991</v>
      </c>
      <c r="C218" t="s">
        <v>992</v>
      </c>
      <c r="D218">
        <v>91763</v>
      </c>
      <c r="E218">
        <v>3</v>
      </c>
      <c r="F218">
        <v>10366711</v>
      </c>
      <c r="G218" t="s">
        <v>914</v>
      </c>
      <c r="H218" t="s">
        <v>113</v>
      </c>
      <c r="I218" s="3">
        <v>0.54166666666666663</v>
      </c>
      <c r="J218" t="s">
        <v>113</v>
      </c>
      <c r="K218" s="3">
        <v>0.54166666666666663</v>
      </c>
      <c r="L218" t="s">
        <v>113</v>
      </c>
      <c r="M218" s="3">
        <v>0.54166666666666663</v>
      </c>
      <c r="N218" t="s">
        <v>113</v>
      </c>
      <c r="O218" s="3">
        <v>0.54166666666666663</v>
      </c>
      <c r="P218" t="s">
        <v>113</v>
      </c>
      <c r="Q218" s="3">
        <v>0.54166666666666663</v>
      </c>
      <c r="R218" t="b">
        <v>0</v>
      </c>
      <c r="S218" t="s">
        <v>1766</v>
      </c>
    </row>
    <row r="219" spans="1:19" x14ac:dyDescent="0.2">
      <c r="A219">
        <v>211</v>
      </c>
      <c r="B219" t="s">
        <v>580</v>
      </c>
      <c r="C219" t="s">
        <v>1252</v>
      </c>
      <c r="D219">
        <v>92880</v>
      </c>
      <c r="E219">
        <v>25</v>
      </c>
      <c r="F219">
        <v>10368799</v>
      </c>
      <c r="G219" t="s">
        <v>914</v>
      </c>
      <c r="H219" t="s">
        <v>113</v>
      </c>
      <c r="I219" s="3">
        <v>0.33333333333333331</v>
      </c>
      <c r="J219" t="s">
        <v>113</v>
      </c>
      <c r="K219" s="3">
        <v>0.33333333333333331</v>
      </c>
      <c r="L219" t="s">
        <v>113</v>
      </c>
      <c r="M219" s="3">
        <v>0.33333333333333331</v>
      </c>
      <c r="N219" t="s">
        <v>113</v>
      </c>
      <c r="O219" s="3">
        <v>0.33333333333333331</v>
      </c>
      <c r="P219" t="s">
        <v>113</v>
      </c>
      <c r="Q219" s="3">
        <v>0.33333333333333331</v>
      </c>
      <c r="R219" t="b">
        <v>1</v>
      </c>
      <c r="S219" t="s">
        <v>1767</v>
      </c>
    </row>
    <row r="220" spans="1:19" x14ac:dyDescent="0.2">
      <c r="A220">
        <v>212</v>
      </c>
      <c r="B220" t="s">
        <v>1253</v>
      </c>
      <c r="C220" t="s">
        <v>188</v>
      </c>
      <c r="D220">
        <v>92509</v>
      </c>
      <c r="E220">
        <v>25</v>
      </c>
      <c r="F220" t="s">
        <v>1254</v>
      </c>
      <c r="G220" t="s">
        <v>914</v>
      </c>
      <c r="H220" t="s">
        <v>113</v>
      </c>
      <c r="I220" s="3">
        <v>0.5</v>
      </c>
      <c r="J220" t="s">
        <v>113</v>
      </c>
      <c r="K220" s="3">
        <v>0.5</v>
      </c>
      <c r="L220" t="s">
        <v>113</v>
      </c>
      <c r="M220" s="3">
        <v>0.5</v>
      </c>
      <c r="N220" t="s">
        <v>113</v>
      </c>
      <c r="O220" s="3">
        <v>0.5</v>
      </c>
      <c r="P220" t="s">
        <v>113</v>
      </c>
      <c r="Q220" s="3">
        <v>0.5</v>
      </c>
      <c r="R220" t="b">
        <v>0</v>
      </c>
      <c r="S220" t="s">
        <v>1768</v>
      </c>
    </row>
    <row r="221" spans="1:19" x14ac:dyDescent="0.2">
      <c r="A221">
        <v>213</v>
      </c>
      <c r="B221" t="s">
        <v>546</v>
      </c>
      <c r="C221" t="s">
        <v>545</v>
      </c>
      <c r="D221">
        <v>91701</v>
      </c>
      <c r="E221">
        <v>11</v>
      </c>
      <c r="F221">
        <v>10358743</v>
      </c>
      <c r="G221" t="s">
        <v>914</v>
      </c>
      <c r="H221" t="s">
        <v>103</v>
      </c>
      <c r="I221" s="3">
        <v>0.33333333333333331</v>
      </c>
      <c r="J221" t="s">
        <v>98</v>
      </c>
      <c r="K221" s="3">
        <v>0.33333333333333331</v>
      </c>
      <c r="L221" t="s">
        <v>98</v>
      </c>
      <c r="M221" s="3">
        <v>0.33333333333333331</v>
      </c>
      <c r="N221" t="s">
        <v>195</v>
      </c>
      <c r="O221" s="3">
        <v>0.33333333333333331</v>
      </c>
      <c r="P221" t="s">
        <v>103</v>
      </c>
      <c r="Q221" s="3">
        <v>0.33333333333333331</v>
      </c>
      <c r="R221" t="b">
        <v>1</v>
      </c>
      <c r="S221" t="s">
        <v>1769</v>
      </c>
    </row>
    <row r="222" spans="1:19" x14ac:dyDescent="0.2">
      <c r="A222">
        <v>214</v>
      </c>
      <c r="B222" t="s">
        <v>266</v>
      </c>
      <c r="C222" t="s">
        <v>1770</v>
      </c>
      <c r="D222">
        <v>94040</v>
      </c>
      <c r="E222">
        <v>0.3</v>
      </c>
      <c r="F222">
        <v>10362852</v>
      </c>
      <c r="G222" t="s">
        <v>1632</v>
      </c>
      <c r="H222" t="s">
        <v>92</v>
      </c>
      <c r="I222" s="3">
        <v>0.33333333333333331</v>
      </c>
      <c r="J222" t="s">
        <v>202</v>
      </c>
      <c r="K222" s="3">
        <v>0.25</v>
      </c>
      <c r="L222" t="s">
        <v>92</v>
      </c>
      <c r="M222" s="3">
        <v>0.45833333333333331</v>
      </c>
      <c r="N222" t="s">
        <v>202</v>
      </c>
      <c r="O222" s="3">
        <v>0.25</v>
      </c>
      <c r="P222" t="s">
        <v>202</v>
      </c>
      <c r="Q222" s="3">
        <v>0.25</v>
      </c>
      <c r="R222" t="b">
        <v>1</v>
      </c>
      <c r="S222" t="s">
        <v>1771</v>
      </c>
    </row>
    <row r="223" spans="1:19" x14ac:dyDescent="0.2">
      <c r="A223">
        <v>215</v>
      </c>
      <c r="B223" t="s">
        <v>462</v>
      </c>
      <c r="C223" t="s">
        <v>982</v>
      </c>
      <c r="D223">
        <v>91786</v>
      </c>
      <c r="E223">
        <v>4</v>
      </c>
      <c r="F223">
        <v>10114181</v>
      </c>
      <c r="G223" t="s">
        <v>914</v>
      </c>
      <c r="H223" t="s">
        <v>113</v>
      </c>
      <c r="I223" s="3">
        <v>0.20833333333333334</v>
      </c>
      <c r="J223" t="s">
        <v>113</v>
      </c>
      <c r="K223" s="3">
        <v>0.20833333333333334</v>
      </c>
      <c r="L223" t="s">
        <v>113</v>
      </c>
      <c r="M223" s="3">
        <v>0.20833333333333334</v>
      </c>
      <c r="N223" t="s">
        <v>113</v>
      </c>
      <c r="O223" s="3">
        <v>0.20833333333333334</v>
      </c>
      <c r="P223" t="s">
        <v>113</v>
      </c>
      <c r="Q223" s="3">
        <v>0.20833333333333334</v>
      </c>
      <c r="R223" t="b">
        <v>0</v>
      </c>
      <c r="S223" t="s">
        <v>1772</v>
      </c>
    </row>
    <row r="224" spans="1:19" x14ac:dyDescent="0.2">
      <c r="A224">
        <v>216</v>
      </c>
      <c r="B224" t="s">
        <v>1170</v>
      </c>
      <c r="C224" t="s">
        <v>1171</v>
      </c>
      <c r="D224">
        <v>91701</v>
      </c>
      <c r="E224">
        <v>15</v>
      </c>
      <c r="F224" t="s">
        <v>1172</v>
      </c>
      <c r="G224" t="s">
        <v>914</v>
      </c>
      <c r="H224" t="s">
        <v>113</v>
      </c>
      <c r="I224" s="3">
        <v>0.20833333333333334</v>
      </c>
      <c r="J224" t="s">
        <v>113</v>
      </c>
      <c r="K224" s="3">
        <v>0.20833333333333334</v>
      </c>
      <c r="L224" t="s">
        <v>113</v>
      </c>
      <c r="M224" s="3">
        <v>0.20833333333333334</v>
      </c>
      <c r="N224" t="s">
        <v>113</v>
      </c>
      <c r="O224" s="3">
        <v>0.20833333333333334</v>
      </c>
      <c r="P224" t="s">
        <v>113</v>
      </c>
      <c r="Q224" s="3">
        <v>0.20833333333333334</v>
      </c>
      <c r="R224" t="b">
        <v>0</v>
      </c>
      <c r="S224" t="s">
        <v>1773</v>
      </c>
    </row>
    <row r="225" spans="1:19" x14ac:dyDescent="0.2">
      <c r="A225">
        <v>217</v>
      </c>
      <c r="B225" t="s">
        <v>1255</v>
      </c>
      <c r="C225" t="s">
        <v>1256</v>
      </c>
      <c r="D225">
        <v>91104</v>
      </c>
      <c r="E225">
        <v>25</v>
      </c>
      <c r="F225">
        <v>103707841</v>
      </c>
      <c r="G225" t="s">
        <v>914</v>
      </c>
      <c r="H225" t="s">
        <v>103</v>
      </c>
      <c r="I225" s="3">
        <v>0.33333333333333331</v>
      </c>
      <c r="J225" t="s">
        <v>113</v>
      </c>
      <c r="K225" s="3">
        <v>0.3125</v>
      </c>
      <c r="L225" t="s">
        <v>113</v>
      </c>
      <c r="M225" s="3">
        <v>0.3125</v>
      </c>
      <c r="N225" t="s">
        <v>113</v>
      </c>
      <c r="O225" s="3">
        <v>0.3125</v>
      </c>
      <c r="P225" t="s">
        <v>103</v>
      </c>
      <c r="Q225" s="3">
        <v>0.33333333333333331</v>
      </c>
      <c r="R225" t="b">
        <v>1</v>
      </c>
      <c r="S225" t="s">
        <v>1774</v>
      </c>
    </row>
    <row r="226" spans="1:19" x14ac:dyDescent="0.2">
      <c r="A226">
        <v>218</v>
      </c>
      <c r="B226" t="s">
        <v>303</v>
      </c>
      <c r="C226" t="s">
        <v>1049</v>
      </c>
      <c r="D226">
        <v>91766</v>
      </c>
      <c r="E226">
        <v>5</v>
      </c>
      <c r="F226">
        <v>10158502</v>
      </c>
      <c r="G226" t="s">
        <v>914</v>
      </c>
      <c r="H226" t="s">
        <v>113</v>
      </c>
      <c r="I226" s="3">
        <v>0.29166666666666669</v>
      </c>
      <c r="J226" t="s">
        <v>113</v>
      </c>
      <c r="K226" s="3">
        <v>0.29166666666666669</v>
      </c>
      <c r="L226" t="s">
        <v>113</v>
      </c>
      <c r="M226" s="3">
        <v>0.29166666666666669</v>
      </c>
      <c r="N226" t="s">
        <v>113</v>
      </c>
      <c r="O226" s="3">
        <v>0.29166666666666669</v>
      </c>
      <c r="P226" t="s">
        <v>113</v>
      </c>
      <c r="Q226" s="3">
        <v>0.29166666666666669</v>
      </c>
      <c r="R226" t="b">
        <v>1</v>
      </c>
      <c r="S226" t="s">
        <v>1775</v>
      </c>
    </row>
    <row r="227" spans="1:19" x14ac:dyDescent="0.2">
      <c r="A227">
        <v>219</v>
      </c>
      <c r="B227" t="s">
        <v>1173</v>
      </c>
      <c r="C227" t="s">
        <v>1174</v>
      </c>
      <c r="D227">
        <v>91764</v>
      </c>
      <c r="E227">
        <v>15</v>
      </c>
      <c r="F227">
        <v>10366671</v>
      </c>
      <c r="G227" t="s">
        <v>914</v>
      </c>
      <c r="H227" t="s">
        <v>1175</v>
      </c>
      <c r="I227" s="3">
        <v>0.64583333333333337</v>
      </c>
      <c r="J227" t="s">
        <v>1176</v>
      </c>
      <c r="K227" s="3">
        <v>0.64583333333333337</v>
      </c>
      <c r="L227" t="s">
        <v>1016</v>
      </c>
      <c r="M227" s="3">
        <v>0.64583333333333337</v>
      </c>
      <c r="N227" t="s">
        <v>933</v>
      </c>
      <c r="O227" s="3">
        <v>0.64583333333333337</v>
      </c>
      <c r="P227" t="s">
        <v>1016</v>
      </c>
      <c r="Q227" s="3">
        <v>0.64583333333333337</v>
      </c>
      <c r="R227" t="b">
        <v>0</v>
      </c>
      <c r="S227" t="s">
        <v>1776</v>
      </c>
    </row>
    <row r="228" spans="1:19" x14ac:dyDescent="0.2">
      <c r="A228">
        <v>220</v>
      </c>
      <c r="B228" t="s">
        <v>230</v>
      </c>
      <c r="C228" t="s">
        <v>910</v>
      </c>
      <c r="D228">
        <v>91786</v>
      </c>
      <c r="E228">
        <v>3.2</v>
      </c>
      <c r="F228" t="s">
        <v>1005</v>
      </c>
      <c r="G228" t="s">
        <v>914</v>
      </c>
      <c r="H228" t="s">
        <v>933</v>
      </c>
      <c r="I228" s="3">
        <v>0.33333333333333331</v>
      </c>
      <c r="J228" t="s">
        <v>113</v>
      </c>
      <c r="K228" s="3">
        <v>0.33333333333333331</v>
      </c>
      <c r="L228" t="s">
        <v>195</v>
      </c>
      <c r="M228" s="3">
        <v>0.33333333333333331</v>
      </c>
      <c r="N228" t="s">
        <v>113</v>
      </c>
      <c r="O228" s="3">
        <v>0.33333333333333331</v>
      </c>
      <c r="P228" t="s">
        <v>933</v>
      </c>
      <c r="Q228" s="3">
        <v>0.33333333333333331</v>
      </c>
      <c r="R228" t="b">
        <v>1</v>
      </c>
      <c r="S228" t="s">
        <v>1777</v>
      </c>
    </row>
    <row r="229" spans="1:19" x14ac:dyDescent="0.2">
      <c r="A229">
        <v>221</v>
      </c>
      <c r="B229" t="s">
        <v>440</v>
      </c>
      <c r="C229" t="s">
        <v>436</v>
      </c>
      <c r="D229">
        <v>91769</v>
      </c>
      <c r="E229">
        <v>1520</v>
      </c>
      <c r="F229" t="s">
        <v>977</v>
      </c>
      <c r="G229" t="s">
        <v>914</v>
      </c>
      <c r="H229" t="s">
        <v>202</v>
      </c>
      <c r="I229" s="3">
        <v>0.45833333333333331</v>
      </c>
      <c r="J229" t="s">
        <v>113</v>
      </c>
      <c r="K229" s="3">
        <v>0.52083333333333337</v>
      </c>
      <c r="L229" t="s">
        <v>113</v>
      </c>
      <c r="M229" s="3">
        <v>0.52083333333333337</v>
      </c>
      <c r="N229" t="s">
        <v>113</v>
      </c>
      <c r="O229" s="3">
        <v>0.52083333333333337</v>
      </c>
      <c r="P229" t="s">
        <v>113</v>
      </c>
      <c r="Q229" s="3">
        <v>0.52083333333333337</v>
      </c>
      <c r="R229" t="b">
        <v>0</v>
      </c>
      <c r="S229" t="s">
        <v>1778</v>
      </c>
    </row>
    <row r="230" spans="1:19" x14ac:dyDescent="0.2">
      <c r="A230">
        <v>222</v>
      </c>
      <c r="B230" t="s">
        <v>1779</v>
      </c>
      <c r="C230" t="s">
        <v>444</v>
      </c>
      <c r="D230">
        <v>91786</v>
      </c>
      <c r="E230">
        <v>20</v>
      </c>
      <c r="F230" t="s">
        <v>1780</v>
      </c>
      <c r="G230" t="s">
        <v>1495</v>
      </c>
      <c r="H230" t="s">
        <v>113</v>
      </c>
      <c r="I230" s="3">
        <v>0.5</v>
      </c>
      <c r="J230" t="s">
        <v>113</v>
      </c>
      <c r="K230" s="3">
        <v>0.5</v>
      </c>
      <c r="L230" t="s">
        <v>113</v>
      </c>
      <c r="M230" s="3">
        <v>0.5</v>
      </c>
      <c r="N230" t="s">
        <v>202</v>
      </c>
      <c r="O230" s="3">
        <v>0.45833333333333331</v>
      </c>
      <c r="P230" t="s">
        <v>202</v>
      </c>
      <c r="Q230" s="3">
        <v>0.45833333333333331</v>
      </c>
      <c r="R230" t="b">
        <v>0</v>
      </c>
      <c r="S230" t="s">
        <v>1781</v>
      </c>
    </row>
    <row r="231" spans="1:19" x14ac:dyDescent="0.2">
      <c r="A231">
        <v>223</v>
      </c>
      <c r="B231" t="s">
        <v>462</v>
      </c>
      <c r="C231" t="s">
        <v>1267</v>
      </c>
      <c r="D231">
        <v>92408</v>
      </c>
      <c r="E231">
        <v>28</v>
      </c>
      <c r="F231">
        <v>100434242</v>
      </c>
      <c r="G231" t="s">
        <v>914</v>
      </c>
      <c r="H231" t="s">
        <v>103</v>
      </c>
      <c r="I231" s="3">
        <v>0.64583333333333337</v>
      </c>
      <c r="J231" t="s">
        <v>103</v>
      </c>
      <c r="K231" s="3">
        <v>0.64583333333333337</v>
      </c>
      <c r="L231" t="s">
        <v>103</v>
      </c>
      <c r="M231" s="3">
        <v>0.64583333333333337</v>
      </c>
      <c r="N231" t="s">
        <v>103</v>
      </c>
      <c r="O231" s="3">
        <v>0.64583333333333337</v>
      </c>
      <c r="P231" t="s">
        <v>103</v>
      </c>
      <c r="Q231" s="3">
        <v>0.64583333333333337</v>
      </c>
      <c r="R231" t="b">
        <v>0</v>
      </c>
      <c r="S231" t="s">
        <v>1782</v>
      </c>
    </row>
    <row r="232" spans="1:19" x14ac:dyDescent="0.2">
      <c r="A232">
        <v>224</v>
      </c>
      <c r="B232" t="s">
        <v>1325</v>
      </c>
      <c r="C232" t="s">
        <v>1326</v>
      </c>
      <c r="D232">
        <v>92301</v>
      </c>
      <c r="E232">
        <v>53</v>
      </c>
      <c r="F232">
        <v>101938847</v>
      </c>
      <c r="G232" t="s">
        <v>914</v>
      </c>
      <c r="H232" t="s">
        <v>103</v>
      </c>
      <c r="I232" s="3">
        <v>0.64583333333333337</v>
      </c>
      <c r="J232" t="s">
        <v>103</v>
      </c>
      <c r="K232" s="3">
        <v>0.64583333333333337</v>
      </c>
      <c r="L232" t="s">
        <v>103</v>
      </c>
      <c r="M232" s="3">
        <v>0.64583333333333337</v>
      </c>
      <c r="N232" t="s">
        <v>103</v>
      </c>
      <c r="O232" s="3">
        <v>0.64583333333333337</v>
      </c>
      <c r="P232" t="s">
        <v>103</v>
      </c>
      <c r="Q232" s="3">
        <v>0.64583333333333337</v>
      </c>
      <c r="R232" t="b">
        <v>0</v>
      </c>
      <c r="S232" t="s">
        <v>1783</v>
      </c>
    </row>
    <row r="233" spans="1:19" x14ac:dyDescent="0.2">
      <c r="A233">
        <v>225</v>
      </c>
      <c r="B233" t="s">
        <v>1268</v>
      </c>
      <c r="C233" t="s">
        <v>1269</v>
      </c>
      <c r="D233">
        <v>92408</v>
      </c>
      <c r="E233">
        <v>28</v>
      </c>
      <c r="F233" t="s">
        <v>1270</v>
      </c>
      <c r="G233" t="s">
        <v>914</v>
      </c>
      <c r="H233" t="s">
        <v>113</v>
      </c>
      <c r="I233" s="3">
        <v>0.29166666666666669</v>
      </c>
      <c r="J233" t="s">
        <v>113</v>
      </c>
      <c r="K233" s="3">
        <v>0.29166666666666669</v>
      </c>
      <c r="L233" t="s">
        <v>113</v>
      </c>
      <c r="M233" s="3">
        <v>0.29166666666666669</v>
      </c>
      <c r="N233" t="s">
        <v>113</v>
      </c>
      <c r="O233" s="3">
        <v>0.29166666666666669</v>
      </c>
      <c r="P233" t="s">
        <v>113</v>
      </c>
      <c r="Q233" s="3">
        <v>0.29166666666666669</v>
      </c>
      <c r="R233" t="b">
        <v>1</v>
      </c>
      <c r="S233" t="s">
        <v>1784</v>
      </c>
    </row>
    <row r="234" spans="1:19" x14ac:dyDescent="0.2">
      <c r="A234">
        <v>226</v>
      </c>
      <c r="B234" t="s">
        <v>1153</v>
      </c>
      <c r="C234" t="s">
        <v>1785</v>
      </c>
      <c r="D234">
        <v>91711</v>
      </c>
      <c r="E234">
        <v>0</v>
      </c>
      <c r="F234">
        <v>10372239</v>
      </c>
      <c r="G234" t="s">
        <v>1632</v>
      </c>
      <c r="H234" t="s">
        <v>92</v>
      </c>
      <c r="I234" s="3">
        <v>0.83333333333333337</v>
      </c>
      <c r="J234" t="s">
        <v>202</v>
      </c>
      <c r="K234" s="3">
        <v>0.45833333333333331</v>
      </c>
      <c r="L234" t="s">
        <v>92</v>
      </c>
      <c r="M234" s="3">
        <v>0.83333333333333337</v>
      </c>
      <c r="N234" t="s">
        <v>202</v>
      </c>
      <c r="O234" s="3">
        <v>0.45833333333333331</v>
      </c>
      <c r="P234" t="s">
        <v>92</v>
      </c>
      <c r="Q234" s="3">
        <v>0.625</v>
      </c>
      <c r="R234" t="b">
        <v>0</v>
      </c>
      <c r="S234" t="s">
        <v>1786</v>
      </c>
    </row>
    <row r="235" spans="1:19" x14ac:dyDescent="0.2">
      <c r="A235">
        <v>227</v>
      </c>
      <c r="B235" t="s">
        <v>77</v>
      </c>
      <c r="C235" t="s">
        <v>76</v>
      </c>
      <c r="D235">
        <v>91762</v>
      </c>
      <c r="E235">
        <v>6</v>
      </c>
      <c r="F235">
        <v>103730521</v>
      </c>
      <c r="G235" t="s">
        <v>914</v>
      </c>
      <c r="H235" t="s">
        <v>933</v>
      </c>
      <c r="I235" s="3">
        <v>0.20833333333333334</v>
      </c>
      <c r="J235" t="s">
        <v>933</v>
      </c>
      <c r="K235" s="3">
        <v>0.20833333333333334</v>
      </c>
      <c r="L235" t="s">
        <v>933</v>
      </c>
      <c r="M235" s="3">
        <v>0.20833333333333334</v>
      </c>
      <c r="N235" t="s">
        <v>195</v>
      </c>
      <c r="O235" s="3">
        <v>0.20833333333333334</v>
      </c>
      <c r="P235" t="s">
        <v>933</v>
      </c>
      <c r="Q235" s="3">
        <v>0.20833333333333334</v>
      </c>
      <c r="R235" t="b">
        <v>0</v>
      </c>
      <c r="S235" t="s">
        <v>1787</v>
      </c>
    </row>
    <row r="236" spans="1:19" x14ac:dyDescent="0.2">
      <c r="A236">
        <v>228</v>
      </c>
      <c r="B236" t="s">
        <v>1788</v>
      </c>
      <c r="C236" t="s">
        <v>1614</v>
      </c>
      <c r="D236">
        <v>91711</v>
      </c>
      <c r="E236">
        <v>0.5</v>
      </c>
      <c r="F236">
        <v>10371744</v>
      </c>
      <c r="G236" t="s">
        <v>1632</v>
      </c>
      <c r="H236" t="s">
        <v>92</v>
      </c>
      <c r="I236" s="3">
        <v>0.47916666666666669</v>
      </c>
      <c r="J236" t="s">
        <v>202</v>
      </c>
      <c r="K236" s="3">
        <v>0.45833333333333331</v>
      </c>
      <c r="L236" t="s">
        <v>92</v>
      </c>
      <c r="M236" s="3">
        <v>0.47916666666666669</v>
      </c>
      <c r="N236" t="s">
        <v>202</v>
      </c>
      <c r="O236" s="3">
        <v>0.45833333333333331</v>
      </c>
      <c r="P236" t="s">
        <v>202</v>
      </c>
      <c r="Q236" s="3">
        <v>0.45833333333333331</v>
      </c>
      <c r="R236" t="b">
        <v>0</v>
      </c>
      <c r="S236" t="s">
        <v>1789</v>
      </c>
    </row>
    <row r="237" spans="1:19" x14ac:dyDescent="0.2">
      <c r="A237">
        <v>229</v>
      </c>
      <c r="B237" t="s">
        <v>381</v>
      </c>
      <c r="C237" t="s">
        <v>1790</v>
      </c>
      <c r="D237">
        <v>94010</v>
      </c>
      <c r="E237">
        <v>0.25</v>
      </c>
      <c r="F237">
        <v>10371230</v>
      </c>
      <c r="G237" t="s">
        <v>1632</v>
      </c>
      <c r="H237" t="s">
        <v>92</v>
      </c>
      <c r="I237" s="3">
        <v>0.375</v>
      </c>
      <c r="J237" t="s">
        <v>92</v>
      </c>
      <c r="K237" s="3">
        <v>0.375</v>
      </c>
      <c r="L237" t="s">
        <v>92</v>
      </c>
      <c r="M237" s="3">
        <v>0.375</v>
      </c>
      <c r="N237" t="s">
        <v>92</v>
      </c>
      <c r="O237" s="3">
        <v>0.375</v>
      </c>
      <c r="P237" t="s">
        <v>92</v>
      </c>
      <c r="Q237" s="3">
        <v>0.375</v>
      </c>
      <c r="R237" t="b">
        <v>1</v>
      </c>
      <c r="S237" t="s">
        <v>1791</v>
      </c>
    </row>
    <row r="238" spans="1:19" x14ac:dyDescent="0.2">
      <c r="A238">
        <v>230</v>
      </c>
      <c r="B238" t="s">
        <v>936</v>
      </c>
      <c r="C238" t="s">
        <v>937</v>
      </c>
      <c r="D238">
        <v>91767</v>
      </c>
      <c r="E238">
        <v>1</v>
      </c>
      <c r="F238">
        <v>10148493</v>
      </c>
      <c r="G238" t="s">
        <v>914</v>
      </c>
      <c r="H238" t="s">
        <v>113</v>
      </c>
      <c r="I238" s="3">
        <v>0.33333333333333331</v>
      </c>
      <c r="J238" t="s">
        <v>113</v>
      </c>
      <c r="K238" s="3">
        <v>0.33333333333333331</v>
      </c>
      <c r="L238" t="s">
        <v>113</v>
      </c>
      <c r="M238" s="3">
        <v>0.33333333333333331</v>
      </c>
      <c r="N238" t="s">
        <v>113</v>
      </c>
      <c r="O238" s="3">
        <v>0.33333333333333331</v>
      </c>
      <c r="P238" t="s">
        <v>113</v>
      </c>
      <c r="Q238" s="3">
        <v>0.33333333333333331</v>
      </c>
      <c r="R238" t="b">
        <v>1</v>
      </c>
      <c r="S238" t="s">
        <v>1792</v>
      </c>
    </row>
    <row r="239" spans="1:19" x14ac:dyDescent="0.2">
      <c r="A239">
        <v>231</v>
      </c>
      <c r="B239" t="s">
        <v>333</v>
      </c>
      <c r="C239" t="s">
        <v>1064</v>
      </c>
      <c r="D239">
        <v>91750</v>
      </c>
      <c r="E239">
        <v>6</v>
      </c>
      <c r="F239">
        <v>10271604</v>
      </c>
      <c r="G239" t="s">
        <v>914</v>
      </c>
      <c r="H239" t="s">
        <v>113</v>
      </c>
      <c r="I239" s="3">
        <v>0.3125</v>
      </c>
      <c r="J239" t="s">
        <v>113</v>
      </c>
      <c r="K239" s="3">
        <v>0.3125</v>
      </c>
      <c r="L239" t="s">
        <v>113</v>
      </c>
      <c r="M239" s="3">
        <v>0.3125</v>
      </c>
      <c r="N239" t="s">
        <v>113</v>
      </c>
      <c r="O239" s="3">
        <v>0.3125</v>
      </c>
      <c r="P239" t="s">
        <v>113</v>
      </c>
      <c r="Q239" s="3">
        <v>0.3125</v>
      </c>
      <c r="R239" t="b">
        <v>1</v>
      </c>
      <c r="S239" t="s">
        <v>1793</v>
      </c>
    </row>
    <row r="240" spans="1:19" x14ac:dyDescent="0.2">
      <c r="A240">
        <v>232</v>
      </c>
      <c r="B240" t="s">
        <v>140</v>
      </c>
      <c r="C240" t="s">
        <v>177</v>
      </c>
      <c r="D240">
        <v>91761</v>
      </c>
      <c r="E240">
        <v>14</v>
      </c>
      <c r="F240">
        <v>10043193</v>
      </c>
      <c r="G240" t="s">
        <v>914</v>
      </c>
      <c r="H240" t="s">
        <v>113</v>
      </c>
      <c r="I240" s="3">
        <v>0.3125</v>
      </c>
      <c r="J240" t="s">
        <v>113</v>
      </c>
      <c r="K240" s="3">
        <v>0.3125</v>
      </c>
      <c r="L240" t="s">
        <v>113</v>
      </c>
      <c r="M240" s="3">
        <v>0.3125</v>
      </c>
      <c r="N240" t="s">
        <v>113</v>
      </c>
      <c r="O240" s="3">
        <v>0.3125</v>
      </c>
      <c r="P240" t="s">
        <v>113</v>
      </c>
      <c r="Q240" s="3">
        <v>0.3125</v>
      </c>
      <c r="R240" t="b">
        <v>1</v>
      </c>
      <c r="S240" t="s">
        <v>1794</v>
      </c>
    </row>
    <row r="241" spans="1:19" x14ac:dyDescent="0.2">
      <c r="A241">
        <v>233</v>
      </c>
      <c r="B241" t="s">
        <v>296</v>
      </c>
      <c r="C241" t="s">
        <v>295</v>
      </c>
      <c r="D241">
        <v>91730</v>
      </c>
      <c r="E241">
        <v>9.3000000000000007</v>
      </c>
      <c r="F241">
        <v>103703001</v>
      </c>
      <c r="G241" t="s">
        <v>914</v>
      </c>
      <c r="H241" t="s">
        <v>113</v>
      </c>
      <c r="I241" s="3">
        <v>0.33333333333333331</v>
      </c>
      <c r="J241" t="s">
        <v>113</v>
      </c>
      <c r="K241" s="3">
        <v>0.33333333333333331</v>
      </c>
      <c r="L241" t="s">
        <v>113</v>
      </c>
      <c r="M241" s="3">
        <v>0.33333333333333331</v>
      </c>
      <c r="N241" t="s">
        <v>113</v>
      </c>
      <c r="O241" s="3">
        <v>0.33333333333333331</v>
      </c>
      <c r="P241" t="s">
        <v>113</v>
      </c>
      <c r="Q241" s="3">
        <v>0.33333333333333331</v>
      </c>
      <c r="R241" t="b">
        <v>1</v>
      </c>
      <c r="S241" t="s">
        <v>1795</v>
      </c>
    </row>
    <row r="242" spans="1:19" x14ac:dyDescent="0.2">
      <c r="A242">
        <v>234</v>
      </c>
      <c r="B242" t="s">
        <v>857</v>
      </c>
      <c r="C242" t="s">
        <v>856</v>
      </c>
      <c r="D242">
        <v>91711</v>
      </c>
      <c r="E242">
        <v>0.6</v>
      </c>
      <c r="F242">
        <v>103667471</v>
      </c>
      <c r="G242" t="s">
        <v>914</v>
      </c>
      <c r="H242" t="s">
        <v>92</v>
      </c>
      <c r="I242" s="3">
        <v>0.375</v>
      </c>
      <c r="J242" t="s">
        <v>92</v>
      </c>
      <c r="K242" s="3">
        <v>0.375</v>
      </c>
      <c r="L242" t="s">
        <v>92</v>
      </c>
      <c r="M242" s="3">
        <v>0.375</v>
      </c>
      <c r="N242" t="s">
        <v>92</v>
      </c>
      <c r="O242" s="3">
        <v>0.375</v>
      </c>
      <c r="P242" t="s">
        <v>92</v>
      </c>
      <c r="Q242" s="3">
        <v>0.375</v>
      </c>
      <c r="R242" t="b">
        <v>1</v>
      </c>
      <c r="S242" t="s">
        <v>1796</v>
      </c>
    </row>
    <row r="243" spans="1:19" x14ac:dyDescent="0.2">
      <c r="A243">
        <v>235</v>
      </c>
      <c r="B243" t="s">
        <v>1797</v>
      </c>
      <c r="C243" t="s">
        <v>1798</v>
      </c>
      <c r="D243">
        <v>93306</v>
      </c>
      <c r="E243">
        <v>0.5</v>
      </c>
      <c r="F243">
        <v>10361608</v>
      </c>
      <c r="G243" t="s">
        <v>1632</v>
      </c>
      <c r="H243" t="s">
        <v>92</v>
      </c>
      <c r="I243" s="3">
        <v>0.625</v>
      </c>
      <c r="J243" t="s">
        <v>108</v>
      </c>
      <c r="K243" s="3">
        <v>0.58333333333333337</v>
      </c>
      <c r="L243" t="s">
        <v>92</v>
      </c>
      <c r="M243" s="3">
        <v>0.625</v>
      </c>
      <c r="N243" t="s">
        <v>108</v>
      </c>
      <c r="O243" s="3">
        <v>0.58333333333333337</v>
      </c>
      <c r="P243" t="s">
        <v>92</v>
      </c>
      <c r="Q243" s="3">
        <v>0.54166666666666663</v>
      </c>
      <c r="R243" t="b">
        <v>0</v>
      </c>
      <c r="S243" t="s">
        <v>1799</v>
      </c>
    </row>
    <row r="244" spans="1:19" x14ac:dyDescent="0.2">
      <c r="A244">
        <v>236</v>
      </c>
      <c r="B244" t="s">
        <v>318</v>
      </c>
      <c r="C244" t="s">
        <v>509</v>
      </c>
      <c r="D244">
        <v>91730</v>
      </c>
      <c r="E244">
        <v>11</v>
      </c>
      <c r="F244">
        <v>10086446</v>
      </c>
      <c r="G244" t="s">
        <v>914</v>
      </c>
      <c r="H244" t="s">
        <v>103</v>
      </c>
      <c r="I244" s="3">
        <v>0.33333333333333331</v>
      </c>
      <c r="J244" t="s">
        <v>113</v>
      </c>
      <c r="K244" s="3">
        <v>0.33333333333333331</v>
      </c>
      <c r="L244" t="s">
        <v>113</v>
      </c>
      <c r="M244" s="3">
        <v>0.33333333333333331</v>
      </c>
      <c r="N244" t="s">
        <v>113</v>
      </c>
      <c r="O244" s="3">
        <v>0.33333333333333331</v>
      </c>
      <c r="P244" t="s">
        <v>113</v>
      </c>
      <c r="Q244" s="3">
        <v>0.33333333333333331</v>
      </c>
      <c r="R244" t="b">
        <v>1</v>
      </c>
      <c r="S244" t="s">
        <v>1799</v>
      </c>
    </row>
    <row r="245" spans="1:19" x14ac:dyDescent="0.2">
      <c r="A245">
        <v>237</v>
      </c>
      <c r="B245" t="s">
        <v>184</v>
      </c>
      <c r="C245" t="s">
        <v>1099</v>
      </c>
      <c r="D245">
        <v>91722</v>
      </c>
      <c r="E245">
        <v>8</v>
      </c>
      <c r="F245">
        <v>10043567</v>
      </c>
      <c r="G245" t="s">
        <v>914</v>
      </c>
      <c r="H245" t="s">
        <v>113</v>
      </c>
      <c r="I245" s="3">
        <v>0.33333333333333331</v>
      </c>
      <c r="J245" t="s">
        <v>113</v>
      </c>
      <c r="K245" s="3">
        <v>0.33333333333333331</v>
      </c>
      <c r="L245" t="s">
        <v>113</v>
      </c>
      <c r="M245" s="3">
        <v>0.33333333333333331</v>
      </c>
      <c r="N245" t="s">
        <v>113</v>
      </c>
      <c r="O245" s="3">
        <v>0.33333333333333331</v>
      </c>
      <c r="P245" t="s">
        <v>113</v>
      </c>
      <c r="Q245" s="3">
        <v>0.33333333333333331</v>
      </c>
      <c r="R245" t="b">
        <v>1</v>
      </c>
      <c r="S245" t="s">
        <v>1800</v>
      </c>
    </row>
    <row r="246" spans="1:19" x14ac:dyDescent="0.2">
      <c r="A246">
        <v>238</v>
      </c>
      <c r="B246" t="s">
        <v>258</v>
      </c>
      <c r="C246" t="s">
        <v>1266</v>
      </c>
      <c r="D246">
        <v>91101</v>
      </c>
      <c r="E246">
        <v>26.8</v>
      </c>
      <c r="F246">
        <v>10372837</v>
      </c>
      <c r="G246" t="s">
        <v>914</v>
      </c>
      <c r="H246" t="s">
        <v>108</v>
      </c>
      <c r="I246" s="3">
        <v>0.35416666666666669</v>
      </c>
      <c r="J246" t="s">
        <v>113</v>
      </c>
      <c r="K246" s="3">
        <v>0.375</v>
      </c>
      <c r="L246" t="s">
        <v>113</v>
      </c>
      <c r="M246" s="3">
        <v>0.375</v>
      </c>
      <c r="N246" t="s">
        <v>113</v>
      </c>
      <c r="O246" s="3">
        <v>0.375</v>
      </c>
      <c r="P246" t="s">
        <v>108</v>
      </c>
      <c r="Q246" s="3">
        <v>0.35416666666666669</v>
      </c>
      <c r="R246" t="b">
        <v>1</v>
      </c>
      <c r="S246" t="s">
        <v>1801</v>
      </c>
    </row>
    <row r="247" spans="1:19" x14ac:dyDescent="0.2">
      <c r="A247">
        <v>239</v>
      </c>
      <c r="B247" t="s">
        <v>1100</v>
      </c>
      <c r="C247" t="s">
        <v>1101</v>
      </c>
      <c r="D247">
        <v>91701</v>
      </c>
      <c r="E247">
        <v>8</v>
      </c>
      <c r="F247">
        <v>10021827</v>
      </c>
      <c r="G247" t="s">
        <v>914</v>
      </c>
      <c r="H247" t="s">
        <v>113</v>
      </c>
      <c r="I247" s="3">
        <v>0.3125</v>
      </c>
      <c r="J247" t="s">
        <v>113</v>
      </c>
      <c r="K247" s="3">
        <v>0.3125</v>
      </c>
      <c r="L247" t="s">
        <v>103</v>
      </c>
      <c r="M247" s="3">
        <v>0.29166666666666669</v>
      </c>
      <c r="N247" t="s">
        <v>113</v>
      </c>
      <c r="O247" s="3">
        <v>0.3125</v>
      </c>
      <c r="P247" t="s">
        <v>113</v>
      </c>
      <c r="Q247" s="3">
        <v>0.3125</v>
      </c>
      <c r="R247" t="b">
        <v>1</v>
      </c>
      <c r="S247" t="s">
        <v>1802</v>
      </c>
    </row>
    <row r="248" spans="1:19" x14ac:dyDescent="0.2">
      <c r="A248">
        <v>240</v>
      </c>
      <c r="B248" t="s">
        <v>1072</v>
      </c>
      <c r="C248" t="s">
        <v>642</v>
      </c>
      <c r="D248">
        <v>91786</v>
      </c>
      <c r="E248">
        <v>7</v>
      </c>
      <c r="F248">
        <v>103704832</v>
      </c>
      <c r="G248" t="s">
        <v>914</v>
      </c>
      <c r="H248" t="s">
        <v>113</v>
      </c>
      <c r="I248" s="3">
        <v>0.33333333333333331</v>
      </c>
      <c r="J248" t="s">
        <v>113</v>
      </c>
      <c r="K248" s="3">
        <v>0.33333333333333331</v>
      </c>
      <c r="L248" t="s">
        <v>113</v>
      </c>
      <c r="M248" s="3">
        <v>0.33333333333333331</v>
      </c>
      <c r="N248" t="s">
        <v>113</v>
      </c>
      <c r="O248" s="3">
        <v>0.33333333333333331</v>
      </c>
      <c r="P248" t="s">
        <v>113</v>
      </c>
      <c r="Q248" s="3">
        <v>0.33333333333333331</v>
      </c>
      <c r="R248" t="b">
        <v>1</v>
      </c>
      <c r="S248" t="s">
        <v>1802</v>
      </c>
    </row>
    <row r="249" spans="1:19" x14ac:dyDescent="0.2">
      <c r="A249">
        <v>241</v>
      </c>
      <c r="B249" t="s">
        <v>1078</v>
      </c>
      <c r="C249" t="s">
        <v>1079</v>
      </c>
      <c r="D249">
        <v>91784</v>
      </c>
      <c r="E249">
        <v>7.3</v>
      </c>
      <c r="F249">
        <v>103734282</v>
      </c>
      <c r="G249" t="s">
        <v>914</v>
      </c>
      <c r="H249" t="s">
        <v>113</v>
      </c>
      <c r="I249" s="3">
        <v>0.33333333333333331</v>
      </c>
      <c r="J249" t="s">
        <v>113</v>
      </c>
      <c r="K249" s="3">
        <v>0.33333333333333331</v>
      </c>
      <c r="L249" t="s">
        <v>191</v>
      </c>
      <c r="M249" s="3">
        <v>0.33333333333333331</v>
      </c>
      <c r="N249" t="s">
        <v>191</v>
      </c>
      <c r="O249" s="3">
        <v>0.33333333333333331</v>
      </c>
      <c r="P249" t="s">
        <v>191</v>
      </c>
      <c r="Q249" s="3">
        <v>0.33333333333333331</v>
      </c>
      <c r="R249" t="b">
        <v>1</v>
      </c>
      <c r="S249" t="s">
        <v>1803</v>
      </c>
    </row>
    <row r="250" spans="1:19" x14ac:dyDescent="0.2">
      <c r="A250">
        <v>242</v>
      </c>
      <c r="B250" t="s">
        <v>406</v>
      </c>
      <c r="C250" t="s">
        <v>405</v>
      </c>
      <c r="D250">
        <v>91711</v>
      </c>
      <c r="E250">
        <v>2</v>
      </c>
      <c r="F250">
        <v>10358014</v>
      </c>
      <c r="G250" t="s">
        <v>914</v>
      </c>
      <c r="H250" t="s">
        <v>113</v>
      </c>
      <c r="I250" s="3">
        <v>0.33333333333333331</v>
      </c>
      <c r="J250" t="s">
        <v>113</v>
      </c>
      <c r="K250" s="3">
        <v>0.33333333333333331</v>
      </c>
      <c r="L250" t="s">
        <v>113</v>
      </c>
      <c r="M250" s="3">
        <v>0.33333333333333331</v>
      </c>
      <c r="N250" t="s">
        <v>191</v>
      </c>
      <c r="O250" s="3">
        <v>0.33333333333333331</v>
      </c>
      <c r="P250" t="s">
        <v>191</v>
      </c>
      <c r="Q250" s="3">
        <v>0.33333333333333331</v>
      </c>
      <c r="R250" t="b">
        <v>1</v>
      </c>
      <c r="S250" t="s">
        <v>1804</v>
      </c>
    </row>
    <row r="251" spans="1:19" x14ac:dyDescent="0.2">
      <c r="A251">
        <v>243</v>
      </c>
      <c r="B251" t="s">
        <v>664</v>
      </c>
      <c r="C251" t="s">
        <v>663</v>
      </c>
      <c r="D251">
        <v>91730</v>
      </c>
      <c r="E251">
        <v>10</v>
      </c>
      <c r="F251">
        <v>101656182</v>
      </c>
      <c r="G251" t="s">
        <v>914</v>
      </c>
      <c r="H251" t="s">
        <v>113</v>
      </c>
      <c r="I251" s="3">
        <v>0.33333333333333331</v>
      </c>
      <c r="J251" t="s">
        <v>113</v>
      </c>
      <c r="K251" s="3">
        <v>0.33333333333333331</v>
      </c>
      <c r="L251" t="s">
        <v>113</v>
      </c>
      <c r="M251" s="3">
        <v>0.33333333333333331</v>
      </c>
      <c r="N251" t="s">
        <v>113</v>
      </c>
      <c r="O251" s="3">
        <v>0.33333333333333331</v>
      </c>
      <c r="P251" t="s">
        <v>113</v>
      </c>
      <c r="Q251" s="3">
        <v>0.33333333333333331</v>
      </c>
      <c r="R251" t="b">
        <v>1</v>
      </c>
      <c r="S251" t="s">
        <v>1804</v>
      </c>
    </row>
    <row r="252" spans="1:19" x14ac:dyDescent="0.2">
      <c r="A252">
        <v>244</v>
      </c>
      <c r="B252" t="s">
        <v>1153</v>
      </c>
      <c r="C252" t="s">
        <v>1154</v>
      </c>
      <c r="D252">
        <v>91739</v>
      </c>
      <c r="E252">
        <v>13</v>
      </c>
      <c r="F252" t="s">
        <v>1155</v>
      </c>
      <c r="G252" t="s">
        <v>914</v>
      </c>
      <c r="H252" t="s">
        <v>113</v>
      </c>
      <c r="I252" s="3">
        <v>0.83333333333333337</v>
      </c>
      <c r="J252" t="s">
        <v>113</v>
      </c>
      <c r="K252" s="3">
        <v>0.83333333333333337</v>
      </c>
      <c r="L252" t="s">
        <v>113</v>
      </c>
      <c r="M252" s="3">
        <v>0.83333333333333337</v>
      </c>
      <c r="N252" t="s">
        <v>113</v>
      </c>
      <c r="O252" s="3">
        <v>0.83333333333333337</v>
      </c>
      <c r="P252" t="s">
        <v>113</v>
      </c>
      <c r="Q252" s="3">
        <v>0.83333333333333337</v>
      </c>
      <c r="R252" t="b">
        <v>0</v>
      </c>
      <c r="S252" t="s">
        <v>1805</v>
      </c>
    </row>
    <row r="253" spans="1:19" x14ac:dyDescent="0.2">
      <c r="A253">
        <v>245</v>
      </c>
      <c r="B253" t="s">
        <v>1264</v>
      </c>
      <c r="C253" t="s">
        <v>1265</v>
      </c>
      <c r="D253">
        <v>91104</v>
      </c>
      <c r="E253">
        <v>26.5</v>
      </c>
      <c r="F253">
        <v>10372766</v>
      </c>
      <c r="G253" t="s">
        <v>914</v>
      </c>
      <c r="H253" t="s">
        <v>74</v>
      </c>
      <c r="I253" s="3">
        <v>0.35416666666666669</v>
      </c>
      <c r="J253" t="s">
        <v>108</v>
      </c>
      <c r="K253" s="3">
        <v>0.35416666666666669</v>
      </c>
      <c r="L253" t="s">
        <v>74</v>
      </c>
      <c r="M253" s="3">
        <v>0.35416666666666669</v>
      </c>
      <c r="N253" t="s">
        <v>74</v>
      </c>
      <c r="O253" s="3">
        <v>0.35416666666666669</v>
      </c>
      <c r="P253" t="s">
        <v>74</v>
      </c>
      <c r="Q253" s="3">
        <v>0.35416666666666669</v>
      </c>
      <c r="R253" t="b">
        <v>1</v>
      </c>
      <c r="S253" t="s">
        <v>1806</v>
      </c>
    </row>
    <row r="254" spans="1:19" x14ac:dyDescent="0.2">
      <c r="A254">
        <v>246</v>
      </c>
      <c r="B254" t="s">
        <v>314</v>
      </c>
      <c r="C254" t="s">
        <v>313</v>
      </c>
      <c r="D254">
        <v>91740</v>
      </c>
      <c r="E254">
        <v>8</v>
      </c>
      <c r="F254">
        <v>10315938</v>
      </c>
      <c r="G254" t="s">
        <v>914</v>
      </c>
      <c r="H254" t="s">
        <v>113</v>
      </c>
      <c r="I254" s="3">
        <v>0.33333333333333331</v>
      </c>
      <c r="J254" t="s">
        <v>113</v>
      </c>
      <c r="K254" s="3">
        <v>0.33333333333333331</v>
      </c>
      <c r="L254" t="s">
        <v>113</v>
      </c>
      <c r="M254" s="3">
        <v>0.33333333333333331</v>
      </c>
      <c r="N254" t="s">
        <v>113</v>
      </c>
      <c r="O254" s="3">
        <v>0.33333333333333331</v>
      </c>
      <c r="P254" t="s">
        <v>113</v>
      </c>
      <c r="Q254" s="3">
        <v>0.33333333333333331</v>
      </c>
      <c r="R254" t="b">
        <v>1</v>
      </c>
      <c r="S254" t="s">
        <v>1807</v>
      </c>
    </row>
    <row r="255" spans="1:19" x14ac:dyDescent="0.2">
      <c r="A255">
        <v>247</v>
      </c>
      <c r="B255" t="s">
        <v>1808</v>
      </c>
      <c r="C255" t="s">
        <v>1809</v>
      </c>
      <c r="D255">
        <v>91711</v>
      </c>
      <c r="E255">
        <v>1</v>
      </c>
      <c r="F255">
        <v>100243851</v>
      </c>
      <c r="G255" t="s">
        <v>1495</v>
      </c>
      <c r="H255" t="s">
        <v>92</v>
      </c>
      <c r="I255" s="3">
        <v>0.375</v>
      </c>
      <c r="J255" t="s">
        <v>92</v>
      </c>
      <c r="K255" s="3">
        <v>0.375</v>
      </c>
      <c r="L255" t="s">
        <v>92</v>
      </c>
      <c r="M255" s="3">
        <v>0.375</v>
      </c>
      <c r="N255" t="s">
        <v>92</v>
      </c>
      <c r="O255" s="3">
        <v>0.375</v>
      </c>
      <c r="P255" t="s">
        <v>92</v>
      </c>
      <c r="Q255" s="3">
        <v>0.375</v>
      </c>
      <c r="R255" t="b">
        <v>1</v>
      </c>
      <c r="S255" t="s">
        <v>1810</v>
      </c>
    </row>
    <row r="256" spans="1:19" x14ac:dyDescent="0.2">
      <c r="A256">
        <v>248</v>
      </c>
      <c r="B256" t="s">
        <v>1292</v>
      </c>
      <c r="C256" t="s">
        <v>400</v>
      </c>
      <c r="D256">
        <v>90015</v>
      </c>
      <c r="E256">
        <v>34.799999999999997</v>
      </c>
      <c r="F256">
        <v>10372309</v>
      </c>
      <c r="G256" t="s">
        <v>914</v>
      </c>
      <c r="H256" t="s">
        <v>85</v>
      </c>
      <c r="I256" s="3">
        <v>0.375</v>
      </c>
      <c r="J256" t="s">
        <v>85</v>
      </c>
      <c r="K256" s="3">
        <v>0.375</v>
      </c>
      <c r="L256" t="s">
        <v>85</v>
      </c>
      <c r="M256" s="3">
        <v>0.375</v>
      </c>
      <c r="N256" t="s">
        <v>85</v>
      </c>
      <c r="O256" s="3">
        <v>0.5</v>
      </c>
      <c r="P256" t="s">
        <v>202</v>
      </c>
      <c r="Q256" s="3">
        <v>0.25</v>
      </c>
      <c r="R256" t="b">
        <v>1</v>
      </c>
      <c r="S256" t="s">
        <v>1811</v>
      </c>
    </row>
    <row r="257" spans="1:19" x14ac:dyDescent="0.2">
      <c r="A257">
        <v>249</v>
      </c>
      <c r="B257" t="s">
        <v>1139</v>
      </c>
      <c r="C257" t="s">
        <v>1140</v>
      </c>
      <c r="D257">
        <v>91737</v>
      </c>
      <c r="E257">
        <v>11</v>
      </c>
      <c r="F257">
        <v>122073</v>
      </c>
      <c r="G257" t="s">
        <v>914</v>
      </c>
      <c r="H257" t="s">
        <v>113</v>
      </c>
      <c r="I257" s="3">
        <v>0.33333333333333331</v>
      </c>
      <c r="J257" t="s">
        <v>113</v>
      </c>
      <c r="K257" s="3">
        <v>0.33333333333333331</v>
      </c>
      <c r="L257" t="s">
        <v>113</v>
      </c>
      <c r="M257" s="3">
        <v>0.33333333333333331</v>
      </c>
      <c r="N257" t="s">
        <v>103</v>
      </c>
      <c r="O257" s="3">
        <v>0.33333333333333331</v>
      </c>
      <c r="P257" t="s">
        <v>103</v>
      </c>
      <c r="Q257" s="3">
        <v>0.33333333333333331</v>
      </c>
      <c r="R257" t="b">
        <v>1</v>
      </c>
      <c r="S257" t="s">
        <v>1812</v>
      </c>
    </row>
    <row r="258" spans="1:19" x14ac:dyDescent="0.2">
      <c r="A258">
        <v>250</v>
      </c>
      <c r="B258" t="s">
        <v>1257</v>
      </c>
      <c r="C258" t="s">
        <v>1258</v>
      </c>
      <c r="D258">
        <v>92509</v>
      </c>
      <c r="E258">
        <v>25</v>
      </c>
      <c r="F258">
        <v>10370654</v>
      </c>
      <c r="G258" t="s">
        <v>914</v>
      </c>
      <c r="H258" t="s">
        <v>113</v>
      </c>
      <c r="I258" s="3">
        <v>0.33333333333333331</v>
      </c>
      <c r="J258" t="s">
        <v>113</v>
      </c>
      <c r="K258" s="3">
        <v>0.33333333333333331</v>
      </c>
      <c r="L258" t="s">
        <v>113</v>
      </c>
      <c r="M258" s="3">
        <v>0.33333333333333331</v>
      </c>
      <c r="N258" t="s">
        <v>113</v>
      </c>
      <c r="O258" s="3">
        <v>0.33333333333333331</v>
      </c>
      <c r="P258" t="s">
        <v>113</v>
      </c>
      <c r="Q258" s="3">
        <v>0.33333333333333331</v>
      </c>
      <c r="R258" t="b">
        <v>1</v>
      </c>
      <c r="S258" t="s">
        <v>1813</v>
      </c>
    </row>
    <row r="259" spans="1:19" x14ac:dyDescent="0.2">
      <c r="A259">
        <v>251</v>
      </c>
      <c r="B259" t="s">
        <v>938</v>
      </c>
      <c r="C259" t="s">
        <v>939</v>
      </c>
      <c r="D259">
        <v>91711</v>
      </c>
      <c r="E259">
        <v>1</v>
      </c>
      <c r="F259">
        <v>10290464</v>
      </c>
      <c r="G259" t="s">
        <v>914</v>
      </c>
      <c r="H259" t="s">
        <v>113</v>
      </c>
      <c r="I259" s="3">
        <v>0.33333333333333331</v>
      </c>
      <c r="J259" t="s">
        <v>113</v>
      </c>
      <c r="K259" s="3">
        <v>0.33333333333333331</v>
      </c>
      <c r="L259" t="s">
        <v>113</v>
      </c>
      <c r="M259" s="3">
        <v>0.33333333333333331</v>
      </c>
      <c r="N259" t="s">
        <v>113</v>
      </c>
      <c r="O259" s="3">
        <v>0.33333333333333331</v>
      </c>
      <c r="P259" t="s">
        <v>113</v>
      </c>
      <c r="Q259" s="3">
        <v>0.33333333333333331</v>
      </c>
      <c r="R259" t="b">
        <v>1</v>
      </c>
      <c r="S259" t="s">
        <v>1814</v>
      </c>
    </row>
    <row r="260" spans="1:19" x14ac:dyDescent="0.2">
      <c r="A260">
        <v>252</v>
      </c>
      <c r="B260" t="s">
        <v>1815</v>
      </c>
      <c r="C260" t="s">
        <v>1816</v>
      </c>
      <c r="D260">
        <v>91711</v>
      </c>
      <c r="E260">
        <v>1</v>
      </c>
      <c r="F260">
        <v>122902</v>
      </c>
      <c r="G260" t="s">
        <v>1638</v>
      </c>
      <c r="H260" t="s">
        <v>202</v>
      </c>
      <c r="I260" s="3">
        <v>0.45833333333333331</v>
      </c>
      <c r="J260" t="s">
        <v>92</v>
      </c>
      <c r="K260" s="3">
        <v>0.60416666666666663</v>
      </c>
      <c r="L260" t="s">
        <v>92</v>
      </c>
      <c r="M260" s="3">
        <v>0.72916666666666663</v>
      </c>
      <c r="N260" t="s">
        <v>202</v>
      </c>
      <c r="O260" s="3">
        <v>0.45833333333333331</v>
      </c>
      <c r="P260" t="s">
        <v>202</v>
      </c>
      <c r="Q260" s="3">
        <v>0.45833333333333331</v>
      </c>
      <c r="R260" t="b">
        <v>0</v>
      </c>
      <c r="S260" t="s">
        <v>1817</v>
      </c>
    </row>
    <row r="261" spans="1:19" x14ac:dyDescent="0.2">
      <c r="A261">
        <v>253</v>
      </c>
      <c r="B261" t="s">
        <v>1788</v>
      </c>
      <c r="C261" t="s">
        <v>1818</v>
      </c>
      <c r="D261">
        <v>94110</v>
      </c>
      <c r="E261">
        <v>0.5</v>
      </c>
      <c r="F261">
        <v>10368995</v>
      </c>
      <c r="G261" t="s">
        <v>1632</v>
      </c>
      <c r="H261" t="s">
        <v>103</v>
      </c>
      <c r="I261" s="3">
        <v>0.58333333333333337</v>
      </c>
      <c r="J261" t="s">
        <v>103</v>
      </c>
      <c r="K261" s="3">
        <v>0.58333333333333337</v>
      </c>
      <c r="L261" t="s">
        <v>103</v>
      </c>
      <c r="M261" s="3">
        <v>0.58333333333333337</v>
      </c>
      <c r="N261" t="s">
        <v>103</v>
      </c>
      <c r="O261" s="3">
        <v>0.58333333333333337</v>
      </c>
      <c r="P261" t="s">
        <v>103</v>
      </c>
      <c r="Q261" s="3">
        <v>0.58333333333333337</v>
      </c>
      <c r="R261" t="b">
        <v>0</v>
      </c>
      <c r="S261" t="s">
        <v>1819</v>
      </c>
    </row>
    <row r="262" spans="1:19" x14ac:dyDescent="0.2">
      <c r="A262">
        <v>254</v>
      </c>
      <c r="B262" t="s">
        <v>418</v>
      </c>
      <c r="C262" t="s">
        <v>417</v>
      </c>
      <c r="D262">
        <v>92610</v>
      </c>
      <c r="E262">
        <v>43</v>
      </c>
      <c r="F262">
        <v>103718361</v>
      </c>
      <c r="G262" t="s">
        <v>914</v>
      </c>
      <c r="H262" t="s">
        <v>202</v>
      </c>
      <c r="I262" s="3">
        <v>0.25</v>
      </c>
      <c r="J262" t="s">
        <v>113</v>
      </c>
      <c r="K262" s="3">
        <v>0.33333333333333331</v>
      </c>
      <c r="L262" t="s">
        <v>202</v>
      </c>
      <c r="M262" s="3">
        <v>0.25</v>
      </c>
      <c r="N262" t="s">
        <v>113</v>
      </c>
      <c r="O262" s="3">
        <v>0.33333333333333331</v>
      </c>
      <c r="P262" t="s">
        <v>202</v>
      </c>
      <c r="Q262" s="3">
        <v>0.25</v>
      </c>
      <c r="R262" t="b">
        <v>1</v>
      </c>
      <c r="S262" t="s">
        <v>1820</v>
      </c>
    </row>
    <row r="263" spans="1:19" x14ac:dyDescent="0.2">
      <c r="A263">
        <v>255</v>
      </c>
      <c r="B263" t="s">
        <v>778</v>
      </c>
      <c r="C263" t="s">
        <v>993</v>
      </c>
      <c r="D263">
        <v>91767</v>
      </c>
      <c r="E263">
        <v>3</v>
      </c>
      <c r="F263">
        <v>10115200</v>
      </c>
      <c r="G263" t="s">
        <v>914</v>
      </c>
      <c r="H263" t="s">
        <v>81</v>
      </c>
      <c r="I263" s="3">
        <v>0.25</v>
      </c>
      <c r="J263" t="s">
        <v>81</v>
      </c>
      <c r="K263" s="3">
        <v>0.25</v>
      </c>
      <c r="L263" t="s">
        <v>81</v>
      </c>
      <c r="M263" s="3">
        <v>0.25</v>
      </c>
      <c r="N263" t="s">
        <v>81</v>
      </c>
      <c r="O263" s="3">
        <v>0.25</v>
      </c>
      <c r="P263" t="s">
        <v>81</v>
      </c>
      <c r="Q263" s="3">
        <v>0.25</v>
      </c>
      <c r="R263" t="b">
        <v>1</v>
      </c>
      <c r="S263" t="s">
        <v>1821</v>
      </c>
    </row>
    <row r="264" spans="1:19" x14ac:dyDescent="0.2">
      <c r="A264">
        <v>256</v>
      </c>
      <c r="B264" t="s">
        <v>28</v>
      </c>
      <c r="C264" t="s">
        <v>558</v>
      </c>
      <c r="D264">
        <v>92337</v>
      </c>
      <c r="E264">
        <v>15</v>
      </c>
      <c r="F264">
        <v>106021</v>
      </c>
      <c r="G264" t="s">
        <v>914</v>
      </c>
      <c r="H264" t="s">
        <v>74</v>
      </c>
      <c r="I264" s="3">
        <v>0.375</v>
      </c>
      <c r="J264" t="s">
        <v>74</v>
      </c>
      <c r="K264" s="3">
        <v>0.375</v>
      </c>
      <c r="L264" t="s">
        <v>74</v>
      </c>
      <c r="M264" s="3">
        <v>0.375</v>
      </c>
      <c r="N264" t="s">
        <v>74</v>
      </c>
      <c r="O264" s="3">
        <v>0.375</v>
      </c>
      <c r="P264" t="s">
        <v>74</v>
      </c>
      <c r="Q264" s="3">
        <v>0.375</v>
      </c>
      <c r="R264" t="b">
        <v>1</v>
      </c>
      <c r="S264" t="s">
        <v>1822</v>
      </c>
    </row>
    <row r="265" spans="1:19" x14ac:dyDescent="0.2">
      <c r="A265">
        <v>257</v>
      </c>
      <c r="B265" t="s">
        <v>683</v>
      </c>
      <c r="C265" t="s">
        <v>682</v>
      </c>
      <c r="D265">
        <v>91711</v>
      </c>
      <c r="E265">
        <v>14</v>
      </c>
      <c r="F265">
        <v>10029499</v>
      </c>
      <c r="G265" t="s">
        <v>914</v>
      </c>
      <c r="H265" t="s">
        <v>113</v>
      </c>
      <c r="I265" s="3">
        <v>0.33333333333333331</v>
      </c>
      <c r="J265" t="s">
        <v>113</v>
      </c>
      <c r="K265" s="3">
        <v>0.33333333333333331</v>
      </c>
      <c r="L265" t="s">
        <v>113</v>
      </c>
      <c r="M265" s="3">
        <v>0.33333333333333331</v>
      </c>
      <c r="N265" t="s">
        <v>113</v>
      </c>
      <c r="O265" s="3">
        <v>0.33333333333333331</v>
      </c>
      <c r="P265" t="s">
        <v>113</v>
      </c>
      <c r="Q265" s="3">
        <v>0.33333333333333331</v>
      </c>
      <c r="R265" t="b">
        <v>1</v>
      </c>
      <c r="S265" t="s">
        <v>1823</v>
      </c>
    </row>
    <row r="266" spans="1:19" x14ac:dyDescent="0.2">
      <c r="A266">
        <v>258</v>
      </c>
      <c r="B266" t="s">
        <v>1824</v>
      </c>
      <c r="C266" t="s">
        <v>1825</v>
      </c>
      <c r="D266">
        <v>60076</v>
      </c>
      <c r="E266">
        <v>1</v>
      </c>
      <c r="F266">
        <v>50461888</v>
      </c>
      <c r="G266" t="s">
        <v>1638</v>
      </c>
      <c r="H266" t="s">
        <v>98</v>
      </c>
      <c r="I266" s="3">
        <v>0.375</v>
      </c>
      <c r="J266" t="s">
        <v>92</v>
      </c>
      <c r="K266" s="3">
        <v>0.35416666666666669</v>
      </c>
      <c r="L266" t="s">
        <v>98</v>
      </c>
      <c r="M266" s="3">
        <v>0.375</v>
      </c>
      <c r="N266" t="s">
        <v>98</v>
      </c>
      <c r="O266" s="3">
        <v>0.39583333333333331</v>
      </c>
      <c r="P266" t="s">
        <v>98</v>
      </c>
      <c r="Q266" s="3">
        <v>0.33333333333333331</v>
      </c>
      <c r="R266" t="b">
        <v>1</v>
      </c>
      <c r="S266" t="s">
        <v>1826</v>
      </c>
    </row>
    <row r="267" spans="1:19" x14ac:dyDescent="0.2">
      <c r="A267">
        <v>259</v>
      </c>
      <c r="B267" t="s">
        <v>263</v>
      </c>
      <c r="C267" t="s">
        <v>1315</v>
      </c>
      <c r="D267">
        <v>90043</v>
      </c>
      <c r="E267">
        <v>43</v>
      </c>
      <c r="F267">
        <v>10351757</v>
      </c>
      <c r="G267" t="s">
        <v>914</v>
      </c>
      <c r="H267" t="s">
        <v>103</v>
      </c>
      <c r="I267" s="3">
        <v>0.33333333333333331</v>
      </c>
      <c r="J267" t="s">
        <v>103</v>
      </c>
      <c r="K267" s="3">
        <v>0.33333333333333331</v>
      </c>
      <c r="L267" t="s">
        <v>113</v>
      </c>
      <c r="M267" s="3">
        <v>0.33333333333333331</v>
      </c>
      <c r="N267" t="s">
        <v>113</v>
      </c>
      <c r="O267" s="3">
        <v>0.33333333333333331</v>
      </c>
      <c r="P267" t="s">
        <v>113</v>
      </c>
      <c r="Q267" s="3">
        <v>0.33333333333333331</v>
      </c>
      <c r="R267" t="b">
        <v>1</v>
      </c>
      <c r="S267" t="s">
        <v>1827</v>
      </c>
    </row>
    <row r="268" spans="1:19" x14ac:dyDescent="0.2">
      <c r="A268">
        <v>260</v>
      </c>
      <c r="B268" t="s">
        <v>853</v>
      </c>
      <c r="C268" t="s">
        <v>1828</v>
      </c>
      <c r="D268">
        <v>91711</v>
      </c>
      <c r="E268">
        <v>1</v>
      </c>
      <c r="F268">
        <v>10363113</v>
      </c>
      <c r="G268" t="s">
        <v>1632</v>
      </c>
      <c r="H268" t="s">
        <v>92</v>
      </c>
      <c r="I268" s="3">
        <v>0.375</v>
      </c>
      <c r="J268" t="s">
        <v>92</v>
      </c>
      <c r="K268" s="3">
        <v>0.375</v>
      </c>
      <c r="L268" t="s">
        <v>92</v>
      </c>
      <c r="M268" s="3">
        <v>0.375</v>
      </c>
      <c r="N268" t="s">
        <v>92</v>
      </c>
      <c r="O268" s="3">
        <v>0.375</v>
      </c>
      <c r="P268" t="s">
        <v>92</v>
      </c>
      <c r="Q268" s="3">
        <v>0.375</v>
      </c>
      <c r="R268" t="b">
        <v>1</v>
      </c>
      <c r="S268" t="s">
        <v>1829</v>
      </c>
    </row>
    <row r="269" spans="1:19" x14ac:dyDescent="0.2">
      <c r="A269">
        <v>261</v>
      </c>
      <c r="B269" t="s">
        <v>303</v>
      </c>
      <c r="C269" t="s">
        <v>302</v>
      </c>
      <c r="D269">
        <v>91730</v>
      </c>
      <c r="E269">
        <v>9</v>
      </c>
      <c r="F269">
        <v>10365863</v>
      </c>
      <c r="G269" t="s">
        <v>914</v>
      </c>
      <c r="H269" t="s">
        <v>113</v>
      </c>
      <c r="I269" s="3">
        <v>0.33333333333333331</v>
      </c>
      <c r="J269" t="s">
        <v>113</v>
      </c>
      <c r="K269" s="3">
        <v>0.33333333333333331</v>
      </c>
      <c r="L269" t="s">
        <v>113</v>
      </c>
      <c r="M269" s="3">
        <v>0.33333333333333331</v>
      </c>
      <c r="N269" t="s">
        <v>113</v>
      </c>
      <c r="O269" s="3">
        <v>0.33333333333333331</v>
      </c>
      <c r="P269" t="s">
        <v>103</v>
      </c>
      <c r="Q269" s="3">
        <v>0.33333333333333331</v>
      </c>
      <c r="R269" t="b">
        <v>1</v>
      </c>
      <c r="S269" t="s">
        <v>1830</v>
      </c>
    </row>
    <row r="270" spans="1:19" x14ac:dyDescent="0.2">
      <c r="A270">
        <v>262</v>
      </c>
      <c r="B270" t="s">
        <v>598</v>
      </c>
      <c r="C270" t="s">
        <v>823</v>
      </c>
      <c r="D270">
        <v>92324</v>
      </c>
      <c r="E270">
        <v>30</v>
      </c>
      <c r="F270">
        <v>10364835</v>
      </c>
      <c r="G270" t="s">
        <v>914</v>
      </c>
      <c r="H270" t="s">
        <v>113</v>
      </c>
      <c r="I270" s="3">
        <v>0.35416666666666669</v>
      </c>
      <c r="J270" t="s">
        <v>85</v>
      </c>
      <c r="K270" s="3">
        <v>0.35416666666666669</v>
      </c>
      <c r="L270" t="s">
        <v>103</v>
      </c>
      <c r="M270" s="3">
        <v>0.29166666666666669</v>
      </c>
      <c r="N270" t="s">
        <v>103</v>
      </c>
      <c r="O270" s="3">
        <v>0.29166666666666669</v>
      </c>
      <c r="P270" t="s">
        <v>85</v>
      </c>
      <c r="Q270" s="3">
        <v>0.35416666666666669</v>
      </c>
      <c r="R270" t="b">
        <v>1</v>
      </c>
      <c r="S270" t="s">
        <v>1831</v>
      </c>
    </row>
    <row r="271" spans="1:19" x14ac:dyDescent="0.2">
      <c r="A271">
        <v>263</v>
      </c>
      <c r="B271" t="s">
        <v>1832</v>
      </c>
      <c r="C271" t="s">
        <v>1833</v>
      </c>
      <c r="D271">
        <v>92009</v>
      </c>
      <c r="E271">
        <v>0</v>
      </c>
      <c r="F271">
        <v>10362954</v>
      </c>
      <c r="G271" t="s">
        <v>1632</v>
      </c>
      <c r="H271" t="s">
        <v>92</v>
      </c>
      <c r="I271" s="3">
        <v>0.66666666666666663</v>
      </c>
      <c r="J271" t="s">
        <v>202</v>
      </c>
      <c r="K271" s="3">
        <v>0.45833333333333331</v>
      </c>
      <c r="L271" t="s">
        <v>92</v>
      </c>
      <c r="M271" s="3">
        <v>0.83333333333333337</v>
      </c>
      <c r="N271" t="s">
        <v>202</v>
      </c>
      <c r="O271" s="3">
        <v>0.45833333333333331</v>
      </c>
      <c r="P271" t="s">
        <v>202</v>
      </c>
      <c r="Q271" s="3">
        <v>0.45833333333333331</v>
      </c>
      <c r="R271" t="b">
        <v>0</v>
      </c>
      <c r="S271" t="s">
        <v>1834</v>
      </c>
    </row>
    <row r="272" spans="1:19" x14ac:dyDescent="0.2">
      <c r="A272">
        <v>264</v>
      </c>
      <c r="B272" t="s">
        <v>876</v>
      </c>
      <c r="C272" t="s">
        <v>847</v>
      </c>
      <c r="D272">
        <v>92336</v>
      </c>
      <c r="E272">
        <v>16</v>
      </c>
      <c r="F272">
        <v>10043226</v>
      </c>
      <c r="G272" t="s">
        <v>914</v>
      </c>
      <c r="H272" t="s">
        <v>85</v>
      </c>
      <c r="I272" s="3">
        <v>0.3125</v>
      </c>
      <c r="J272" t="s">
        <v>85</v>
      </c>
      <c r="K272" s="3">
        <v>0.3125</v>
      </c>
      <c r="L272" t="s">
        <v>85</v>
      </c>
      <c r="M272" s="3">
        <v>0.3125</v>
      </c>
      <c r="N272" t="s">
        <v>85</v>
      </c>
      <c r="O272" s="3">
        <v>0.3125</v>
      </c>
      <c r="P272" t="s">
        <v>85</v>
      </c>
      <c r="Q272" s="3">
        <v>0.3125</v>
      </c>
      <c r="R272" t="b">
        <v>1</v>
      </c>
      <c r="S272" t="s">
        <v>1835</v>
      </c>
    </row>
    <row r="273" spans="1:19" x14ac:dyDescent="0.2">
      <c r="A273">
        <v>265</v>
      </c>
      <c r="B273" t="s">
        <v>1141</v>
      </c>
      <c r="C273" t="s">
        <v>1142</v>
      </c>
      <c r="D273">
        <v>91710</v>
      </c>
      <c r="E273">
        <v>11</v>
      </c>
      <c r="F273">
        <v>120996</v>
      </c>
      <c r="G273" t="s">
        <v>914</v>
      </c>
      <c r="H273" t="s">
        <v>113</v>
      </c>
      <c r="I273" s="3">
        <v>0.33333333333333331</v>
      </c>
      <c r="J273" t="s">
        <v>113</v>
      </c>
      <c r="K273" s="3">
        <v>0.33333333333333331</v>
      </c>
      <c r="L273" t="s">
        <v>113</v>
      </c>
      <c r="M273" s="3">
        <v>0.33333333333333331</v>
      </c>
      <c r="N273" t="s">
        <v>113</v>
      </c>
      <c r="O273" s="3">
        <v>0.33333333333333331</v>
      </c>
      <c r="P273" t="s">
        <v>113</v>
      </c>
      <c r="Q273" s="3">
        <v>0.33333333333333331</v>
      </c>
      <c r="R273" t="b">
        <v>1</v>
      </c>
      <c r="S273" t="s">
        <v>1836</v>
      </c>
    </row>
    <row r="274" spans="1:19" x14ac:dyDescent="0.2">
      <c r="A274">
        <v>266</v>
      </c>
      <c r="B274" t="s">
        <v>978</v>
      </c>
      <c r="C274" t="s">
        <v>1837</v>
      </c>
      <c r="D274">
        <v>91711</v>
      </c>
      <c r="E274">
        <v>0</v>
      </c>
      <c r="F274">
        <v>10362923</v>
      </c>
      <c r="G274" t="s">
        <v>1632</v>
      </c>
      <c r="H274" t="s">
        <v>92</v>
      </c>
      <c r="I274" s="3">
        <v>0.66666666666666663</v>
      </c>
      <c r="J274" t="s">
        <v>92</v>
      </c>
      <c r="K274" s="3">
        <v>0.625</v>
      </c>
      <c r="L274" t="s">
        <v>92</v>
      </c>
      <c r="M274" s="3">
        <v>0.5</v>
      </c>
      <c r="N274" t="s">
        <v>92</v>
      </c>
      <c r="O274" s="3">
        <v>0.58333333333333337</v>
      </c>
      <c r="P274" t="s">
        <v>92</v>
      </c>
      <c r="Q274" s="3">
        <v>0.39583333333333331</v>
      </c>
      <c r="R274" t="b">
        <v>1</v>
      </c>
      <c r="S274" t="s">
        <v>1838</v>
      </c>
    </row>
    <row r="275" spans="1:19" x14ac:dyDescent="0.2">
      <c r="A275">
        <v>267</v>
      </c>
      <c r="B275" t="s">
        <v>1839</v>
      </c>
      <c r="C275" t="s">
        <v>1840</v>
      </c>
      <c r="D275">
        <v>94087</v>
      </c>
      <c r="E275">
        <v>0.1</v>
      </c>
      <c r="F275">
        <v>10369051</v>
      </c>
      <c r="G275" t="s">
        <v>1632</v>
      </c>
      <c r="H275" t="s">
        <v>92</v>
      </c>
      <c r="I275" s="3">
        <v>0.3125</v>
      </c>
      <c r="J275" t="s">
        <v>92</v>
      </c>
      <c r="K275" s="3">
        <v>0.3125</v>
      </c>
      <c r="L275" t="s">
        <v>92</v>
      </c>
      <c r="M275" s="3">
        <v>0.3125</v>
      </c>
      <c r="N275" t="s">
        <v>92</v>
      </c>
      <c r="O275" s="3">
        <v>0.3125</v>
      </c>
      <c r="P275" t="s">
        <v>92</v>
      </c>
      <c r="Q275" s="3">
        <v>0.3125</v>
      </c>
      <c r="R275" t="b">
        <v>1</v>
      </c>
      <c r="S275" t="s">
        <v>1841</v>
      </c>
    </row>
    <row r="276" spans="1:19" x14ac:dyDescent="0.2">
      <c r="A276">
        <v>268</v>
      </c>
      <c r="B276" t="s">
        <v>60</v>
      </c>
      <c r="C276" t="s">
        <v>1323</v>
      </c>
      <c r="D276">
        <v>92405</v>
      </c>
      <c r="E276">
        <v>50</v>
      </c>
      <c r="F276">
        <v>102307258</v>
      </c>
      <c r="G276" t="s">
        <v>914</v>
      </c>
      <c r="H276" t="s">
        <v>103</v>
      </c>
      <c r="I276" s="3">
        <v>0.33333333333333331</v>
      </c>
      <c r="J276" t="s">
        <v>103</v>
      </c>
      <c r="K276" s="3">
        <v>0.33333333333333331</v>
      </c>
      <c r="L276" t="s">
        <v>103</v>
      </c>
      <c r="M276" s="3">
        <v>0.33333333333333331</v>
      </c>
      <c r="N276" t="s">
        <v>103</v>
      </c>
      <c r="O276" s="3">
        <v>0.33333333333333331</v>
      </c>
      <c r="P276" t="s">
        <v>103</v>
      </c>
      <c r="Q276" s="3">
        <v>0.33333333333333331</v>
      </c>
      <c r="R276" t="b">
        <v>1</v>
      </c>
      <c r="S276" t="s">
        <v>1842</v>
      </c>
    </row>
    <row r="277" spans="1:19" x14ac:dyDescent="0.2">
      <c r="A277">
        <v>269</v>
      </c>
      <c r="B277" t="s">
        <v>1843</v>
      </c>
      <c r="C277" t="s">
        <v>1844</v>
      </c>
      <c r="D277">
        <v>21212</v>
      </c>
      <c r="E277">
        <v>0</v>
      </c>
      <c r="F277">
        <v>10369259</v>
      </c>
      <c r="G277" t="s">
        <v>1632</v>
      </c>
      <c r="H277" t="s">
        <v>92</v>
      </c>
      <c r="I277" s="3">
        <v>0.47916666666666669</v>
      </c>
      <c r="J277" t="s">
        <v>92</v>
      </c>
      <c r="K277" s="3">
        <v>0.47916666666666669</v>
      </c>
      <c r="L277" t="s">
        <v>92</v>
      </c>
      <c r="M277" s="3">
        <v>0.47916666666666669</v>
      </c>
      <c r="N277" t="s">
        <v>92</v>
      </c>
      <c r="O277" s="3">
        <v>0.47916666666666669</v>
      </c>
      <c r="P277" t="s">
        <v>92</v>
      </c>
      <c r="Q277" s="3">
        <v>0.47916666666666669</v>
      </c>
      <c r="R277" t="b">
        <v>0</v>
      </c>
      <c r="S277" t="s">
        <v>1845</v>
      </c>
    </row>
    <row r="278" spans="1:19" x14ac:dyDescent="0.2">
      <c r="A278">
        <v>270</v>
      </c>
      <c r="B278" t="s">
        <v>821</v>
      </c>
      <c r="C278" t="s">
        <v>820</v>
      </c>
      <c r="D278">
        <v>91711</v>
      </c>
      <c r="E278">
        <v>1</v>
      </c>
      <c r="F278">
        <v>10364773</v>
      </c>
      <c r="G278" t="s">
        <v>914</v>
      </c>
      <c r="H278" t="s">
        <v>933</v>
      </c>
      <c r="I278" s="3">
        <v>0.33333333333333331</v>
      </c>
      <c r="J278" t="s">
        <v>933</v>
      </c>
      <c r="K278" s="3">
        <v>0.33333333333333331</v>
      </c>
      <c r="L278" t="s">
        <v>933</v>
      </c>
      <c r="M278" s="3">
        <v>0.33333333333333331</v>
      </c>
      <c r="N278" t="s">
        <v>933</v>
      </c>
      <c r="O278" s="3">
        <v>0.33333333333333331</v>
      </c>
      <c r="P278" t="s">
        <v>933</v>
      </c>
      <c r="Q278" s="3">
        <v>0.33333333333333331</v>
      </c>
      <c r="R278" t="b">
        <v>1</v>
      </c>
      <c r="S278" t="s">
        <v>1846</v>
      </c>
    </row>
    <row r="279" spans="1:19" x14ac:dyDescent="0.2">
      <c r="A279">
        <v>271</v>
      </c>
      <c r="B279" t="s">
        <v>532</v>
      </c>
      <c r="C279" t="s">
        <v>531</v>
      </c>
      <c r="D279">
        <v>91711</v>
      </c>
      <c r="E279">
        <v>1</v>
      </c>
      <c r="F279">
        <v>103780071</v>
      </c>
      <c r="G279" t="s">
        <v>914</v>
      </c>
      <c r="H279" t="s">
        <v>113</v>
      </c>
      <c r="I279" s="3">
        <v>0.33333333333333331</v>
      </c>
      <c r="J279" t="s">
        <v>113</v>
      </c>
      <c r="K279" s="3">
        <v>0.33333333333333331</v>
      </c>
      <c r="L279" t="s">
        <v>113</v>
      </c>
      <c r="M279" s="3">
        <v>0.33333333333333331</v>
      </c>
      <c r="N279" t="s">
        <v>92</v>
      </c>
      <c r="O279" s="3">
        <v>0.33333333333333331</v>
      </c>
      <c r="P279" t="s">
        <v>92</v>
      </c>
      <c r="Q279" s="3">
        <v>0.33333333333333331</v>
      </c>
      <c r="R279" t="b">
        <v>1</v>
      </c>
      <c r="S279" t="s">
        <v>1847</v>
      </c>
    </row>
    <row r="280" spans="1:19" x14ac:dyDescent="0.2">
      <c r="A280">
        <v>272</v>
      </c>
      <c r="B280" t="s">
        <v>453</v>
      </c>
      <c r="C280" t="s">
        <v>452</v>
      </c>
      <c r="D280">
        <v>91711</v>
      </c>
      <c r="E280">
        <v>1</v>
      </c>
      <c r="F280">
        <v>10105699</v>
      </c>
      <c r="G280" t="s">
        <v>914</v>
      </c>
      <c r="H280" t="s">
        <v>933</v>
      </c>
      <c r="I280" s="3">
        <v>0.33333333333333331</v>
      </c>
      <c r="J280" t="s">
        <v>933</v>
      </c>
      <c r="K280" s="3">
        <v>0.33333333333333331</v>
      </c>
      <c r="L280" t="s">
        <v>103</v>
      </c>
      <c r="M280" s="3">
        <v>0.33333333333333331</v>
      </c>
      <c r="N280" t="s">
        <v>103</v>
      </c>
      <c r="O280" s="3">
        <v>0.33333333333333331</v>
      </c>
      <c r="P280" t="s">
        <v>933</v>
      </c>
      <c r="Q280" s="3">
        <v>0.33333333333333331</v>
      </c>
      <c r="R280" t="b">
        <v>1</v>
      </c>
      <c r="S280" t="s">
        <v>1848</v>
      </c>
    </row>
    <row r="281" spans="1:19" x14ac:dyDescent="0.2">
      <c r="A281">
        <v>273</v>
      </c>
      <c r="B281" t="s">
        <v>71</v>
      </c>
      <c r="C281" t="s">
        <v>70</v>
      </c>
      <c r="D281">
        <v>92506</v>
      </c>
      <c r="E281">
        <v>35</v>
      </c>
      <c r="F281">
        <v>10358351</v>
      </c>
      <c r="G281" t="s">
        <v>914</v>
      </c>
      <c r="H281" t="s">
        <v>103</v>
      </c>
      <c r="I281" s="3">
        <v>0.33333333333333331</v>
      </c>
      <c r="J281" t="s">
        <v>113</v>
      </c>
      <c r="K281" s="3">
        <v>0.33333333333333331</v>
      </c>
      <c r="L281" t="s">
        <v>113</v>
      </c>
      <c r="M281" s="3">
        <v>0.33333333333333331</v>
      </c>
      <c r="N281" t="s">
        <v>113</v>
      </c>
      <c r="O281" s="3">
        <v>0.33333333333333331</v>
      </c>
      <c r="P281" t="s">
        <v>103</v>
      </c>
      <c r="Q281" s="3">
        <v>0.33333333333333331</v>
      </c>
      <c r="R281" t="b">
        <v>1</v>
      </c>
      <c r="S281" t="s">
        <v>1849</v>
      </c>
    </row>
    <row r="282" spans="1:19" x14ac:dyDescent="0.2">
      <c r="A282">
        <v>274</v>
      </c>
      <c r="B282" t="s">
        <v>1850</v>
      </c>
      <c r="C282" t="s">
        <v>1851</v>
      </c>
      <c r="D282">
        <v>91711</v>
      </c>
      <c r="E282">
        <v>0.5</v>
      </c>
      <c r="F282">
        <v>10365015</v>
      </c>
      <c r="G282" t="s">
        <v>1632</v>
      </c>
      <c r="H282" t="s">
        <v>92</v>
      </c>
      <c r="I282" s="3">
        <v>0.41666666666666669</v>
      </c>
      <c r="J282" t="s">
        <v>202</v>
      </c>
      <c r="K282" s="3">
        <v>0.25</v>
      </c>
      <c r="L282" t="s">
        <v>92</v>
      </c>
      <c r="M282" s="3">
        <v>0.41666666666666669</v>
      </c>
      <c r="N282" t="s">
        <v>202</v>
      </c>
      <c r="O282" s="3">
        <v>0.25</v>
      </c>
      <c r="P282" t="s">
        <v>92</v>
      </c>
      <c r="Q282" s="3">
        <v>0.375</v>
      </c>
      <c r="R282" t="b">
        <v>1</v>
      </c>
      <c r="S282" t="s">
        <v>1852</v>
      </c>
    </row>
    <row r="283" spans="1:19" x14ac:dyDescent="0.2">
      <c r="A283">
        <v>275</v>
      </c>
      <c r="B283" t="s">
        <v>1853</v>
      </c>
      <c r="C283" t="s">
        <v>1854</v>
      </c>
      <c r="D283">
        <v>91711</v>
      </c>
      <c r="E283">
        <v>0.3</v>
      </c>
      <c r="F283">
        <v>10366082</v>
      </c>
      <c r="G283" t="s">
        <v>1632</v>
      </c>
      <c r="H283" t="s">
        <v>103</v>
      </c>
      <c r="I283" s="3">
        <v>0.70833333333333337</v>
      </c>
      <c r="J283" t="s">
        <v>202</v>
      </c>
      <c r="K283" s="3">
        <v>0.45833333333333331</v>
      </c>
      <c r="L283" t="s">
        <v>202</v>
      </c>
      <c r="M283" s="3">
        <v>0.45833333333333331</v>
      </c>
      <c r="N283" t="s">
        <v>92</v>
      </c>
      <c r="O283" s="3">
        <v>0.45833333333333331</v>
      </c>
      <c r="P283" t="s">
        <v>98</v>
      </c>
      <c r="Q283" s="3">
        <v>0.54166666666666663</v>
      </c>
      <c r="R283" t="b">
        <v>0</v>
      </c>
      <c r="S283" t="s">
        <v>1855</v>
      </c>
    </row>
    <row r="284" spans="1:19" x14ac:dyDescent="0.2">
      <c r="A284">
        <v>276</v>
      </c>
      <c r="B284" t="s">
        <v>1050</v>
      </c>
      <c r="C284" t="s">
        <v>487</v>
      </c>
      <c r="D284">
        <v>91750</v>
      </c>
      <c r="E284">
        <v>5</v>
      </c>
      <c r="F284">
        <v>10018465</v>
      </c>
      <c r="G284" t="s">
        <v>914</v>
      </c>
      <c r="H284" t="s">
        <v>113</v>
      </c>
      <c r="I284" s="3">
        <v>0.33333333333333331</v>
      </c>
      <c r="J284" t="s">
        <v>113</v>
      </c>
      <c r="K284" s="3">
        <v>0.33333333333333331</v>
      </c>
      <c r="L284" t="s">
        <v>103</v>
      </c>
      <c r="M284" s="3">
        <v>0.33333333333333331</v>
      </c>
      <c r="N284" t="s">
        <v>113</v>
      </c>
      <c r="O284" s="3">
        <v>0.33333333333333331</v>
      </c>
      <c r="P284" t="s">
        <v>113</v>
      </c>
      <c r="Q284" s="3">
        <v>0.33333333333333331</v>
      </c>
      <c r="R284" t="b">
        <v>1</v>
      </c>
      <c r="S284" t="s">
        <v>1856</v>
      </c>
    </row>
    <row r="285" spans="1:19" x14ac:dyDescent="0.2">
      <c r="A285">
        <v>277</v>
      </c>
      <c r="B285" t="s">
        <v>1128</v>
      </c>
      <c r="C285" t="s">
        <v>423</v>
      </c>
      <c r="D285">
        <v>91709</v>
      </c>
      <c r="E285">
        <v>10</v>
      </c>
      <c r="F285">
        <v>10196502</v>
      </c>
      <c r="G285" t="s">
        <v>914</v>
      </c>
      <c r="H285" t="s">
        <v>103</v>
      </c>
      <c r="I285" s="3">
        <v>0.33333333333333331</v>
      </c>
      <c r="J285" t="s">
        <v>113</v>
      </c>
      <c r="K285" s="3">
        <v>0.33333333333333331</v>
      </c>
      <c r="L285" t="s">
        <v>113</v>
      </c>
      <c r="M285" s="3">
        <v>0.33333333333333331</v>
      </c>
      <c r="N285" t="s">
        <v>113</v>
      </c>
      <c r="O285" s="3">
        <v>0.33333333333333331</v>
      </c>
      <c r="P285" t="s">
        <v>103</v>
      </c>
      <c r="Q285" s="3">
        <v>0.33333333333333331</v>
      </c>
      <c r="R285" t="b">
        <v>1</v>
      </c>
      <c r="S285" t="s">
        <v>1857</v>
      </c>
    </row>
    <row r="286" spans="1:19" x14ac:dyDescent="0.2">
      <c r="A286">
        <v>278</v>
      </c>
      <c r="B286" t="s">
        <v>994</v>
      </c>
      <c r="C286" t="s">
        <v>293</v>
      </c>
      <c r="D286">
        <v>91711</v>
      </c>
      <c r="E286">
        <v>3</v>
      </c>
      <c r="F286">
        <v>103725701</v>
      </c>
      <c r="G286" t="s">
        <v>919</v>
      </c>
      <c r="H286" t="s">
        <v>113</v>
      </c>
      <c r="I286" s="3">
        <v>0.33333333333333331</v>
      </c>
      <c r="J286" t="s">
        <v>113</v>
      </c>
      <c r="K286" s="3">
        <v>0.33333333333333331</v>
      </c>
      <c r="L286" t="s">
        <v>113</v>
      </c>
      <c r="M286" s="3">
        <v>0.33333333333333331</v>
      </c>
      <c r="N286" t="s">
        <v>113</v>
      </c>
      <c r="O286" s="3">
        <v>0.33333333333333331</v>
      </c>
      <c r="P286" t="s">
        <v>113</v>
      </c>
      <c r="Q286" s="3">
        <v>0.33333333333333331</v>
      </c>
      <c r="R286" t="b">
        <v>1</v>
      </c>
      <c r="S286" t="s">
        <v>1858</v>
      </c>
    </row>
    <row r="287" spans="1:19" x14ac:dyDescent="0.2">
      <c r="A287">
        <v>279</v>
      </c>
      <c r="B287" t="s">
        <v>651</v>
      </c>
      <c r="C287" t="s">
        <v>650</v>
      </c>
      <c r="D287">
        <v>91711</v>
      </c>
      <c r="E287">
        <v>1</v>
      </c>
      <c r="F287">
        <v>10368798</v>
      </c>
      <c r="G287" t="s">
        <v>914</v>
      </c>
      <c r="H287" t="s">
        <v>113</v>
      </c>
      <c r="I287" s="3">
        <v>0.33333333333333331</v>
      </c>
      <c r="J287" t="s">
        <v>113</v>
      </c>
      <c r="K287" s="3">
        <v>0.33333333333333331</v>
      </c>
      <c r="L287" t="s">
        <v>113</v>
      </c>
      <c r="M287" s="3">
        <v>0.33333333333333331</v>
      </c>
      <c r="N287" t="s">
        <v>113</v>
      </c>
      <c r="O287" s="3">
        <v>0.33333333333333331</v>
      </c>
      <c r="P287" t="s">
        <v>113</v>
      </c>
      <c r="Q287" s="3">
        <v>0.33333333333333331</v>
      </c>
      <c r="R287" t="b">
        <v>1</v>
      </c>
      <c r="S287" t="s">
        <v>1859</v>
      </c>
    </row>
    <row r="288" spans="1:19" x14ac:dyDescent="0.2">
      <c r="A288">
        <v>280</v>
      </c>
      <c r="B288" t="s">
        <v>237</v>
      </c>
      <c r="C288" t="s">
        <v>236</v>
      </c>
      <c r="D288">
        <v>91711</v>
      </c>
      <c r="E288">
        <v>1.2</v>
      </c>
      <c r="F288">
        <v>100067671</v>
      </c>
      <c r="G288" t="s">
        <v>914</v>
      </c>
      <c r="H288" t="s">
        <v>92</v>
      </c>
      <c r="I288" s="3">
        <v>0.33333333333333331</v>
      </c>
      <c r="J288" t="s">
        <v>92</v>
      </c>
      <c r="K288" s="3">
        <v>0.35416666666666669</v>
      </c>
      <c r="L288" t="s">
        <v>92</v>
      </c>
      <c r="M288" s="3">
        <v>0.35416666666666669</v>
      </c>
      <c r="N288" t="s">
        <v>92</v>
      </c>
      <c r="O288" s="3">
        <v>0.33333333333333331</v>
      </c>
      <c r="P288" t="s">
        <v>92</v>
      </c>
      <c r="Q288" s="3">
        <v>0.35416666666666669</v>
      </c>
      <c r="R288" t="b">
        <v>1</v>
      </c>
      <c r="S288" t="s">
        <v>1860</v>
      </c>
    </row>
    <row r="289" spans="1:19" x14ac:dyDescent="0.2">
      <c r="A289">
        <v>281</v>
      </c>
      <c r="B289" t="s">
        <v>667</v>
      </c>
      <c r="C289" t="s">
        <v>666</v>
      </c>
      <c r="D289">
        <v>92570</v>
      </c>
      <c r="E289">
        <v>39.299999999999997</v>
      </c>
      <c r="F289">
        <v>10373098</v>
      </c>
      <c r="G289" t="s">
        <v>914</v>
      </c>
      <c r="H289" t="s">
        <v>74</v>
      </c>
      <c r="I289" s="3">
        <v>0.35416666666666669</v>
      </c>
      <c r="J289" t="s">
        <v>74</v>
      </c>
      <c r="K289" s="3">
        <v>0.35416666666666669</v>
      </c>
      <c r="L289" t="s">
        <v>74</v>
      </c>
      <c r="M289" s="3">
        <v>0.35416666666666669</v>
      </c>
      <c r="N289" t="s">
        <v>74</v>
      </c>
      <c r="O289" s="3">
        <v>0.35416666666666669</v>
      </c>
      <c r="P289" t="s">
        <v>74</v>
      </c>
      <c r="Q289" s="3">
        <v>0.35416666666666669</v>
      </c>
      <c r="R289" t="b">
        <v>1</v>
      </c>
      <c r="S289" t="s">
        <v>1861</v>
      </c>
    </row>
    <row r="290" spans="1:19" x14ac:dyDescent="0.2">
      <c r="A290">
        <v>282</v>
      </c>
      <c r="B290" t="s">
        <v>299</v>
      </c>
      <c r="C290" t="s">
        <v>1306</v>
      </c>
      <c r="D290">
        <v>92397</v>
      </c>
      <c r="E290">
        <v>40</v>
      </c>
      <c r="F290">
        <v>10371896</v>
      </c>
      <c r="G290" t="s">
        <v>914</v>
      </c>
      <c r="H290" t="s">
        <v>103</v>
      </c>
      <c r="I290" s="3">
        <v>0.33333333333333331</v>
      </c>
      <c r="J290" t="s">
        <v>113</v>
      </c>
      <c r="K290" s="3">
        <v>0.33333333333333331</v>
      </c>
      <c r="L290" t="s">
        <v>103</v>
      </c>
      <c r="M290" s="3">
        <v>0.33333333333333331</v>
      </c>
      <c r="N290" t="s">
        <v>113</v>
      </c>
      <c r="O290" s="3">
        <v>0.33333333333333331</v>
      </c>
      <c r="P290" t="s">
        <v>113</v>
      </c>
      <c r="Q290" s="3">
        <v>0.33333333333333331</v>
      </c>
      <c r="R290" t="b">
        <v>1</v>
      </c>
      <c r="S290" t="s">
        <v>1862</v>
      </c>
    </row>
    <row r="291" spans="1:19" x14ac:dyDescent="0.2">
      <c r="A291">
        <v>283</v>
      </c>
      <c r="B291" t="s">
        <v>258</v>
      </c>
      <c r="C291" t="s">
        <v>257</v>
      </c>
      <c r="D291">
        <v>91103</v>
      </c>
      <c r="E291">
        <v>26</v>
      </c>
      <c r="F291">
        <v>103713841</v>
      </c>
      <c r="G291" t="s">
        <v>914</v>
      </c>
      <c r="H291" t="s">
        <v>103</v>
      </c>
      <c r="I291" s="3">
        <v>0.35416666666666669</v>
      </c>
      <c r="J291" t="s">
        <v>74</v>
      </c>
      <c r="K291" s="3">
        <v>0.3125</v>
      </c>
      <c r="L291" t="s">
        <v>74</v>
      </c>
      <c r="M291" s="3">
        <v>0.3125</v>
      </c>
      <c r="N291" t="s">
        <v>74</v>
      </c>
      <c r="O291" s="3">
        <v>0.3125</v>
      </c>
      <c r="P291" t="s">
        <v>103</v>
      </c>
      <c r="Q291" s="3">
        <v>0.35416666666666669</v>
      </c>
      <c r="R291" t="b">
        <v>1</v>
      </c>
      <c r="S291" t="s">
        <v>1863</v>
      </c>
    </row>
    <row r="292" spans="1:19" x14ac:dyDescent="0.2">
      <c r="A292">
        <v>284</v>
      </c>
      <c r="B292" t="s">
        <v>1177</v>
      </c>
      <c r="C292" t="s">
        <v>1178</v>
      </c>
      <c r="D292">
        <v>91706</v>
      </c>
      <c r="E292">
        <v>15</v>
      </c>
      <c r="F292">
        <v>10042321</v>
      </c>
      <c r="G292" t="s">
        <v>914</v>
      </c>
      <c r="H292" t="s">
        <v>103</v>
      </c>
      <c r="I292" s="3">
        <v>0.33333333333333331</v>
      </c>
      <c r="J292" t="s">
        <v>103</v>
      </c>
      <c r="K292" s="3">
        <v>0.33333333333333331</v>
      </c>
      <c r="L292" t="s">
        <v>195</v>
      </c>
      <c r="M292" s="3">
        <v>0.33333333333333331</v>
      </c>
      <c r="N292" t="s">
        <v>74</v>
      </c>
      <c r="O292" s="3">
        <v>0.33333333333333331</v>
      </c>
      <c r="P292" t="s">
        <v>74</v>
      </c>
      <c r="Q292" s="3">
        <v>0.33333333333333331</v>
      </c>
      <c r="R292" t="b">
        <v>1</v>
      </c>
      <c r="S292" t="s">
        <v>1864</v>
      </c>
    </row>
    <row r="293" spans="1:19" x14ac:dyDescent="0.2">
      <c r="A293">
        <v>285</v>
      </c>
      <c r="B293" t="s">
        <v>902</v>
      </c>
      <c r="C293" t="s">
        <v>1865</v>
      </c>
      <c r="D293">
        <v>94301</v>
      </c>
      <c r="E293">
        <v>1</v>
      </c>
      <c r="F293">
        <v>122895</v>
      </c>
      <c r="G293" t="s">
        <v>1638</v>
      </c>
      <c r="H293" t="s">
        <v>98</v>
      </c>
      <c r="I293" s="3">
        <v>0.33333333333333331</v>
      </c>
      <c r="J293" t="s">
        <v>98</v>
      </c>
      <c r="K293" s="3">
        <v>0.33333333333333331</v>
      </c>
      <c r="L293" t="s">
        <v>98</v>
      </c>
      <c r="M293" s="3">
        <v>0.33333333333333331</v>
      </c>
      <c r="N293" t="s">
        <v>98</v>
      </c>
      <c r="O293" s="3">
        <v>0.33333333333333331</v>
      </c>
      <c r="P293" t="s">
        <v>202</v>
      </c>
      <c r="Q293" s="3">
        <v>0.25</v>
      </c>
      <c r="R293" t="b">
        <v>1</v>
      </c>
      <c r="S293" t="s">
        <v>1866</v>
      </c>
    </row>
    <row r="294" spans="1:19" x14ac:dyDescent="0.2">
      <c r="A294">
        <v>286</v>
      </c>
      <c r="B294" t="s">
        <v>1867</v>
      </c>
      <c r="C294" t="s">
        <v>1868</v>
      </c>
      <c r="D294">
        <v>91001</v>
      </c>
      <c r="E294">
        <v>28.5</v>
      </c>
      <c r="F294">
        <v>10372662</v>
      </c>
      <c r="G294" t="s">
        <v>1495</v>
      </c>
      <c r="H294" t="s">
        <v>933</v>
      </c>
      <c r="I294" s="3">
        <v>0.375</v>
      </c>
      <c r="J294" t="s">
        <v>103</v>
      </c>
      <c r="K294" s="3">
        <v>0.375</v>
      </c>
      <c r="L294" t="s">
        <v>933</v>
      </c>
      <c r="M294" s="3">
        <v>0.375</v>
      </c>
      <c r="N294" t="s">
        <v>113</v>
      </c>
      <c r="O294" s="3">
        <v>0.375</v>
      </c>
      <c r="P294" t="s">
        <v>103</v>
      </c>
      <c r="Q294" s="3">
        <v>0.375</v>
      </c>
      <c r="R294" t="b">
        <v>1</v>
      </c>
      <c r="S294" t="s">
        <v>1869</v>
      </c>
    </row>
    <row r="295" spans="1:19" x14ac:dyDescent="0.2">
      <c r="A295">
        <v>287</v>
      </c>
      <c r="B295" t="s">
        <v>1065</v>
      </c>
      <c r="C295" t="s">
        <v>1066</v>
      </c>
      <c r="D295">
        <v>91730</v>
      </c>
      <c r="E295">
        <v>6</v>
      </c>
      <c r="F295">
        <v>10352784</v>
      </c>
      <c r="G295" t="s">
        <v>914</v>
      </c>
      <c r="H295" t="s">
        <v>113</v>
      </c>
      <c r="I295" s="3">
        <v>0.35416666666666669</v>
      </c>
      <c r="J295" t="s">
        <v>113</v>
      </c>
      <c r="K295" s="3">
        <v>0.35416666666666669</v>
      </c>
      <c r="L295" t="s">
        <v>113</v>
      </c>
      <c r="M295" s="3">
        <v>0.35416666666666669</v>
      </c>
      <c r="N295" t="s">
        <v>113</v>
      </c>
      <c r="O295" s="3">
        <v>0.35416666666666669</v>
      </c>
      <c r="P295" t="s">
        <v>113</v>
      </c>
      <c r="Q295" s="3">
        <v>0.35416666666666669</v>
      </c>
      <c r="R295" t="b">
        <v>1</v>
      </c>
      <c r="S295" t="s">
        <v>1870</v>
      </c>
    </row>
    <row r="296" spans="1:19" x14ac:dyDescent="0.2">
      <c r="A296">
        <v>288</v>
      </c>
      <c r="B296" t="s">
        <v>671</v>
      </c>
      <c r="C296" t="s">
        <v>670</v>
      </c>
      <c r="D296">
        <v>91007</v>
      </c>
      <c r="E296">
        <v>22</v>
      </c>
      <c r="F296" t="s">
        <v>1236</v>
      </c>
      <c r="G296" t="s">
        <v>914</v>
      </c>
      <c r="H296" t="s">
        <v>113</v>
      </c>
      <c r="I296" s="3">
        <v>0.20833333333333334</v>
      </c>
      <c r="J296" t="s">
        <v>113</v>
      </c>
      <c r="K296" s="3">
        <v>0.20833333333333334</v>
      </c>
      <c r="L296" t="s">
        <v>113</v>
      </c>
      <c r="M296" s="3">
        <v>0.20833333333333334</v>
      </c>
      <c r="N296" t="s">
        <v>113</v>
      </c>
      <c r="O296" s="3">
        <v>0.20833333333333334</v>
      </c>
      <c r="P296" t="s">
        <v>113</v>
      </c>
      <c r="Q296" s="3">
        <v>0.20833333333333334</v>
      </c>
      <c r="R296" t="b">
        <v>0</v>
      </c>
      <c r="S296" t="s">
        <v>1871</v>
      </c>
    </row>
    <row r="297" spans="1:19" x14ac:dyDescent="0.2">
      <c r="A297">
        <v>289</v>
      </c>
      <c r="B297" t="s">
        <v>311</v>
      </c>
      <c r="C297" t="s">
        <v>308</v>
      </c>
      <c r="D297">
        <v>91786</v>
      </c>
      <c r="E297">
        <v>2.2000000000000002</v>
      </c>
      <c r="F297">
        <v>103731316</v>
      </c>
      <c r="G297" t="s">
        <v>914</v>
      </c>
      <c r="H297" t="s">
        <v>103</v>
      </c>
      <c r="I297" s="3">
        <v>0.33333333333333331</v>
      </c>
      <c r="J297" t="s">
        <v>113</v>
      </c>
      <c r="K297" s="3">
        <v>0.33333333333333331</v>
      </c>
      <c r="L297" t="s">
        <v>113</v>
      </c>
      <c r="M297" s="3">
        <v>0.33333333333333331</v>
      </c>
      <c r="N297" t="s">
        <v>113</v>
      </c>
      <c r="O297" s="3">
        <v>0.33333333333333331</v>
      </c>
      <c r="P297" t="s">
        <v>103</v>
      </c>
      <c r="Q297" s="3">
        <v>0.33333333333333331</v>
      </c>
      <c r="R297" t="b">
        <v>1</v>
      </c>
      <c r="S297" t="s">
        <v>1872</v>
      </c>
    </row>
    <row r="298" spans="1:19" x14ac:dyDescent="0.2">
      <c r="A298">
        <v>290</v>
      </c>
      <c r="B298" t="s">
        <v>221</v>
      </c>
      <c r="C298" t="s">
        <v>218</v>
      </c>
      <c r="D298">
        <v>91711</v>
      </c>
      <c r="E298">
        <v>1</v>
      </c>
      <c r="F298">
        <v>10363207</v>
      </c>
      <c r="G298" t="s">
        <v>914</v>
      </c>
      <c r="H298" t="s">
        <v>103</v>
      </c>
      <c r="I298" s="3">
        <v>0.33333333333333331</v>
      </c>
      <c r="J298" t="s">
        <v>92</v>
      </c>
      <c r="K298" s="3">
        <v>0.33333333333333331</v>
      </c>
      <c r="L298" t="s">
        <v>92</v>
      </c>
      <c r="M298" s="3">
        <v>0.33333333333333331</v>
      </c>
      <c r="N298" t="s">
        <v>92</v>
      </c>
      <c r="O298" s="3">
        <v>0.33333333333333331</v>
      </c>
      <c r="P298" t="s">
        <v>92</v>
      </c>
      <c r="Q298" s="3">
        <v>0.33333333333333331</v>
      </c>
      <c r="R298" t="b">
        <v>1</v>
      </c>
      <c r="S298" t="s">
        <v>1873</v>
      </c>
    </row>
    <row r="299" spans="1:19" x14ac:dyDescent="0.2">
      <c r="A299">
        <v>291</v>
      </c>
      <c r="B299" t="s">
        <v>1874</v>
      </c>
      <c r="C299" t="s">
        <v>1875</v>
      </c>
      <c r="D299">
        <v>91711</v>
      </c>
      <c r="E299">
        <v>1</v>
      </c>
      <c r="F299">
        <v>10029852</v>
      </c>
      <c r="G299" t="s">
        <v>1495</v>
      </c>
      <c r="H299" t="s">
        <v>113</v>
      </c>
      <c r="I299" s="3">
        <v>0.41666666666666669</v>
      </c>
      <c r="J299" t="s">
        <v>113</v>
      </c>
      <c r="K299" s="3">
        <v>0.35416666666666669</v>
      </c>
      <c r="L299" t="s">
        <v>113</v>
      </c>
      <c r="M299" s="3">
        <v>0.41666666666666669</v>
      </c>
      <c r="N299" t="s">
        <v>113</v>
      </c>
      <c r="O299" s="3">
        <v>0.35416666666666669</v>
      </c>
      <c r="P299" t="s">
        <v>113</v>
      </c>
      <c r="Q299" s="3">
        <v>0.33333333333333331</v>
      </c>
      <c r="R299" t="b">
        <v>1</v>
      </c>
      <c r="S299" t="s">
        <v>1876</v>
      </c>
    </row>
    <row r="300" spans="1:19" x14ac:dyDescent="0.2">
      <c r="A300">
        <v>292</v>
      </c>
      <c r="B300" t="s">
        <v>333</v>
      </c>
      <c r="C300" t="s">
        <v>1877</v>
      </c>
      <c r="D300">
        <v>91767</v>
      </c>
      <c r="E300">
        <v>1.8</v>
      </c>
      <c r="F300">
        <v>101864131</v>
      </c>
      <c r="G300" t="s">
        <v>1495</v>
      </c>
      <c r="H300" t="s">
        <v>113</v>
      </c>
      <c r="I300" s="3">
        <v>0.33333333333333331</v>
      </c>
      <c r="J300" t="s">
        <v>113</v>
      </c>
      <c r="K300" s="3">
        <v>0.33333333333333331</v>
      </c>
      <c r="L300" t="s">
        <v>113</v>
      </c>
      <c r="M300" s="3">
        <v>0.33333333333333331</v>
      </c>
      <c r="N300" t="s">
        <v>113</v>
      </c>
      <c r="O300" s="3">
        <v>0.33333333333333331</v>
      </c>
      <c r="P300" t="s">
        <v>113</v>
      </c>
      <c r="Q300" s="3">
        <v>0.33333333333333331</v>
      </c>
      <c r="R300" t="b">
        <v>1</v>
      </c>
      <c r="S300" t="s">
        <v>1878</v>
      </c>
    </row>
    <row r="301" spans="1:19" x14ac:dyDescent="0.2">
      <c r="A301">
        <v>293</v>
      </c>
      <c r="B301" t="s">
        <v>406</v>
      </c>
      <c r="C301" t="s">
        <v>415</v>
      </c>
      <c r="D301">
        <v>91711</v>
      </c>
      <c r="E301">
        <v>2</v>
      </c>
      <c r="F301">
        <v>118949</v>
      </c>
      <c r="G301" t="s">
        <v>914</v>
      </c>
      <c r="H301" t="s">
        <v>113</v>
      </c>
      <c r="I301" s="3">
        <v>0.33333333333333331</v>
      </c>
      <c r="J301" t="s">
        <v>113</v>
      </c>
      <c r="K301" s="3">
        <v>0.33333333333333331</v>
      </c>
      <c r="L301" t="s">
        <v>113</v>
      </c>
      <c r="M301" s="3">
        <v>0.33333333333333331</v>
      </c>
      <c r="N301" t="s">
        <v>113</v>
      </c>
      <c r="O301" s="3">
        <v>0.33333333333333331</v>
      </c>
      <c r="P301" t="s">
        <v>113</v>
      </c>
      <c r="Q301" s="3">
        <v>0.33333333333333331</v>
      </c>
      <c r="R301" t="b">
        <v>1</v>
      </c>
      <c r="S301" t="s">
        <v>1879</v>
      </c>
    </row>
    <row r="302" spans="1:19" x14ac:dyDescent="0.2">
      <c r="A302">
        <v>294</v>
      </c>
      <c r="B302" t="s">
        <v>497</v>
      </c>
      <c r="C302" t="s">
        <v>496</v>
      </c>
      <c r="D302">
        <v>91786</v>
      </c>
      <c r="E302">
        <v>2</v>
      </c>
      <c r="F302">
        <v>10370979</v>
      </c>
      <c r="G302" t="s">
        <v>914</v>
      </c>
      <c r="H302" t="s">
        <v>113</v>
      </c>
      <c r="I302" s="3">
        <v>0.35416666666666669</v>
      </c>
      <c r="J302" t="s">
        <v>103</v>
      </c>
      <c r="K302" s="3">
        <v>0.33333333333333331</v>
      </c>
      <c r="L302" t="s">
        <v>113</v>
      </c>
      <c r="M302" s="3">
        <v>0.35416666666666669</v>
      </c>
      <c r="N302" t="s">
        <v>113</v>
      </c>
      <c r="O302" s="3">
        <v>0.35416666666666669</v>
      </c>
      <c r="P302" t="s">
        <v>103</v>
      </c>
      <c r="Q302" s="3">
        <v>0.33333333333333331</v>
      </c>
      <c r="R302" t="b">
        <v>1</v>
      </c>
      <c r="S302" t="s">
        <v>1880</v>
      </c>
    </row>
    <row r="303" spans="1:19" x14ac:dyDescent="0.2">
      <c r="A303">
        <v>295</v>
      </c>
      <c r="B303" t="s">
        <v>497</v>
      </c>
      <c r="C303" t="s">
        <v>912</v>
      </c>
      <c r="D303">
        <v>91739</v>
      </c>
      <c r="E303">
        <v>12</v>
      </c>
      <c r="F303">
        <v>103734081</v>
      </c>
      <c r="G303" t="s">
        <v>914</v>
      </c>
      <c r="H303" t="s">
        <v>103</v>
      </c>
      <c r="I303" s="3">
        <v>0.33333333333333331</v>
      </c>
      <c r="J303" t="s">
        <v>113</v>
      </c>
      <c r="K303" s="3">
        <v>0.33333333333333331</v>
      </c>
      <c r="L303" t="s">
        <v>113</v>
      </c>
      <c r="M303" s="3">
        <v>0.33333333333333331</v>
      </c>
      <c r="N303" t="s">
        <v>113</v>
      </c>
      <c r="O303" s="3">
        <v>0.33333333333333331</v>
      </c>
      <c r="P303" t="s">
        <v>113</v>
      </c>
      <c r="Q303" s="3">
        <v>0.33333333333333331</v>
      </c>
      <c r="R303" t="b">
        <v>1</v>
      </c>
      <c r="S303" t="s">
        <v>1881</v>
      </c>
    </row>
    <row r="304" spans="1:19" x14ac:dyDescent="0.2">
      <c r="A304">
        <v>296</v>
      </c>
      <c r="B304" t="s">
        <v>1882</v>
      </c>
      <c r="C304" t="s">
        <v>1883</v>
      </c>
      <c r="D304">
        <v>95864</v>
      </c>
      <c r="E304">
        <v>0</v>
      </c>
      <c r="F304">
        <v>10364479</v>
      </c>
      <c r="G304" t="s">
        <v>1632</v>
      </c>
      <c r="H304" t="s">
        <v>92</v>
      </c>
      <c r="I304" s="3">
        <v>0.41666666666666669</v>
      </c>
      <c r="J304" t="s">
        <v>92</v>
      </c>
      <c r="K304" s="3">
        <v>0.41666666666666669</v>
      </c>
      <c r="L304" t="s">
        <v>92</v>
      </c>
      <c r="M304" s="3">
        <v>0.41666666666666669</v>
      </c>
      <c r="N304" t="s">
        <v>92</v>
      </c>
      <c r="O304" s="3">
        <v>0.41666666666666669</v>
      </c>
      <c r="P304" t="s">
        <v>92</v>
      </c>
      <c r="Q304" s="3">
        <v>0.41666666666666669</v>
      </c>
      <c r="R304" t="b">
        <v>1</v>
      </c>
      <c r="S304" t="s">
        <v>1884</v>
      </c>
    </row>
    <row r="305" spans="1:19" x14ac:dyDescent="0.2">
      <c r="A305">
        <v>297</v>
      </c>
      <c r="B305" t="s">
        <v>381</v>
      </c>
      <c r="C305" t="s">
        <v>480</v>
      </c>
      <c r="D305">
        <v>92807</v>
      </c>
      <c r="E305">
        <v>30</v>
      </c>
      <c r="F305">
        <v>10299552</v>
      </c>
      <c r="G305" t="s">
        <v>914</v>
      </c>
      <c r="H305" t="s">
        <v>113</v>
      </c>
      <c r="I305" s="3">
        <v>0.33333333333333331</v>
      </c>
      <c r="J305" t="s">
        <v>113</v>
      </c>
      <c r="K305" s="3">
        <v>0.33333333333333331</v>
      </c>
      <c r="L305" t="s">
        <v>113</v>
      </c>
      <c r="M305" s="3">
        <v>0.33333333333333331</v>
      </c>
      <c r="N305" t="s">
        <v>113</v>
      </c>
      <c r="O305" s="3">
        <v>0.33333333333333331</v>
      </c>
      <c r="P305" t="s">
        <v>113</v>
      </c>
      <c r="Q305" s="3">
        <v>0.33333333333333331</v>
      </c>
      <c r="R305" t="b">
        <v>1</v>
      </c>
      <c r="S305" t="s">
        <v>1885</v>
      </c>
    </row>
    <row r="306" spans="1:19" x14ac:dyDescent="0.2">
      <c r="A306">
        <v>298</v>
      </c>
      <c r="B306" t="s">
        <v>960</v>
      </c>
      <c r="C306" t="s">
        <v>961</v>
      </c>
      <c r="D306">
        <v>91763</v>
      </c>
      <c r="E306">
        <v>2</v>
      </c>
      <c r="F306">
        <v>10368483</v>
      </c>
      <c r="G306" t="s">
        <v>914</v>
      </c>
      <c r="H306" t="s">
        <v>113</v>
      </c>
      <c r="I306" s="3">
        <v>0.25</v>
      </c>
      <c r="J306" t="s">
        <v>113</v>
      </c>
      <c r="K306" s="3">
        <v>0.25</v>
      </c>
      <c r="L306" t="s">
        <v>74</v>
      </c>
      <c r="M306" s="3">
        <v>0.25</v>
      </c>
      <c r="N306" t="s">
        <v>113</v>
      </c>
      <c r="O306" s="3">
        <v>0.25</v>
      </c>
      <c r="P306" t="s">
        <v>74</v>
      </c>
      <c r="Q306" s="3">
        <v>0.25</v>
      </c>
      <c r="R306" t="b">
        <v>1</v>
      </c>
      <c r="S306" t="s">
        <v>1886</v>
      </c>
    </row>
    <row r="307" spans="1:19" x14ac:dyDescent="0.2">
      <c r="A307">
        <v>299</v>
      </c>
      <c r="B307" t="s">
        <v>205</v>
      </c>
      <c r="C307" t="s">
        <v>204</v>
      </c>
      <c r="D307">
        <v>91767</v>
      </c>
      <c r="E307">
        <v>3</v>
      </c>
      <c r="F307">
        <v>103703221</v>
      </c>
      <c r="G307" t="s">
        <v>914</v>
      </c>
      <c r="H307" t="s">
        <v>113</v>
      </c>
      <c r="I307" s="3">
        <v>0.33333333333333331</v>
      </c>
      <c r="J307" t="s">
        <v>113</v>
      </c>
      <c r="K307" s="3">
        <v>0.33333333333333331</v>
      </c>
      <c r="L307" t="s">
        <v>113</v>
      </c>
      <c r="M307" s="3">
        <v>0.33333333333333331</v>
      </c>
      <c r="N307" t="s">
        <v>113</v>
      </c>
      <c r="O307" s="3">
        <v>0.33333333333333331</v>
      </c>
      <c r="P307" t="s">
        <v>113</v>
      </c>
      <c r="Q307" s="3">
        <v>0.33333333333333331</v>
      </c>
      <c r="R307" t="b">
        <v>1</v>
      </c>
      <c r="S307" t="s">
        <v>1887</v>
      </c>
    </row>
    <row r="308" spans="1:19" x14ac:dyDescent="0.2">
      <c r="A308">
        <v>300</v>
      </c>
      <c r="B308" t="s">
        <v>698</v>
      </c>
      <c r="C308" t="s">
        <v>697</v>
      </c>
      <c r="D308">
        <v>92345</v>
      </c>
      <c r="E308">
        <v>44</v>
      </c>
      <c r="F308">
        <v>10226387</v>
      </c>
      <c r="G308" t="s">
        <v>914</v>
      </c>
      <c r="H308" t="s">
        <v>103</v>
      </c>
      <c r="I308" s="3">
        <v>0.33333333333333331</v>
      </c>
      <c r="J308" t="s">
        <v>113</v>
      </c>
      <c r="K308" s="3">
        <v>0.33333333333333331</v>
      </c>
      <c r="L308" t="s">
        <v>113</v>
      </c>
      <c r="M308" s="3">
        <v>0.33333333333333331</v>
      </c>
      <c r="N308" t="s">
        <v>113</v>
      </c>
      <c r="O308" s="3">
        <v>0.33333333333333331</v>
      </c>
      <c r="P308" t="s">
        <v>103</v>
      </c>
      <c r="Q308" s="3">
        <v>0.33333333333333331</v>
      </c>
      <c r="R308" t="b">
        <v>1</v>
      </c>
      <c r="S308" t="s">
        <v>1888</v>
      </c>
    </row>
    <row r="309" spans="1:19" x14ac:dyDescent="0.2">
      <c r="A309">
        <v>301</v>
      </c>
      <c r="B309" t="s">
        <v>1889</v>
      </c>
      <c r="C309" t="s">
        <v>1890</v>
      </c>
      <c r="D309">
        <v>91711</v>
      </c>
      <c r="E309">
        <v>0.1</v>
      </c>
      <c r="F309">
        <v>10364958</v>
      </c>
      <c r="G309" t="s">
        <v>1632</v>
      </c>
      <c r="H309" t="s">
        <v>202</v>
      </c>
      <c r="I309" s="3">
        <v>0.25</v>
      </c>
      <c r="J309" t="s">
        <v>202</v>
      </c>
      <c r="K309" s="3">
        <v>0.25</v>
      </c>
      <c r="L309" t="s">
        <v>202</v>
      </c>
      <c r="M309" s="3">
        <v>0.25</v>
      </c>
      <c r="N309" t="s">
        <v>202</v>
      </c>
      <c r="O309" s="3">
        <v>0.25</v>
      </c>
      <c r="P309" t="s">
        <v>92</v>
      </c>
      <c r="Q309" s="3">
        <v>0.41666666666666669</v>
      </c>
      <c r="R309" t="b">
        <v>1</v>
      </c>
      <c r="S309" t="s">
        <v>1891</v>
      </c>
    </row>
    <row r="310" spans="1:19" x14ac:dyDescent="0.2">
      <c r="A310">
        <v>302</v>
      </c>
      <c r="B310" t="s">
        <v>365</v>
      </c>
      <c r="C310" t="s">
        <v>1014</v>
      </c>
      <c r="D310">
        <v>91767</v>
      </c>
      <c r="E310">
        <v>3.5</v>
      </c>
      <c r="F310" t="s">
        <v>1015</v>
      </c>
      <c r="G310" t="s">
        <v>919</v>
      </c>
      <c r="H310" t="s">
        <v>113</v>
      </c>
      <c r="I310" s="3">
        <v>0.33333333333333331</v>
      </c>
      <c r="J310" t="s">
        <v>113</v>
      </c>
      <c r="K310" s="3">
        <v>0.33333333333333331</v>
      </c>
      <c r="L310" t="s">
        <v>113</v>
      </c>
      <c r="M310" s="3">
        <v>0.33333333333333331</v>
      </c>
      <c r="N310" t="s">
        <v>113</v>
      </c>
      <c r="O310" s="3">
        <v>0.33333333333333331</v>
      </c>
      <c r="P310" t="s">
        <v>113</v>
      </c>
      <c r="Q310" s="3">
        <v>0.33333333333333331</v>
      </c>
      <c r="R310" t="b">
        <v>1</v>
      </c>
      <c r="S310" t="s">
        <v>1892</v>
      </c>
    </row>
    <row r="311" spans="1:19" x14ac:dyDescent="0.2">
      <c r="A311">
        <v>303</v>
      </c>
      <c r="B311" t="s">
        <v>966</v>
      </c>
      <c r="C311" t="s">
        <v>1893</v>
      </c>
      <c r="D311">
        <v>75093</v>
      </c>
      <c r="E311">
        <v>0.2</v>
      </c>
      <c r="F311">
        <v>10365001</v>
      </c>
      <c r="G311" t="s">
        <v>1632</v>
      </c>
      <c r="H311" t="s">
        <v>202</v>
      </c>
      <c r="I311" s="3">
        <v>0.45833333333333331</v>
      </c>
      <c r="J311" t="s">
        <v>202</v>
      </c>
      <c r="K311" s="3">
        <v>0.45833333333333331</v>
      </c>
      <c r="L311" t="s">
        <v>202</v>
      </c>
      <c r="M311" s="3">
        <v>0.45833333333333331</v>
      </c>
      <c r="N311" t="s">
        <v>202</v>
      </c>
      <c r="O311" s="3">
        <v>0.45833333333333331</v>
      </c>
      <c r="P311" t="s">
        <v>92</v>
      </c>
      <c r="Q311" s="3">
        <v>0.47916666666666669</v>
      </c>
      <c r="R311" t="b">
        <v>0</v>
      </c>
      <c r="S311" t="s">
        <v>1894</v>
      </c>
    </row>
    <row r="312" spans="1:19" x14ac:dyDescent="0.2">
      <c r="A312">
        <v>304</v>
      </c>
      <c r="B312" t="s">
        <v>1895</v>
      </c>
      <c r="C312" t="s">
        <v>927</v>
      </c>
      <c r="D312">
        <v>45249</v>
      </c>
      <c r="E312">
        <v>1</v>
      </c>
      <c r="F312">
        <v>20272683</v>
      </c>
      <c r="G312" t="s">
        <v>1638</v>
      </c>
      <c r="H312" t="s">
        <v>202</v>
      </c>
      <c r="I312" s="3">
        <v>0.25</v>
      </c>
      <c r="J312" t="s">
        <v>92</v>
      </c>
      <c r="K312" s="3">
        <v>0.41666666666666669</v>
      </c>
      <c r="L312" t="s">
        <v>202</v>
      </c>
      <c r="M312" s="3">
        <v>0.25</v>
      </c>
      <c r="N312" t="s">
        <v>92</v>
      </c>
      <c r="O312" s="3">
        <v>0.29166666666666669</v>
      </c>
      <c r="P312" t="s">
        <v>92</v>
      </c>
      <c r="Q312" s="3">
        <v>0.45833333333333331</v>
      </c>
      <c r="R312" t="b">
        <v>1</v>
      </c>
      <c r="S312" t="s">
        <v>1896</v>
      </c>
    </row>
    <row r="313" spans="1:19" x14ac:dyDescent="0.2">
      <c r="A313">
        <v>305</v>
      </c>
      <c r="B313" t="s">
        <v>759</v>
      </c>
      <c r="C313" t="s">
        <v>758</v>
      </c>
      <c r="D313">
        <v>91711</v>
      </c>
      <c r="E313">
        <v>1.5</v>
      </c>
      <c r="F313">
        <v>10031840</v>
      </c>
      <c r="G313" t="s">
        <v>914</v>
      </c>
      <c r="H313" t="s">
        <v>113</v>
      </c>
      <c r="I313" s="3">
        <v>0.375</v>
      </c>
      <c r="J313" t="s">
        <v>113</v>
      </c>
      <c r="K313" s="3">
        <v>0.375</v>
      </c>
      <c r="L313" t="s">
        <v>113</v>
      </c>
      <c r="M313" s="3">
        <v>0.375</v>
      </c>
      <c r="N313" t="s">
        <v>113</v>
      </c>
      <c r="O313" s="3">
        <v>0.375</v>
      </c>
      <c r="P313" t="s">
        <v>113</v>
      </c>
      <c r="Q313" s="3">
        <v>0.375</v>
      </c>
      <c r="R313" t="b">
        <v>1</v>
      </c>
      <c r="S313" t="s">
        <v>1897</v>
      </c>
    </row>
    <row r="314" spans="1:19" x14ac:dyDescent="0.2">
      <c r="A314">
        <v>306</v>
      </c>
      <c r="B314" t="s">
        <v>1898</v>
      </c>
      <c r="C314" t="s">
        <v>1301</v>
      </c>
      <c r="D314">
        <v>63376</v>
      </c>
      <c r="E314">
        <v>0.5</v>
      </c>
      <c r="F314">
        <v>10370029</v>
      </c>
      <c r="G314" t="s">
        <v>1632</v>
      </c>
      <c r="H314" t="s">
        <v>202</v>
      </c>
      <c r="I314" s="3">
        <v>0.45833333333333331</v>
      </c>
      <c r="J314" t="s">
        <v>202</v>
      </c>
      <c r="K314" s="3">
        <v>0.45833333333333331</v>
      </c>
      <c r="L314" t="s">
        <v>202</v>
      </c>
      <c r="M314" s="3">
        <v>0.45833333333333331</v>
      </c>
      <c r="N314" t="s">
        <v>202</v>
      </c>
      <c r="O314" s="3">
        <v>0.45833333333333331</v>
      </c>
      <c r="P314" t="s">
        <v>113</v>
      </c>
      <c r="Q314" s="3">
        <v>0.66666666666666663</v>
      </c>
      <c r="R314" t="b">
        <v>0</v>
      </c>
      <c r="S314" t="s">
        <v>1899</v>
      </c>
    </row>
    <row r="315" spans="1:19" x14ac:dyDescent="0.2">
      <c r="A315">
        <v>307</v>
      </c>
      <c r="B315" t="s">
        <v>1227</v>
      </c>
      <c r="C315" t="s">
        <v>1228</v>
      </c>
      <c r="D315">
        <v>92377</v>
      </c>
      <c r="E315">
        <v>20</v>
      </c>
      <c r="F315">
        <v>10234495</v>
      </c>
      <c r="G315" t="s">
        <v>914</v>
      </c>
      <c r="H315" t="s">
        <v>103</v>
      </c>
      <c r="I315" s="3">
        <v>0.33333333333333331</v>
      </c>
      <c r="J315" t="s">
        <v>103</v>
      </c>
      <c r="K315" s="3">
        <v>0.33333333333333331</v>
      </c>
      <c r="L315" t="s">
        <v>103</v>
      </c>
      <c r="M315" s="3">
        <v>0.33333333333333331</v>
      </c>
      <c r="N315" t="s">
        <v>103</v>
      </c>
      <c r="O315" s="3">
        <v>0.33333333333333331</v>
      </c>
      <c r="P315" t="s">
        <v>103</v>
      </c>
      <c r="Q315" s="3">
        <v>0.33333333333333331</v>
      </c>
      <c r="R315" t="b">
        <v>1</v>
      </c>
      <c r="S315" t="s">
        <v>1900</v>
      </c>
    </row>
    <row r="316" spans="1:19" x14ac:dyDescent="0.2">
      <c r="A316">
        <v>308</v>
      </c>
      <c r="B316" t="s">
        <v>367</v>
      </c>
      <c r="C316" t="s">
        <v>1901</v>
      </c>
      <c r="D316">
        <v>98005</v>
      </c>
      <c r="E316">
        <v>0</v>
      </c>
      <c r="F316">
        <v>10372422</v>
      </c>
      <c r="G316" t="s">
        <v>1632</v>
      </c>
      <c r="H316" t="s">
        <v>202</v>
      </c>
      <c r="I316" s="3">
        <v>0.25</v>
      </c>
      <c r="J316" t="s">
        <v>202</v>
      </c>
      <c r="K316" s="3">
        <v>0.25</v>
      </c>
      <c r="L316" t="s">
        <v>92</v>
      </c>
      <c r="M316" s="3">
        <v>0.54166666666666663</v>
      </c>
      <c r="N316" t="s">
        <v>92</v>
      </c>
      <c r="O316" s="3">
        <v>0.41666666666666669</v>
      </c>
      <c r="P316" t="s">
        <v>92</v>
      </c>
      <c r="Q316" s="3">
        <v>0.54166666666666663</v>
      </c>
      <c r="R316" t="b">
        <v>1</v>
      </c>
      <c r="S316" t="s">
        <v>1902</v>
      </c>
    </row>
    <row r="317" spans="1:19" x14ac:dyDescent="0.2">
      <c r="A317">
        <v>309</v>
      </c>
      <c r="B317" t="s">
        <v>1903</v>
      </c>
      <c r="C317" t="s">
        <v>1904</v>
      </c>
      <c r="D317">
        <v>91711</v>
      </c>
      <c r="E317">
        <v>0</v>
      </c>
      <c r="F317">
        <v>10364057</v>
      </c>
      <c r="G317" t="s">
        <v>1632</v>
      </c>
      <c r="H317" t="s">
        <v>92</v>
      </c>
      <c r="I317" s="3">
        <v>0.41666666666666669</v>
      </c>
      <c r="J317" t="s">
        <v>202</v>
      </c>
      <c r="K317" s="3">
        <v>0.25</v>
      </c>
      <c r="L317" t="s">
        <v>92</v>
      </c>
      <c r="M317" s="3">
        <v>0.45833333333333331</v>
      </c>
      <c r="N317" t="s">
        <v>92</v>
      </c>
      <c r="O317" s="3">
        <v>0.45833333333333331</v>
      </c>
      <c r="P317" t="s">
        <v>92</v>
      </c>
      <c r="Q317" s="3">
        <v>0.79166666666666663</v>
      </c>
      <c r="R317" t="b">
        <v>1</v>
      </c>
      <c r="S317" t="s">
        <v>1905</v>
      </c>
    </row>
    <row r="318" spans="1:19" x14ac:dyDescent="0.2">
      <c r="A318">
        <v>310</v>
      </c>
      <c r="B318" t="s">
        <v>249</v>
      </c>
      <c r="C318" t="s">
        <v>248</v>
      </c>
      <c r="D318">
        <v>91766</v>
      </c>
      <c r="E318">
        <v>9</v>
      </c>
      <c r="F318">
        <v>10090606</v>
      </c>
      <c r="G318" t="s">
        <v>914</v>
      </c>
      <c r="H318" t="s">
        <v>113</v>
      </c>
      <c r="I318" s="3">
        <v>0.33333333333333331</v>
      </c>
      <c r="J318" t="s">
        <v>113</v>
      </c>
      <c r="K318" s="3">
        <v>0.33333333333333331</v>
      </c>
      <c r="L318" t="s">
        <v>113</v>
      </c>
      <c r="M318" s="3">
        <v>0.33333333333333331</v>
      </c>
      <c r="N318" t="s">
        <v>113</v>
      </c>
      <c r="O318" s="3">
        <v>0.33333333333333331</v>
      </c>
      <c r="P318" t="s">
        <v>113</v>
      </c>
      <c r="Q318" s="3">
        <v>0.33333333333333331</v>
      </c>
      <c r="R318" t="b">
        <v>1</v>
      </c>
      <c r="S318" t="s">
        <v>1906</v>
      </c>
    </row>
    <row r="319" spans="1:19" x14ac:dyDescent="0.2">
      <c r="A319">
        <v>311</v>
      </c>
      <c r="B319" t="s">
        <v>723</v>
      </c>
      <c r="C319" t="s">
        <v>722</v>
      </c>
      <c r="D319">
        <v>91730</v>
      </c>
      <c r="E319">
        <v>10.7</v>
      </c>
      <c r="F319">
        <v>10354879</v>
      </c>
      <c r="G319" t="s">
        <v>914</v>
      </c>
      <c r="H319" t="s">
        <v>113</v>
      </c>
      <c r="I319" s="3">
        <v>0.33333333333333331</v>
      </c>
      <c r="J319" t="s">
        <v>113</v>
      </c>
      <c r="K319" s="3">
        <v>0.33333333333333331</v>
      </c>
      <c r="L319" t="s">
        <v>113</v>
      </c>
      <c r="M319" s="3">
        <v>0.33333333333333331</v>
      </c>
      <c r="N319" t="s">
        <v>113</v>
      </c>
      <c r="O319" s="3">
        <v>0.33333333333333331</v>
      </c>
      <c r="P319" t="s">
        <v>113</v>
      </c>
      <c r="Q319" s="3">
        <v>0.33333333333333331</v>
      </c>
      <c r="R319" t="b">
        <v>1</v>
      </c>
      <c r="S319" t="s">
        <v>1907</v>
      </c>
    </row>
    <row r="320" spans="1:19" x14ac:dyDescent="0.2">
      <c r="A320">
        <v>312</v>
      </c>
      <c r="B320" t="s">
        <v>1908</v>
      </c>
      <c r="C320" t="s">
        <v>642</v>
      </c>
      <c r="D320">
        <v>89122</v>
      </c>
      <c r="E320">
        <v>0</v>
      </c>
      <c r="F320">
        <v>10368543</v>
      </c>
      <c r="G320" t="s">
        <v>1632</v>
      </c>
      <c r="H320" t="s">
        <v>92</v>
      </c>
      <c r="I320" s="3">
        <v>0.45833333333333331</v>
      </c>
      <c r="J320" t="s">
        <v>202</v>
      </c>
      <c r="K320" s="3">
        <v>0.45833333333333331</v>
      </c>
      <c r="L320" t="s">
        <v>92</v>
      </c>
      <c r="M320" s="3">
        <v>0.45833333333333331</v>
      </c>
      <c r="N320" t="s">
        <v>202</v>
      </c>
      <c r="O320" s="3">
        <v>0.45833333333333331</v>
      </c>
      <c r="P320" t="s">
        <v>92</v>
      </c>
      <c r="Q320" s="3">
        <v>0.45833333333333331</v>
      </c>
      <c r="R320" t="b">
        <v>0</v>
      </c>
      <c r="S320" t="s">
        <v>1909</v>
      </c>
    </row>
    <row r="321" spans="1:19" x14ac:dyDescent="0.2">
      <c r="A321">
        <v>313</v>
      </c>
      <c r="B321" t="s">
        <v>1910</v>
      </c>
      <c r="C321" t="s">
        <v>1911</v>
      </c>
      <c r="D321">
        <v>91711</v>
      </c>
      <c r="E321">
        <v>0.2</v>
      </c>
      <c r="F321">
        <v>10371662</v>
      </c>
      <c r="G321" t="s">
        <v>1632</v>
      </c>
      <c r="H321" t="s">
        <v>92</v>
      </c>
      <c r="I321" s="3">
        <v>0.41666666666666669</v>
      </c>
      <c r="J321" t="s">
        <v>92</v>
      </c>
      <c r="K321" s="3">
        <v>0.41666666666666669</v>
      </c>
      <c r="L321" t="s">
        <v>92</v>
      </c>
      <c r="M321" s="3">
        <v>0.41666666666666669</v>
      </c>
      <c r="N321" t="s">
        <v>92</v>
      </c>
      <c r="O321" s="3">
        <v>0.41666666666666669</v>
      </c>
      <c r="P321" t="s">
        <v>92</v>
      </c>
      <c r="Q321" s="3">
        <v>0.41666666666666669</v>
      </c>
      <c r="R321" t="b">
        <v>1</v>
      </c>
      <c r="S321" t="s">
        <v>1912</v>
      </c>
    </row>
    <row r="322" spans="1:19" x14ac:dyDescent="0.2">
      <c r="A322">
        <v>314</v>
      </c>
      <c r="B322" t="s">
        <v>1271</v>
      </c>
      <c r="C322" t="s">
        <v>40</v>
      </c>
      <c r="D322">
        <v>92411</v>
      </c>
      <c r="E322">
        <v>28</v>
      </c>
      <c r="F322">
        <v>10284631</v>
      </c>
      <c r="G322" t="s">
        <v>914</v>
      </c>
      <c r="H322" t="s">
        <v>933</v>
      </c>
      <c r="I322" s="3">
        <v>0.3125</v>
      </c>
      <c r="J322" t="s">
        <v>113</v>
      </c>
      <c r="K322" s="3">
        <v>0.3125</v>
      </c>
      <c r="L322" t="s">
        <v>933</v>
      </c>
      <c r="M322" s="3">
        <v>0.3125</v>
      </c>
      <c r="N322" t="s">
        <v>933</v>
      </c>
      <c r="O322" s="3">
        <v>0.3125</v>
      </c>
      <c r="P322" t="s">
        <v>933</v>
      </c>
      <c r="Q322" s="3">
        <v>0.3125</v>
      </c>
      <c r="R322" t="b">
        <v>1</v>
      </c>
      <c r="S322" t="s">
        <v>1913</v>
      </c>
    </row>
    <row r="323" spans="1:19" x14ac:dyDescent="0.2">
      <c r="A323">
        <v>315</v>
      </c>
      <c r="B323" t="s">
        <v>1377</v>
      </c>
      <c r="C323" t="s">
        <v>791</v>
      </c>
      <c r="D323">
        <v>91711</v>
      </c>
      <c r="E323">
        <v>1</v>
      </c>
      <c r="F323">
        <v>266136</v>
      </c>
      <c r="G323" t="s">
        <v>1638</v>
      </c>
      <c r="H323" t="s">
        <v>202</v>
      </c>
      <c r="I323" s="3">
        <v>0.45833333333333331</v>
      </c>
      <c r="J323" t="s">
        <v>202</v>
      </c>
      <c r="K323" s="3">
        <v>0.45833333333333331</v>
      </c>
      <c r="L323" t="s">
        <v>98</v>
      </c>
      <c r="M323" s="3">
        <v>0.45833333333333331</v>
      </c>
      <c r="N323" t="s">
        <v>202</v>
      </c>
      <c r="O323" s="3">
        <v>0.45833333333333331</v>
      </c>
      <c r="P323" t="s">
        <v>202</v>
      </c>
      <c r="Q323" s="3">
        <v>0.45833333333333331</v>
      </c>
      <c r="R323" t="b">
        <v>0</v>
      </c>
      <c r="S323" t="s">
        <v>1914</v>
      </c>
    </row>
    <row r="324" spans="1:19" x14ac:dyDescent="0.2">
      <c r="A324">
        <v>316</v>
      </c>
      <c r="B324" t="s">
        <v>814</v>
      </c>
      <c r="C324" t="s">
        <v>813</v>
      </c>
      <c r="D324">
        <v>91767</v>
      </c>
      <c r="E324">
        <v>3.5</v>
      </c>
      <c r="F324">
        <v>1373855</v>
      </c>
      <c r="G324" t="s">
        <v>914</v>
      </c>
      <c r="H324" t="s">
        <v>1016</v>
      </c>
      <c r="I324" s="3">
        <v>0.33333333333333331</v>
      </c>
      <c r="J324" t="s">
        <v>1016</v>
      </c>
      <c r="K324" s="3">
        <v>0.33333333333333331</v>
      </c>
      <c r="L324" t="s">
        <v>1016</v>
      </c>
      <c r="M324" s="3">
        <v>0.33333333333333331</v>
      </c>
      <c r="N324" t="s">
        <v>1016</v>
      </c>
      <c r="O324" s="3">
        <v>0.33333333333333331</v>
      </c>
      <c r="P324" t="s">
        <v>1016</v>
      </c>
      <c r="Q324" s="3">
        <v>0.33333333333333331</v>
      </c>
      <c r="R324" t="b">
        <v>1</v>
      </c>
      <c r="S324" t="s">
        <v>1915</v>
      </c>
    </row>
    <row r="325" spans="1:19" x14ac:dyDescent="0.2">
      <c r="A325">
        <v>317</v>
      </c>
      <c r="B325" t="s">
        <v>1916</v>
      </c>
      <c r="C325" t="s">
        <v>1917</v>
      </c>
      <c r="D325">
        <v>90063</v>
      </c>
      <c r="E325">
        <v>32</v>
      </c>
      <c r="F325">
        <v>10351684</v>
      </c>
      <c r="G325" t="s">
        <v>1495</v>
      </c>
      <c r="H325" t="s">
        <v>113</v>
      </c>
      <c r="I325" s="3">
        <v>0.33333333333333331</v>
      </c>
      <c r="J325" t="s">
        <v>103</v>
      </c>
      <c r="K325" s="3">
        <v>0.35416666666666669</v>
      </c>
      <c r="L325" t="s">
        <v>85</v>
      </c>
      <c r="M325" s="3">
        <v>0.35416666666666669</v>
      </c>
      <c r="N325" t="s">
        <v>103</v>
      </c>
      <c r="O325" s="3">
        <v>0.35416666666666669</v>
      </c>
      <c r="P325" t="s">
        <v>103</v>
      </c>
      <c r="Q325" s="3">
        <v>0.35416666666666669</v>
      </c>
      <c r="R325" t="b">
        <v>1</v>
      </c>
      <c r="S325" t="s">
        <v>1918</v>
      </c>
    </row>
    <row r="326" spans="1:19" x14ac:dyDescent="0.2">
      <c r="A326">
        <v>318</v>
      </c>
      <c r="B326" t="s">
        <v>1281</v>
      </c>
      <c r="C326" t="s">
        <v>537</v>
      </c>
      <c r="D326">
        <v>90241</v>
      </c>
      <c r="E326">
        <v>30</v>
      </c>
      <c r="F326">
        <v>103667201</v>
      </c>
      <c r="G326" t="s">
        <v>919</v>
      </c>
      <c r="H326" t="s">
        <v>113</v>
      </c>
      <c r="I326" s="3">
        <v>0.33333333333333331</v>
      </c>
      <c r="J326" t="s">
        <v>113</v>
      </c>
      <c r="K326" s="3">
        <v>0.33333333333333331</v>
      </c>
      <c r="L326" t="s">
        <v>113</v>
      </c>
      <c r="M326" s="3">
        <v>0.33333333333333331</v>
      </c>
      <c r="N326" t="s">
        <v>113</v>
      </c>
      <c r="O326" s="3">
        <v>0.33333333333333331</v>
      </c>
      <c r="P326" t="s">
        <v>202</v>
      </c>
      <c r="Q326" s="3">
        <v>0.25</v>
      </c>
      <c r="R326" t="b">
        <v>1</v>
      </c>
      <c r="S326" t="s">
        <v>1919</v>
      </c>
    </row>
    <row r="327" spans="1:19" x14ac:dyDescent="0.2">
      <c r="A327">
        <v>319</v>
      </c>
      <c r="B327" t="s">
        <v>349</v>
      </c>
      <c r="C327" t="s">
        <v>348</v>
      </c>
      <c r="D327">
        <v>90242</v>
      </c>
      <c r="E327">
        <v>34</v>
      </c>
      <c r="F327">
        <v>102401522</v>
      </c>
      <c r="G327" t="s">
        <v>914</v>
      </c>
      <c r="H327" t="s">
        <v>113</v>
      </c>
      <c r="I327" s="3">
        <v>0.33333333333333331</v>
      </c>
      <c r="J327" t="s">
        <v>113</v>
      </c>
      <c r="K327" s="3">
        <v>0.33333333333333331</v>
      </c>
      <c r="L327" t="s">
        <v>113</v>
      </c>
      <c r="M327" s="3">
        <v>0.33333333333333331</v>
      </c>
      <c r="N327" t="s">
        <v>113</v>
      </c>
      <c r="O327" s="3">
        <v>0.33333333333333331</v>
      </c>
      <c r="P327" t="s">
        <v>113</v>
      </c>
      <c r="Q327" s="3">
        <v>0.33333333333333331</v>
      </c>
      <c r="R327" t="b">
        <v>1</v>
      </c>
      <c r="S327" t="s">
        <v>1920</v>
      </c>
    </row>
    <row r="328" spans="1:19" x14ac:dyDescent="0.2">
      <c r="A328">
        <v>320</v>
      </c>
      <c r="B328" t="s">
        <v>269</v>
      </c>
      <c r="C328" t="s">
        <v>1921</v>
      </c>
      <c r="D328">
        <v>91711</v>
      </c>
      <c r="E328">
        <v>1.1000000000000001</v>
      </c>
      <c r="F328">
        <v>10196894</v>
      </c>
      <c r="G328" t="s">
        <v>1495</v>
      </c>
      <c r="H328" t="s">
        <v>92</v>
      </c>
      <c r="I328" s="3">
        <v>0.33333333333333331</v>
      </c>
      <c r="J328" t="s">
        <v>113</v>
      </c>
      <c r="K328" s="3">
        <v>0.33333333333333331</v>
      </c>
      <c r="L328" t="s">
        <v>199</v>
      </c>
      <c r="M328" s="3">
        <v>0.25</v>
      </c>
      <c r="N328" t="s">
        <v>199</v>
      </c>
      <c r="O328" s="3">
        <v>0.25</v>
      </c>
      <c r="P328" t="s">
        <v>199</v>
      </c>
      <c r="Q328" s="3">
        <v>0.25</v>
      </c>
      <c r="R328" t="b">
        <v>1</v>
      </c>
      <c r="S328" t="s">
        <v>1922</v>
      </c>
    </row>
    <row r="329" spans="1:19" x14ac:dyDescent="0.2">
      <c r="A329">
        <v>321</v>
      </c>
      <c r="B329" t="s">
        <v>1289</v>
      </c>
      <c r="C329" t="s">
        <v>497</v>
      </c>
      <c r="D329">
        <v>92706</v>
      </c>
      <c r="E329">
        <v>33</v>
      </c>
      <c r="F329">
        <v>100311371</v>
      </c>
      <c r="G329" t="s">
        <v>914</v>
      </c>
      <c r="H329" t="s">
        <v>113</v>
      </c>
      <c r="I329" s="3">
        <v>0.3125</v>
      </c>
      <c r="J329" t="s">
        <v>113</v>
      </c>
      <c r="K329" s="3">
        <v>0.3125</v>
      </c>
      <c r="L329" t="s">
        <v>113</v>
      </c>
      <c r="M329" s="3">
        <v>0.3125</v>
      </c>
      <c r="N329" t="s">
        <v>113</v>
      </c>
      <c r="O329" s="3">
        <v>0.3125</v>
      </c>
      <c r="P329" t="s">
        <v>113</v>
      </c>
      <c r="Q329" s="3">
        <v>0.3125</v>
      </c>
      <c r="R329" t="b">
        <v>1</v>
      </c>
      <c r="S329" t="s">
        <v>1923</v>
      </c>
    </row>
    <row r="330" spans="1:19" x14ac:dyDescent="0.2">
      <c r="A330">
        <v>322</v>
      </c>
      <c r="B330" t="s">
        <v>1346</v>
      </c>
      <c r="C330" t="s">
        <v>1924</v>
      </c>
      <c r="D330">
        <v>91711</v>
      </c>
      <c r="E330">
        <v>1.5</v>
      </c>
      <c r="F330">
        <v>10040539</v>
      </c>
      <c r="G330" t="s">
        <v>1495</v>
      </c>
      <c r="H330" t="s">
        <v>113</v>
      </c>
      <c r="I330" s="3">
        <v>0.45833333333333331</v>
      </c>
      <c r="J330" t="s">
        <v>113</v>
      </c>
      <c r="K330" s="3">
        <v>0.39583333333333331</v>
      </c>
      <c r="L330" t="s">
        <v>92</v>
      </c>
      <c r="M330" s="3">
        <v>0.45833333333333331</v>
      </c>
      <c r="N330" t="s">
        <v>113</v>
      </c>
      <c r="O330" s="3">
        <v>0.39583333333333331</v>
      </c>
      <c r="P330" t="s">
        <v>92</v>
      </c>
      <c r="Q330" s="3">
        <v>0</v>
      </c>
      <c r="R330" t="b">
        <v>1</v>
      </c>
      <c r="S330" t="s">
        <v>1925</v>
      </c>
    </row>
    <row r="331" spans="1:19" x14ac:dyDescent="0.2">
      <c r="A331">
        <v>323</v>
      </c>
      <c r="B331" t="s">
        <v>899</v>
      </c>
      <c r="C331" t="s">
        <v>1926</v>
      </c>
      <c r="D331">
        <v>91711</v>
      </c>
      <c r="E331">
        <v>0.5</v>
      </c>
      <c r="F331">
        <v>103700251</v>
      </c>
      <c r="G331" t="s">
        <v>1495</v>
      </c>
      <c r="H331" t="s">
        <v>92</v>
      </c>
      <c r="I331" s="3">
        <v>0.95833333333333337</v>
      </c>
      <c r="J331" t="s">
        <v>92</v>
      </c>
      <c r="K331" s="3">
        <v>0.95833333333333337</v>
      </c>
      <c r="L331" t="s">
        <v>92</v>
      </c>
      <c r="M331" s="3">
        <v>0.95833333333333337</v>
      </c>
      <c r="N331" t="s">
        <v>92</v>
      </c>
      <c r="O331" s="3">
        <v>0.95833333333333337</v>
      </c>
      <c r="P331" t="s">
        <v>92</v>
      </c>
      <c r="Q331" s="3">
        <v>0.95833333333333337</v>
      </c>
      <c r="R331" t="b">
        <v>0</v>
      </c>
      <c r="S331" t="s">
        <v>1927</v>
      </c>
    </row>
    <row r="332" spans="1:19" x14ac:dyDescent="0.2">
      <c r="A332">
        <v>324</v>
      </c>
      <c r="B332" t="s">
        <v>223</v>
      </c>
      <c r="C332" t="s">
        <v>950</v>
      </c>
      <c r="D332">
        <v>91711</v>
      </c>
      <c r="E332">
        <v>1.2</v>
      </c>
      <c r="F332">
        <v>119251</v>
      </c>
      <c r="G332" t="s">
        <v>914</v>
      </c>
      <c r="H332" t="s">
        <v>92</v>
      </c>
      <c r="I332" s="3">
        <v>0.35416666666666669</v>
      </c>
      <c r="J332" t="s">
        <v>92</v>
      </c>
      <c r="K332" s="3">
        <v>0.35416666666666669</v>
      </c>
      <c r="L332" t="s">
        <v>113</v>
      </c>
      <c r="M332" s="3">
        <v>0.35416666666666669</v>
      </c>
      <c r="N332" t="s">
        <v>103</v>
      </c>
      <c r="O332" s="3">
        <v>0.35416666666666669</v>
      </c>
      <c r="P332" t="s">
        <v>103</v>
      </c>
      <c r="Q332" s="3">
        <v>0.35416666666666669</v>
      </c>
      <c r="R332" t="b">
        <v>1</v>
      </c>
      <c r="S332" t="s">
        <v>1928</v>
      </c>
    </row>
    <row r="333" spans="1:19" x14ac:dyDescent="0.2">
      <c r="A333">
        <v>325</v>
      </c>
      <c r="B333" t="s">
        <v>88</v>
      </c>
      <c r="C333" t="s">
        <v>87</v>
      </c>
      <c r="D333">
        <v>92646</v>
      </c>
      <c r="E333">
        <v>42</v>
      </c>
      <c r="F333">
        <v>103664392</v>
      </c>
      <c r="G333" t="s">
        <v>914</v>
      </c>
      <c r="H333" t="s">
        <v>74</v>
      </c>
      <c r="I333" s="3">
        <v>0.20833333333333334</v>
      </c>
      <c r="J333" t="s">
        <v>74</v>
      </c>
      <c r="K333" s="3">
        <v>0.20833333333333334</v>
      </c>
      <c r="L333" t="s">
        <v>74</v>
      </c>
      <c r="M333" s="3">
        <v>0.20833333333333334</v>
      </c>
      <c r="N333" t="s">
        <v>74</v>
      </c>
      <c r="O333" s="3">
        <v>0.20833333333333334</v>
      </c>
      <c r="P333" t="s">
        <v>74</v>
      </c>
      <c r="Q333" s="3">
        <v>0.1875</v>
      </c>
      <c r="R333" t="b">
        <v>0</v>
      </c>
      <c r="S333" t="s">
        <v>1929</v>
      </c>
    </row>
    <row r="334" spans="1:19" x14ac:dyDescent="0.2">
      <c r="A334">
        <v>326</v>
      </c>
      <c r="B334" t="s">
        <v>1930</v>
      </c>
      <c r="C334" t="s">
        <v>1931</v>
      </c>
      <c r="D334">
        <v>91711</v>
      </c>
      <c r="E334">
        <v>0.5</v>
      </c>
      <c r="F334">
        <v>40202436</v>
      </c>
      <c r="G334" t="s">
        <v>1638</v>
      </c>
      <c r="H334" t="s">
        <v>202</v>
      </c>
      <c r="I334" s="3">
        <v>0.45833333333333331</v>
      </c>
      <c r="J334" t="s">
        <v>202</v>
      </c>
      <c r="K334" s="3">
        <v>0.45833333333333331</v>
      </c>
      <c r="L334" t="s">
        <v>202</v>
      </c>
      <c r="M334" s="3">
        <v>0.45833333333333331</v>
      </c>
      <c r="N334" t="s">
        <v>98</v>
      </c>
      <c r="O334" s="3">
        <v>0.45833333333333331</v>
      </c>
      <c r="P334" t="s">
        <v>98</v>
      </c>
      <c r="Q334" s="3">
        <v>0.5</v>
      </c>
      <c r="R334" t="b">
        <v>0</v>
      </c>
      <c r="S334" t="s">
        <v>1932</v>
      </c>
    </row>
    <row r="335" spans="1:19" x14ac:dyDescent="0.2">
      <c r="A335">
        <v>327</v>
      </c>
      <c r="B335" t="s">
        <v>1933</v>
      </c>
      <c r="C335" t="s">
        <v>1934</v>
      </c>
      <c r="D335">
        <v>21704</v>
      </c>
      <c r="E335">
        <v>0.2</v>
      </c>
      <c r="F335">
        <v>10363141</v>
      </c>
      <c r="G335" t="s">
        <v>1632</v>
      </c>
      <c r="H335" t="s">
        <v>202</v>
      </c>
      <c r="I335" s="3">
        <v>0.45833333333333331</v>
      </c>
      <c r="J335" t="s">
        <v>92</v>
      </c>
      <c r="K335" s="3">
        <v>0.5</v>
      </c>
      <c r="L335" t="s">
        <v>202</v>
      </c>
      <c r="M335" s="3">
        <v>0.45833333333333331</v>
      </c>
      <c r="N335" t="s">
        <v>92</v>
      </c>
      <c r="O335" s="3">
        <v>0.5</v>
      </c>
      <c r="P335" t="s">
        <v>202</v>
      </c>
      <c r="Q335" s="3">
        <v>0.45833333333333331</v>
      </c>
      <c r="R335" t="b">
        <v>0</v>
      </c>
      <c r="S335" t="s">
        <v>1935</v>
      </c>
    </row>
    <row r="336" spans="1:19" x14ac:dyDescent="0.2">
      <c r="A336">
        <v>328</v>
      </c>
      <c r="B336" t="s">
        <v>1212</v>
      </c>
      <c r="C336" t="s">
        <v>1213</v>
      </c>
      <c r="D336">
        <v>92336</v>
      </c>
      <c r="E336">
        <v>18</v>
      </c>
      <c r="F336">
        <v>103731301</v>
      </c>
      <c r="G336" t="s">
        <v>919</v>
      </c>
      <c r="H336" t="s">
        <v>113</v>
      </c>
      <c r="I336" s="3">
        <v>0.33333333333333331</v>
      </c>
      <c r="J336" t="s">
        <v>113</v>
      </c>
      <c r="K336" s="3">
        <v>0.33333333333333331</v>
      </c>
      <c r="L336" t="s">
        <v>113</v>
      </c>
      <c r="M336" s="3">
        <v>0.33333333333333331</v>
      </c>
      <c r="N336" t="s">
        <v>113</v>
      </c>
      <c r="O336" s="3">
        <v>0.33333333333333331</v>
      </c>
      <c r="P336" t="s">
        <v>113</v>
      </c>
      <c r="Q336" s="3">
        <v>0.33333333333333331</v>
      </c>
      <c r="R336" t="b">
        <v>1</v>
      </c>
      <c r="S336" t="s">
        <v>1936</v>
      </c>
    </row>
    <row r="337" spans="1:19" x14ac:dyDescent="0.2">
      <c r="A337">
        <v>329</v>
      </c>
      <c r="B337" t="s">
        <v>1937</v>
      </c>
      <c r="C337" t="s">
        <v>1938</v>
      </c>
      <c r="D337">
        <v>91711</v>
      </c>
      <c r="E337">
        <v>1</v>
      </c>
      <c r="F337">
        <v>10364884</v>
      </c>
      <c r="G337" t="s">
        <v>1632</v>
      </c>
      <c r="H337" t="s">
        <v>202</v>
      </c>
      <c r="I337" s="3">
        <v>0.45833333333333331</v>
      </c>
      <c r="J337" t="s">
        <v>92</v>
      </c>
      <c r="K337" s="3">
        <v>0.45833333333333331</v>
      </c>
      <c r="L337" t="s">
        <v>92</v>
      </c>
      <c r="M337" s="3">
        <v>0.64583333333333337</v>
      </c>
      <c r="N337" t="s">
        <v>92</v>
      </c>
      <c r="O337" s="3">
        <v>0.54166666666666663</v>
      </c>
      <c r="P337" t="s">
        <v>92</v>
      </c>
      <c r="Q337" s="3">
        <v>0.5</v>
      </c>
      <c r="R337" t="b">
        <v>0</v>
      </c>
      <c r="S337" t="s">
        <v>1939</v>
      </c>
    </row>
    <row r="338" spans="1:19" x14ac:dyDescent="0.2">
      <c r="A338">
        <v>330</v>
      </c>
      <c r="B338" t="s">
        <v>1034</v>
      </c>
      <c r="C338" t="s">
        <v>317</v>
      </c>
      <c r="D338">
        <v>91784</v>
      </c>
      <c r="E338">
        <v>4.5</v>
      </c>
      <c r="F338">
        <v>10345447</v>
      </c>
      <c r="G338" t="s">
        <v>914</v>
      </c>
      <c r="H338" t="s">
        <v>103</v>
      </c>
      <c r="I338" s="3">
        <v>0.33333333333333331</v>
      </c>
      <c r="J338" t="s">
        <v>74</v>
      </c>
      <c r="K338" s="3">
        <v>0.33333333333333331</v>
      </c>
      <c r="L338" t="s">
        <v>74</v>
      </c>
      <c r="M338" s="3">
        <v>0.33333333333333331</v>
      </c>
      <c r="N338" t="s">
        <v>74</v>
      </c>
      <c r="O338" s="3">
        <v>0.33333333333333331</v>
      </c>
      <c r="P338" t="s">
        <v>74</v>
      </c>
      <c r="Q338" s="3">
        <v>0.33333333333333331</v>
      </c>
      <c r="R338" t="b">
        <v>1</v>
      </c>
      <c r="S338" t="s">
        <v>1940</v>
      </c>
    </row>
    <row r="339" spans="1:19" x14ac:dyDescent="0.2">
      <c r="A339">
        <v>331</v>
      </c>
      <c r="B339" t="s">
        <v>392</v>
      </c>
      <c r="C339" t="s">
        <v>390</v>
      </c>
      <c r="D339">
        <v>91711</v>
      </c>
      <c r="E339">
        <v>1</v>
      </c>
      <c r="F339">
        <v>100132351</v>
      </c>
      <c r="G339" t="s">
        <v>919</v>
      </c>
      <c r="H339" t="s">
        <v>202</v>
      </c>
      <c r="I339" s="3">
        <v>0.25</v>
      </c>
      <c r="J339" t="s">
        <v>202</v>
      </c>
      <c r="K339" s="3">
        <v>0.25</v>
      </c>
      <c r="L339" t="s">
        <v>202</v>
      </c>
      <c r="M339" s="3">
        <v>0.25</v>
      </c>
      <c r="N339" t="s">
        <v>202</v>
      </c>
      <c r="O339" s="3">
        <v>0.25</v>
      </c>
      <c r="P339" t="s">
        <v>202</v>
      </c>
      <c r="Q339" s="3">
        <v>0.25</v>
      </c>
      <c r="R339" t="b">
        <v>1</v>
      </c>
      <c r="S339" t="s">
        <v>1941</v>
      </c>
    </row>
    <row r="340" spans="1:19" x14ac:dyDescent="0.2">
      <c r="A340">
        <v>332</v>
      </c>
      <c r="B340" t="s">
        <v>975</v>
      </c>
      <c r="C340" t="s">
        <v>976</v>
      </c>
      <c r="D340">
        <v>91711</v>
      </c>
      <c r="E340">
        <v>2.5</v>
      </c>
      <c r="F340">
        <v>10362859</v>
      </c>
      <c r="G340" t="s">
        <v>914</v>
      </c>
      <c r="H340" t="s">
        <v>113</v>
      </c>
      <c r="I340" s="3">
        <v>0.33333333333333331</v>
      </c>
      <c r="J340" t="s">
        <v>113</v>
      </c>
      <c r="K340" s="3">
        <v>0.33333333333333331</v>
      </c>
      <c r="L340" t="s">
        <v>113</v>
      </c>
      <c r="M340" s="3">
        <v>0.33333333333333331</v>
      </c>
      <c r="N340" t="s">
        <v>113</v>
      </c>
      <c r="O340" s="3">
        <v>0.33333333333333331</v>
      </c>
      <c r="P340" t="s">
        <v>113</v>
      </c>
      <c r="Q340" s="3">
        <v>0.33333333333333331</v>
      </c>
      <c r="R340" t="b">
        <v>1</v>
      </c>
      <c r="S340" t="s">
        <v>1942</v>
      </c>
    </row>
    <row r="341" spans="1:19" x14ac:dyDescent="0.2">
      <c r="A341">
        <v>333</v>
      </c>
      <c r="B341" t="s">
        <v>1179</v>
      </c>
      <c r="C341" t="s">
        <v>1180</v>
      </c>
      <c r="D341">
        <v>92335</v>
      </c>
      <c r="E341">
        <v>15</v>
      </c>
      <c r="F341">
        <v>10043633</v>
      </c>
      <c r="G341" t="s">
        <v>914</v>
      </c>
      <c r="H341" t="s">
        <v>113</v>
      </c>
      <c r="I341" s="3">
        <v>0.22916666666666666</v>
      </c>
      <c r="J341" t="s">
        <v>113</v>
      </c>
      <c r="K341" s="3">
        <v>0.22916666666666666</v>
      </c>
      <c r="L341" t="s">
        <v>113</v>
      </c>
      <c r="M341" s="3">
        <v>0.22916666666666666</v>
      </c>
      <c r="N341" t="s">
        <v>113</v>
      </c>
      <c r="O341" s="3">
        <v>0.22916666666666666</v>
      </c>
      <c r="P341" t="s">
        <v>113</v>
      </c>
      <c r="Q341" s="3">
        <v>0.22916666666666666</v>
      </c>
      <c r="R341" t="b">
        <v>0</v>
      </c>
      <c r="S341" t="s">
        <v>1943</v>
      </c>
    </row>
    <row r="342" spans="1:19" x14ac:dyDescent="0.2">
      <c r="A342">
        <v>334</v>
      </c>
      <c r="B342" t="s">
        <v>1181</v>
      </c>
      <c r="C342" t="s">
        <v>1182</v>
      </c>
      <c r="D342">
        <v>91764</v>
      </c>
      <c r="E342">
        <v>15</v>
      </c>
      <c r="F342">
        <v>10356044</v>
      </c>
      <c r="G342" t="s">
        <v>914</v>
      </c>
      <c r="H342" t="s">
        <v>113</v>
      </c>
      <c r="I342" s="3">
        <v>0.25</v>
      </c>
      <c r="J342" t="s">
        <v>113</v>
      </c>
      <c r="K342" s="3">
        <v>0.25</v>
      </c>
      <c r="L342" t="s">
        <v>113</v>
      </c>
      <c r="M342" s="3">
        <v>0.25</v>
      </c>
      <c r="N342" t="s">
        <v>113</v>
      </c>
      <c r="O342" s="3">
        <v>0.25</v>
      </c>
      <c r="P342" t="s">
        <v>113</v>
      </c>
      <c r="Q342" s="3">
        <v>0.25</v>
      </c>
      <c r="R342" t="b">
        <v>1</v>
      </c>
      <c r="S342" t="s">
        <v>1944</v>
      </c>
    </row>
    <row r="343" spans="1:19" x14ac:dyDescent="0.2">
      <c r="A343">
        <v>335</v>
      </c>
      <c r="B343" t="s">
        <v>1116</v>
      </c>
      <c r="C343" t="s">
        <v>1117</v>
      </c>
      <c r="D343">
        <v>91709</v>
      </c>
      <c r="E343">
        <v>9</v>
      </c>
      <c r="F343">
        <v>10348107</v>
      </c>
      <c r="G343" t="s">
        <v>914</v>
      </c>
      <c r="H343" t="s">
        <v>113</v>
      </c>
      <c r="I343" s="3">
        <v>0.22916666666666666</v>
      </c>
      <c r="J343" t="s">
        <v>113</v>
      </c>
      <c r="K343" s="3">
        <v>0.22916666666666666</v>
      </c>
      <c r="L343" t="s">
        <v>113</v>
      </c>
      <c r="M343" s="3">
        <v>0.22916666666666666</v>
      </c>
      <c r="N343" t="s">
        <v>113</v>
      </c>
      <c r="O343" s="3">
        <v>0.22916666666666666</v>
      </c>
      <c r="P343" t="s">
        <v>113</v>
      </c>
      <c r="Q343" s="3">
        <v>0.22916666666666666</v>
      </c>
      <c r="R343" t="b">
        <v>0</v>
      </c>
      <c r="S343" t="s">
        <v>1945</v>
      </c>
    </row>
    <row r="344" spans="1:19" x14ac:dyDescent="0.2">
      <c r="A344">
        <v>336</v>
      </c>
      <c r="B344" t="s">
        <v>806</v>
      </c>
      <c r="C344" t="s">
        <v>805</v>
      </c>
      <c r="D344">
        <v>91768</v>
      </c>
      <c r="E344">
        <v>5</v>
      </c>
      <c r="F344">
        <v>10243224</v>
      </c>
      <c r="G344" t="s">
        <v>914</v>
      </c>
      <c r="H344" t="s">
        <v>113</v>
      </c>
      <c r="I344" s="3">
        <v>0.33333333333333331</v>
      </c>
      <c r="J344" t="s">
        <v>113</v>
      </c>
      <c r="K344" s="3">
        <v>0.33333333333333331</v>
      </c>
      <c r="L344" t="s">
        <v>113</v>
      </c>
      <c r="M344" s="3">
        <v>0.33333333333333331</v>
      </c>
      <c r="N344" t="s">
        <v>113</v>
      </c>
      <c r="O344" s="3">
        <v>0.33333333333333331</v>
      </c>
      <c r="P344" t="s">
        <v>113</v>
      </c>
      <c r="Q344" s="3">
        <v>0.33333333333333331</v>
      </c>
      <c r="R344" t="b">
        <v>1</v>
      </c>
      <c r="S344" t="s">
        <v>1946</v>
      </c>
    </row>
    <row r="345" spans="1:19" x14ac:dyDescent="0.2">
      <c r="A345">
        <v>337</v>
      </c>
      <c r="B345" t="s">
        <v>1183</v>
      </c>
      <c r="C345" t="s">
        <v>1184</v>
      </c>
      <c r="D345">
        <v>91730</v>
      </c>
      <c r="E345">
        <v>15</v>
      </c>
      <c r="F345">
        <v>102945942</v>
      </c>
      <c r="G345" t="s">
        <v>914</v>
      </c>
      <c r="H345" t="s">
        <v>113</v>
      </c>
      <c r="I345" s="3">
        <v>0.25</v>
      </c>
      <c r="J345" t="s">
        <v>113</v>
      </c>
      <c r="K345" s="3">
        <v>0.25</v>
      </c>
      <c r="L345" t="s">
        <v>113</v>
      </c>
      <c r="M345" s="3">
        <v>0.25</v>
      </c>
      <c r="N345" t="s">
        <v>113</v>
      </c>
      <c r="O345" s="3">
        <v>0.25</v>
      </c>
      <c r="P345" t="s">
        <v>113</v>
      </c>
      <c r="Q345" s="3">
        <v>0.25</v>
      </c>
      <c r="R345" t="b">
        <v>1</v>
      </c>
      <c r="S345" t="s">
        <v>1947</v>
      </c>
    </row>
    <row r="346" spans="1:19" x14ac:dyDescent="0.2">
      <c r="A346">
        <v>338</v>
      </c>
      <c r="B346" t="s">
        <v>1214</v>
      </c>
      <c r="C346" t="s">
        <v>653</v>
      </c>
      <c r="D346">
        <v>91706</v>
      </c>
      <c r="E346">
        <v>18</v>
      </c>
      <c r="F346">
        <v>10118280</v>
      </c>
      <c r="G346" t="s">
        <v>914</v>
      </c>
      <c r="H346" t="s">
        <v>103</v>
      </c>
      <c r="I346" s="3">
        <v>0.33333333333333331</v>
      </c>
      <c r="J346" t="s">
        <v>933</v>
      </c>
      <c r="K346" s="3">
        <v>0.33333333333333331</v>
      </c>
      <c r="L346" t="s">
        <v>933</v>
      </c>
      <c r="M346" s="3">
        <v>0.33333333333333331</v>
      </c>
      <c r="N346" t="s">
        <v>933</v>
      </c>
      <c r="O346" s="3">
        <v>0.33333333333333331</v>
      </c>
      <c r="P346" t="s">
        <v>933</v>
      </c>
      <c r="Q346" s="3">
        <v>0.33333333333333331</v>
      </c>
      <c r="R346" t="b">
        <v>1</v>
      </c>
      <c r="S346" t="s">
        <v>1948</v>
      </c>
    </row>
    <row r="347" spans="1:19" x14ac:dyDescent="0.2">
      <c r="A347">
        <v>339</v>
      </c>
      <c r="B347" t="s">
        <v>995</v>
      </c>
      <c r="C347" t="s">
        <v>996</v>
      </c>
      <c r="D347">
        <v>91767</v>
      </c>
      <c r="E347">
        <v>3</v>
      </c>
      <c r="F347">
        <v>10354662</v>
      </c>
      <c r="G347" t="s">
        <v>914</v>
      </c>
      <c r="H347" t="s">
        <v>113</v>
      </c>
      <c r="I347" s="3">
        <v>0.29166666666666669</v>
      </c>
      <c r="J347" t="s">
        <v>113</v>
      </c>
      <c r="K347" s="3">
        <v>0.41666666666666669</v>
      </c>
      <c r="L347" t="s">
        <v>113</v>
      </c>
      <c r="M347" s="3">
        <v>0.41666666666666669</v>
      </c>
      <c r="N347" t="s">
        <v>113</v>
      </c>
      <c r="O347" s="3">
        <v>0.47916666666666669</v>
      </c>
      <c r="P347" t="s">
        <v>113</v>
      </c>
      <c r="Q347" s="3">
        <v>0.25</v>
      </c>
      <c r="R347" t="b">
        <v>1</v>
      </c>
      <c r="S347" t="s">
        <v>1949</v>
      </c>
    </row>
    <row r="348" spans="1:19" x14ac:dyDescent="0.2">
      <c r="A348">
        <v>340</v>
      </c>
      <c r="B348" t="s">
        <v>1290</v>
      </c>
      <c r="C348" t="s">
        <v>523</v>
      </c>
      <c r="D348">
        <v>91205</v>
      </c>
      <c r="E348">
        <v>33</v>
      </c>
      <c r="F348" t="s">
        <v>1291</v>
      </c>
      <c r="G348" t="s">
        <v>914</v>
      </c>
      <c r="H348" t="s">
        <v>113</v>
      </c>
      <c r="I348" s="3">
        <v>0.54166666666666663</v>
      </c>
      <c r="J348" t="s">
        <v>113</v>
      </c>
      <c r="K348" s="3">
        <v>0.54166666666666663</v>
      </c>
      <c r="L348" t="s">
        <v>113</v>
      </c>
      <c r="M348" s="3">
        <v>0.54166666666666663</v>
      </c>
      <c r="N348" t="s">
        <v>113</v>
      </c>
      <c r="O348" s="3">
        <v>0.54166666666666663</v>
      </c>
      <c r="P348" t="s">
        <v>113</v>
      </c>
      <c r="Q348" s="3">
        <v>0.54166666666666663</v>
      </c>
      <c r="R348" t="b">
        <v>0</v>
      </c>
      <c r="S348" t="s">
        <v>1950</v>
      </c>
    </row>
    <row r="349" spans="1:19" x14ac:dyDescent="0.2">
      <c r="A349">
        <v>341</v>
      </c>
      <c r="B349" t="s">
        <v>940</v>
      </c>
      <c r="C349" t="s">
        <v>941</v>
      </c>
      <c r="D349">
        <v>91763</v>
      </c>
      <c r="E349">
        <v>1</v>
      </c>
      <c r="F349">
        <v>10043602</v>
      </c>
      <c r="G349" t="s">
        <v>914</v>
      </c>
      <c r="H349" t="s">
        <v>92</v>
      </c>
      <c r="I349" s="3">
        <v>0.25</v>
      </c>
      <c r="J349" t="s">
        <v>92</v>
      </c>
      <c r="K349" s="3">
        <v>0.25</v>
      </c>
      <c r="L349" t="s">
        <v>92</v>
      </c>
      <c r="M349" s="3">
        <v>0.25</v>
      </c>
      <c r="N349" t="s">
        <v>92</v>
      </c>
      <c r="O349" s="3">
        <v>0.25</v>
      </c>
      <c r="P349" t="s">
        <v>92</v>
      </c>
      <c r="Q349" s="3">
        <v>0.25</v>
      </c>
      <c r="R349" t="b">
        <v>1</v>
      </c>
      <c r="S349" t="s">
        <v>1951</v>
      </c>
    </row>
    <row r="350" spans="1:19" x14ac:dyDescent="0.2">
      <c r="A350">
        <v>342</v>
      </c>
      <c r="B350" t="s">
        <v>148</v>
      </c>
      <c r="C350" t="s">
        <v>1952</v>
      </c>
      <c r="D350">
        <v>91711</v>
      </c>
      <c r="E350">
        <v>0.5</v>
      </c>
      <c r="F350">
        <v>100354711</v>
      </c>
      <c r="G350" t="s">
        <v>1495</v>
      </c>
      <c r="H350" t="s">
        <v>98</v>
      </c>
      <c r="I350" s="3">
        <v>0.35416666666666669</v>
      </c>
      <c r="J350" t="s">
        <v>98</v>
      </c>
      <c r="K350" s="3">
        <v>0.35416666666666669</v>
      </c>
      <c r="L350" t="s">
        <v>98</v>
      </c>
      <c r="M350" s="3">
        <v>0.35416666666666669</v>
      </c>
      <c r="N350" t="s">
        <v>98</v>
      </c>
      <c r="O350" s="3">
        <v>0.35416666666666669</v>
      </c>
      <c r="P350" t="s">
        <v>98</v>
      </c>
      <c r="Q350" s="3">
        <v>0.35416666666666669</v>
      </c>
      <c r="R350" t="b">
        <v>1</v>
      </c>
      <c r="S350" t="s">
        <v>1953</v>
      </c>
    </row>
    <row r="351" spans="1:19" x14ac:dyDescent="0.2">
      <c r="A351">
        <v>343</v>
      </c>
      <c r="B351" t="s">
        <v>1073</v>
      </c>
      <c r="C351" t="s">
        <v>1074</v>
      </c>
      <c r="D351">
        <v>91768</v>
      </c>
      <c r="E351">
        <v>7</v>
      </c>
      <c r="F351">
        <v>10168793</v>
      </c>
      <c r="G351" t="s">
        <v>914</v>
      </c>
      <c r="H351" t="s">
        <v>113</v>
      </c>
      <c r="I351" s="3">
        <v>0.29166666666666669</v>
      </c>
      <c r="J351" t="s">
        <v>113</v>
      </c>
      <c r="K351" s="3">
        <v>0.29166666666666669</v>
      </c>
      <c r="L351" t="s">
        <v>113</v>
      </c>
      <c r="M351" s="3">
        <v>0.29166666666666669</v>
      </c>
      <c r="N351" t="s">
        <v>113</v>
      </c>
      <c r="O351" s="3">
        <v>0.29166666666666669</v>
      </c>
      <c r="P351" t="s">
        <v>113</v>
      </c>
      <c r="Q351" s="3">
        <v>0.29166666666666669</v>
      </c>
      <c r="R351" t="b">
        <v>1</v>
      </c>
      <c r="S351" t="s">
        <v>1954</v>
      </c>
    </row>
    <row r="352" spans="1:19" x14ac:dyDescent="0.2">
      <c r="A352">
        <v>344</v>
      </c>
      <c r="B352" t="s">
        <v>1282</v>
      </c>
      <c r="C352" t="s">
        <v>1278</v>
      </c>
      <c r="D352">
        <v>92404</v>
      </c>
      <c r="E352">
        <v>30</v>
      </c>
      <c r="F352">
        <v>10368864</v>
      </c>
      <c r="G352" t="s">
        <v>914</v>
      </c>
      <c r="H352" t="s">
        <v>113</v>
      </c>
      <c r="I352" s="3">
        <v>0.25</v>
      </c>
      <c r="J352" t="s">
        <v>113</v>
      </c>
      <c r="K352" s="3">
        <v>0.25</v>
      </c>
      <c r="L352" t="s">
        <v>113</v>
      </c>
      <c r="M352" s="3">
        <v>0.25</v>
      </c>
      <c r="N352" t="s">
        <v>113</v>
      </c>
      <c r="O352" s="3">
        <v>0.54166666666666663</v>
      </c>
      <c r="P352" t="s">
        <v>113</v>
      </c>
      <c r="Q352" s="3">
        <v>0.25</v>
      </c>
      <c r="R352" t="b">
        <v>1</v>
      </c>
      <c r="S352" t="s">
        <v>1955</v>
      </c>
    </row>
    <row r="353" spans="1:19" x14ac:dyDescent="0.2">
      <c r="A353">
        <v>345</v>
      </c>
      <c r="B353" t="s">
        <v>1956</v>
      </c>
      <c r="C353" t="s">
        <v>1957</v>
      </c>
      <c r="D353">
        <v>91711</v>
      </c>
      <c r="E353">
        <v>2</v>
      </c>
      <c r="F353">
        <v>101345531</v>
      </c>
      <c r="G353" t="s">
        <v>1495</v>
      </c>
      <c r="H353" t="s">
        <v>113</v>
      </c>
      <c r="I353" s="3">
        <v>0.375</v>
      </c>
      <c r="J353" t="s">
        <v>113</v>
      </c>
      <c r="K353" s="3">
        <v>0.375</v>
      </c>
      <c r="L353" t="s">
        <v>113</v>
      </c>
      <c r="M353" s="3">
        <v>0.375</v>
      </c>
      <c r="N353" t="s">
        <v>113</v>
      </c>
      <c r="O353" s="3">
        <v>0.375</v>
      </c>
      <c r="P353" t="s">
        <v>113</v>
      </c>
      <c r="Q353" s="3">
        <v>0.375</v>
      </c>
      <c r="R353" t="b">
        <v>1</v>
      </c>
      <c r="S353" t="s">
        <v>1958</v>
      </c>
    </row>
    <row r="354" spans="1:19" x14ac:dyDescent="0.2">
      <c r="A354">
        <v>346</v>
      </c>
      <c r="B354" t="s">
        <v>997</v>
      </c>
      <c r="C354" t="s">
        <v>558</v>
      </c>
      <c r="D354">
        <v>91763</v>
      </c>
      <c r="E354">
        <v>3</v>
      </c>
      <c r="F354">
        <v>10043664</v>
      </c>
      <c r="G354" t="s">
        <v>914</v>
      </c>
      <c r="H354" t="s">
        <v>113</v>
      </c>
      <c r="I354" s="3">
        <v>0.54166666666666663</v>
      </c>
      <c r="J354" t="s">
        <v>113</v>
      </c>
      <c r="K354" s="3">
        <v>0.54166666666666663</v>
      </c>
      <c r="L354" t="s">
        <v>113</v>
      </c>
      <c r="M354" s="3">
        <v>0.41666666666666669</v>
      </c>
      <c r="N354" t="s">
        <v>113</v>
      </c>
      <c r="O354" s="3">
        <v>0.25</v>
      </c>
      <c r="P354" t="s">
        <v>113</v>
      </c>
      <c r="Q354" s="3">
        <v>0.25</v>
      </c>
      <c r="R354" t="b">
        <v>1</v>
      </c>
      <c r="S354" t="s">
        <v>1959</v>
      </c>
    </row>
    <row r="355" spans="1:19" x14ac:dyDescent="0.2">
      <c r="A355">
        <v>347</v>
      </c>
      <c r="B355" t="s">
        <v>1035</v>
      </c>
      <c r="C355" t="s">
        <v>1036</v>
      </c>
      <c r="D355">
        <v>91786</v>
      </c>
      <c r="E355">
        <v>4.5999999999999996</v>
      </c>
      <c r="F355">
        <v>10361235</v>
      </c>
      <c r="G355" t="s">
        <v>914</v>
      </c>
      <c r="H355" t="s">
        <v>98</v>
      </c>
      <c r="I355" s="3">
        <v>0.39583333333333331</v>
      </c>
      <c r="J355" t="s">
        <v>98</v>
      </c>
      <c r="K355" s="3">
        <v>0.47916666666666669</v>
      </c>
      <c r="L355" t="s">
        <v>98</v>
      </c>
      <c r="M355" s="3">
        <v>0.375</v>
      </c>
      <c r="N355" t="s">
        <v>98</v>
      </c>
      <c r="O355" s="3">
        <v>0.54166666666666663</v>
      </c>
      <c r="P355" t="s">
        <v>98</v>
      </c>
      <c r="Q355" s="3">
        <v>0.54166666666666663</v>
      </c>
      <c r="R355" t="b">
        <v>1</v>
      </c>
      <c r="S355" t="s">
        <v>1960</v>
      </c>
    </row>
    <row r="356" spans="1:19" x14ac:dyDescent="0.2">
      <c r="A356">
        <v>348</v>
      </c>
      <c r="B356" t="s">
        <v>826</v>
      </c>
      <c r="C356" t="s">
        <v>825</v>
      </c>
      <c r="D356">
        <v>91710</v>
      </c>
      <c r="E356">
        <v>12</v>
      </c>
      <c r="F356" t="s">
        <v>1146</v>
      </c>
      <c r="G356" t="s">
        <v>914</v>
      </c>
      <c r="H356" t="s">
        <v>103</v>
      </c>
      <c r="I356" s="3">
        <v>0.33333333333333331</v>
      </c>
      <c r="J356" t="s">
        <v>113</v>
      </c>
      <c r="K356" s="3">
        <v>0.33333333333333331</v>
      </c>
      <c r="L356" t="s">
        <v>113</v>
      </c>
      <c r="M356" s="3">
        <v>0.33333333333333331</v>
      </c>
      <c r="N356" t="s">
        <v>113</v>
      </c>
      <c r="O356" s="3">
        <v>0.33333333333333331</v>
      </c>
      <c r="P356" t="s">
        <v>103</v>
      </c>
      <c r="Q356" s="3">
        <v>0.33333333333333331</v>
      </c>
      <c r="R356" t="b">
        <v>1</v>
      </c>
      <c r="S356" t="s">
        <v>1961</v>
      </c>
    </row>
    <row r="357" spans="1:19" x14ac:dyDescent="0.2">
      <c r="A357">
        <v>349</v>
      </c>
      <c r="B357" t="s">
        <v>1129</v>
      </c>
      <c r="C357" t="s">
        <v>1130</v>
      </c>
      <c r="D357">
        <v>91764</v>
      </c>
      <c r="E357">
        <v>10</v>
      </c>
      <c r="F357">
        <v>102894622</v>
      </c>
      <c r="G357" t="s">
        <v>914</v>
      </c>
      <c r="H357" t="s">
        <v>74</v>
      </c>
      <c r="I357" s="3">
        <v>0.33333333333333331</v>
      </c>
      <c r="J357" t="s">
        <v>103</v>
      </c>
      <c r="K357" s="3">
        <v>0.33333333333333331</v>
      </c>
      <c r="L357" t="s">
        <v>74</v>
      </c>
      <c r="M357" s="3">
        <v>0.33333333333333331</v>
      </c>
      <c r="N357" t="s">
        <v>74</v>
      </c>
      <c r="O357" s="3">
        <v>0.33333333333333331</v>
      </c>
      <c r="P357" t="s">
        <v>103</v>
      </c>
      <c r="Q357" s="3">
        <v>0.33333333333333331</v>
      </c>
      <c r="R357" t="b">
        <v>1</v>
      </c>
      <c r="S357" t="s">
        <v>1962</v>
      </c>
    </row>
    <row r="358" spans="1:19" x14ac:dyDescent="0.2">
      <c r="A358">
        <v>350</v>
      </c>
      <c r="B358" t="s">
        <v>412</v>
      </c>
      <c r="C358" t="s">
        <v>1963</v>
      </c>
      <c r="D358">
        <v>91711</v>
      </c>
      <c r="E358">
        <v>1.5</v>
      </c>
      <c r="F358">
        <v>10018386</v>
      </c>
      <c r="G358" t="s">
        <v>1495</v>
      </c>
      <c r="H358" t="s">
        <v>113</v>
      </c>
      <c r="I358" s="3">
        <v>0.35416666666666669</v>
      </c>
      <c r="J358" t="s">
        <v>113</v>
      </c>
      <c r="K358" s="3">
        <v>0.375</v>
      </c>
      <c r="L358" t="s">
        <v>113</v>
      </c>
      <c r="M358" s="3">
        <v>0.35416666666666669</v>
      </c>
      <c r="N358" t="s">
        <v>113</v>
      </c>
      <c r="O358" s="3">
        <v>0.375</v>
      </c>
      <c r="P358" t="s">
        <v>113</v>
      </c>
      <c r="Q358" s="3">
        <v>0.375</v>
      </c>
      <c r="R358" t="b">
        <v>1</v>
      </c>
      <c r="S358" t="s">
        <v>1964</v>
      </c>
    </row>
    <row r="359" spans="1:19" x14ac:dyDescent="0.2">
      <c r="A359">
        <v>351</v>
      </c>
      <c r="B359" t="s">
        <v>501</v>
      </c>
      <c r="C359" t="s">
        <v>962</v>
      </c>
      <c r="D359">
        <v>91786</v>
      </c>
      <c r="E359">
        <v>2</v>
      </c>
      <c r="F359">
        <v>10043620</v>
      </c>
      <c r="G359" t="s">
        <v>914</v>
      </c>
      <c r="H359" t="s">
        <v>113</v>
      </c>
      <c r="I359" s="3">
        <v>0.41666666666666669</v>
      </c>
      <c r="J359" t="s">
        <v>113</v>
      </c>
      <c r="K359" s="3">
        <v>0.29166666666666669</v>
      </c>
      <c r="L359" t="s">
        <v>113</v>
      </c>
      <c r="M359" s="3">
        <v>0.29166666666666669</v>
      </c>
      <c r="N359" t="s">
        <v>113</v>
      </c>
      <c r="O359" s="3">
        <v>0.41666666666666669</v>
      </c>
      <c r="P359" t="s">
        <v>113</v>
      </c>
      <c r="Q359" s="3">
        <v>0.41666666666666669</v>
      </c>
      <c r="R359" t="b">
        <v>1</v>
      </c>
      <c r="S359" t="s">
        <v>1965</v>
      </c>
    </row>
    <row r="360" spans="1:19" x14ac:dyDescent="0.2">
      <c r="A360">
        <v>352</v>
      </c>
      <c r="B360" t="s">
        <v>1966</v>
      </c>
      <c r="C360" t="s">
        <v>1967</v>
      </c>
      <c r="D360">
        <v>91711</v>
      </c>
      <c r="E360">
        <v>1</v>
      </c>
      <c r="F360">
        <v>10366463</v>
      </c>
      <c r="G360" t="s">
        <v>1495</v>
      </c>
      <c r="H360" t="s">
        <v>108</v>
      </c>
      <c r="I360" s="3">
        <v>0.5</v>
      </c>
      <c r="J360" t="s">
        <v>92</v>
      </c>
      <c r="K360" s="3">
        <v>0.41666666666666669</v>
      </c>
      <c r="L360" t="s">
        <v>933</v>
      </c>
      <c r="M360" s="3">
        <v>0.375</v>
      </c>
      <c r="N360" t="s">
        <v>92</v>
      </c>
      <c r="O360" s="3">
        <v>0.375</v>
      </c>
      <c r="P360" t="s">
        <v>92</v>
      </c>
      <c r="Q360" s="3">
        <v>0.375</v>
      </c>
      <c r="R360" t="b">
        <v>1</v>
      </c>
      <c r="S360" t="s">
        <v>1968</v>
      </c>
    </row>
    <row r="361" spans="1:19" x14ac:dyDescent="0.2">
      <c r="A361">
        <v>353</v>
      </c>
      <c r="B361" t="s">
        <v>1969</v>
      </c>
      <c r="C361" t="s">
        <v>369</v>
      </c>
      <c r="D361">
        <v>91711</v>
      </c>
      <c r="E361">
        <v>1</v>
      </c>
      <c r="F361">
        <v>100872241</v>
      </c>
      <c r="G361" t="s">
        <v>1495</v>
      </c>
      <c r="H361" t="s">
        <v>74</v>
      </c>
      <c r="I361" s="3">
        <v>0.35416666666666669</v>
      </c>
      <c r="J361" t="s">
        <v>74</v>
      </c>
      <c r="K361" s="3">
        <v>0.35416666666666669</v>
      </c>
      <c r="L361" t="s">
        <v>74</v>
      </c>
      <c r="M361" s="3">
        <v>0.35416666666666669</v>
      </c>
      <c r="N361" t="s">
        <v>74</v>
      </c>
      <c r="O361" s="3">
        <v>0.35416666666666669</v>
      </c>
      <c r="P361" t="s">
        <v>74</v>
      </c>
      <c r="Q361" s="3">
        <v>0.35416666666666669</v>
      </c>
      <c r="R361" t="b">
        <v>1</v>
      </c>
      <c r="S361" t="s">
        <v>1970</v>
      </c>
    </row>
    <row r="362" spans="1:19" x14ac:dyDescent="0.2">
      <c r="A362">
        <v>354</v>
      </c>
      <c r="B362" t="s">
        <v>619</v>
      </c>
      <c r="C362" t="s">
        <v>618</v>
      </c>
      <c r="D362">
        <v>92337</v>
      </c>
      <c r="E362">
        <v>30</v>
      </c>
      <c r="F362">
        <v>10256187</v>
      </c>
      <c r="G362" t="s">
        <v>914</v>
      </c>
      <c r="H362" t="s">
        <v>113</v>
      </c>
      <c r="I362" s="3">
        <v>0.25</v>
      </c>
      <c r="J362" t="s">
        <v>113</v>
      </c>
      <c r="K362" s="3">
        <v>0.25</v>
      </c>
      <c r="L362" t="s">
        <v>113</v>
      </c>
      <c r="M362" s="3">
        <v>0.25</v>
      </c>
      <c r="N362" t="s">
        <v>113</v>
      </c>
      <c r="O362" s="3">
        <v>0.25</v>
      </c>
      <c r="P362" t="s">
        <v>113</v>
      </c>
      <c r="Q362" s="3">
        <v>0.25</v>
      </c>
      <c r="R362" t="b">
        <v>1</v>
      </c>
      <c r="S362" t="s">
        <v>1971</v>
      </c>
    </row>
    <row r="363" spans="1:19" x14ac:dyDescent="0.2">
      <c r="A363">
        <v>355</v>
      </c>
      <c r="B363" t="s">
        <v>1972</v>
      </c>
      <c r="C363" t="s">
        <v>1973</v>
      </c>
      <c r="D363">
        <v>91711</v>
      </c>
      <c r="E363">
        <v>0</v>
      </c>
      <c r="F363">
        <v>10371017</v>
      </c>
      <c r="G363" t="s">
        <v>1632</v>
      </c>
      <c r="H363" t="s">
        <v>92</v>
      </c>
      <c r="I363" s="3">
        <v>0.58333333333333337</v>
      </c>
      <c r="J363" t="s">
        <v>202</v>
      </c>
      <c r="K363" s="3">
        <v>0.45833333333333331</v>
      </c>
      <c r="L363" t="s">
        <v>92</v>
      </c>
      <c r="M363" s="3">
        <v>0.58333333333333337</v>
      </c>
      <c r="N363" t="s">
        <v>92</v>
      </c>
      <c r="O363" s="3">
        <v>0.58333333333333337</v>
      </c>
      <c r="P363" t="s">
        <v>202</v>
      </c>
      <c r="Q363" s="3">
        <v>0.45833333333333331</v>
      </c>
      <c r="R363" t="b">
        <v>0</v>
      </c>
      <c r="S363" t="s">
        <v>1974</v>
      </c>
    </row>
    <row r="364" spans="1:19" x14ac:dyDescent="0.2">
      <c r="A364">
        <v>356</v>
      </c>
      <c r="B364" t="s">
        <v>1975</v>
      </c>
      <c r="C364" t="s">
        <v>1976</v>
      </c>
      <c r="D364">
        <v>91711</v>
      </c>
      <c r="E364">
        <v>0</v>
      </c>
      <c r="F364">
        <v>10368599</v>
      </c>
      <c r="G364" t="s">
        <v>1632</v>
      </c>
      <c r="H364" t="s">
        <v>202</v>
      </c>
      <c r="I364" s="3">
        <v>0.45833333333333331</v>
      </c>
      <c r="J364" t="s">
        <v>92</v>
      </c>
      <c r="K364" s="3">
        <v>0.95833333333333337</v>
      </c>
      <c r="L364" t="s">
        <v>202</v>
      </c>
      <c r="M364" s="3">
        <v>0.45833333333333331</v>
      </c>
      <c r="N364" t="s">
        <v>202</v>
      </c>
      <c r="O364" s="3">
        <v>0.45833333333333331</v>
      </c>
      <c r="P364" t="s">
        <v>202</v>
      </c>
      <c r="Q364" s="3">
        <v>0.45833333333333331</v>
      </c>
      <c r="R364" t="b">
        <v>0</v>
      </c>
      <c r="S364" t="s">
        <v>1977</v>
      </c>
    </row>
    <row r="365" spans="1:19" x14ac:dyDescent="0.2">
      <c r="A365">
        <v>357</v>
      </c>
      <c r="B365" t="s">
        <v>1035</v>
      </c>
      <c r="C365" t="s">
        <v>1324</v>
      </c>
      <c r="D365">
        <v>92394</v>
      </c>
      <c r="E365">
        <v>50</v>
      </c>
      <c r="F365">
        <v>10362633</v>
      </c>
      <c r="G365" t="s">
        <v>914</v>
      </c>
      <c r="H365" t="s">
        <v>113</v>
      </c>
      <c r="I365" s="3">
        <v>0.5</v>
      </c>
      <c r="J365" t="s">
        <v>113</v>
      </c>
      <c r="K365" s="3">
        <v>0.5</v>
      </c>
      <c r="L365" t="s">
        <v>113</v>
      </c>
      <c r="M365" s="3">
        <v>0.5</v>
      </c>
      <c r="N365" t="s">
        <v>113</v>
      </c>
      <c r="O365" s="3">
        <v>0.5</v>
      </c>
      <c r="P365" t="s">
        <v>113</v>
      </c>
      <c r="Q365" s="3">
        <v>0.5</v>
      </c>
      <c r="R365" t="b">
        <v>0</v>
      </c>
      <c r="S365" t="s">
        <v>1978</v>
      </c>
    </row>
    <row r="366" spans="1:19" x14ac:dyDescent="0.2">
      <c r="A366">
        <v>358</v>
      </c>
      <c r="B366" t="s">
        <v>864</v>
      </c>
      <c r="C366" t="s">
        <v>863</v>
      </c>
      <c r="D366">
        <v>92374</v>
      </c>
      <c r="E366">
        <v>37</v>
      </c>
      <c r="F366">
        <v>10292343</v>
      </c>
      <c r="G366" t="s">
        <v>914</v>
      </c>
      <c r="H366" t="s">
        <v>103</v>
      </c>
      <c r="I366" s="3">
        <v>0.3125</v>
      </c>
      <c r="J366" t="s">
        <v>103</v>
      </c>
      <c r="K366" s="3">
        <v>0.3125</v>
      </c>
      <c r="L366" t="s">
        <v>103</v>
      </c>
      <c r="M366" s="3">
        <v>0.3125</v>
      </c>
      <c r="N366" t="s">
        <v>103</v>
      </c>
      <c r="O366" s="3">
        <v>0.3125</v>
      </c>
      <c r="P366" t="s">
        <v>103</v>
      </c>
      <c r="Q366" s="3">
        <v>0.3125</v>
      </c>
      <c r="R366" t="b">
        <v>1</v>
      </c>
      <c r="S366" t="s">
        <v>1979</v>
      </c>
    </row>
    <row r="367" spans="1:19" x14ac:dyDescent="0.2">
      <c r="A367">
        <v>359</v>
      </c>
      <c r="B367" t="s">
        <v>1980</v>
      </c>
      <c r="C367" t="s">
        <v>1981</v>
      </c>
      <c r="D367">
        <v>92506</v>
      </c>
      <c r="E367">
        <v>20</v>
      </c>
      <c r="F367">
        <v>103613241</v>
      </c>
      <c r="G367" t="s">
        <v>1495</v>
      </c>
      <c r="H367" t="s">
        <v>113</v>
      </c>
      <c r="I367" s="3">
        <v>0.33333333333333331</v>
      </c>
      <c r="J367" t="s">
        <v>108</v>
      </c>
      <c r="K367" s="3">
        <v>0.375</v>
      </c>
      <c r="L367" t="s">
        <v>113</v>
      </c>
      <c r="M367" s="3">
        <v>0.33333333333333331</v>
      </c>
      <c r="N367" t="s">
        <v>108</v>
      </c>
      <c r="O367" s="3">
        <v>0.375</v>
      </c>
      <c r="P367" t="s">
        <v>113</v>
      </c>
      <c r="Q367" s="3">
        <v>0.33333333333333331</v>
      </c>
      <c r="R367" t="b">
        <v>1</v>
      </c>
      <c r="S367" t="s">
        <v>1982</v>
      </c>
    </row>
    <row r="368" spans="1:19" x14ac:dyDescent="0.2">
      <c r="A368">
        <v>360</v>
      </c>
      <c r="B368" t="s">
        <v>1200</v>
      </c>
      <c r="C368" t="s">
        <v>816</v>
      </c>
      <c r="D368">
        <v>91792</v>
      </c>
      <c r="E368">
        <v>16</v>
      </c>
      <c r="F368">
        <v>103702021</v>
      </c>
      <c r="G368" t="s">
        <v>914</v>
      </c>
      <c r="H368" t="s">
        <v>74</v>
      </c>
      <c r="I368" s="3">
        <v>0.33333333333333331</v>
      </c>
      <c r="J368" t="s">
        <v>74</v>
      </c>
      <c r="K368" s="3">
        <v>0.33333333333333331</v>
      </c>
      <c r="L368" t="s">
        <v>74</v>
      </c>
      <c r="M368" s="3">
        <v>0.33333333333333331</v>
      </c>
      <c r="N368" t="s">
        <v>103</v>
      </c>
      <c r="O368" s="3">
        <v>0.35416666666666669</v>
      </c>
      <c r="P368" t="s">
        <v>74</v>
      </c>
      <c r="Q368" s="3">
        <v>0.33333333333333331</v>
      </c>
      <c r="R368" t="b">
        <v>1</v>
      </c>
      <c r="S368" t="s">
        <v>1983</v>
      </c>
    </row>
    <row r="369" spans="1:19" x14ac:dyDescent="0.2">
      <c r="A369">
        <v>361</v>
      </c>
      <c r="B369" t="s">
        <v>1984</v>
      </c>
      <c r="C369" t="s">
        <v>1985</v>
      </c>
      <c r="D369">
        <v>91711</v>
      </c>
      <c r="E369">
        <v>0.5</v>
      </c>
      <c r="F369">
        <v>103701181</v>
      </c>
      <c r="G369" t="s">
        <v>1495</v>
      </c>
      <c r="H369" t="s">
        <v>92</v>
      </c>
      <c r="I369" s="3">
        <v>0.375</v>
      </c>
      <c r="J369" t="s">
        <v>92</v>
      </c>
      <c r="K369" s="3">
        <v>0.375</v>
      </c>
      <c r="L369" t="s">
        <v>92</v>
      </c>
      <c r="M369" s="3">
        <v>0.375</v>
      </c>
      <c r="N369" t="s">
        <v>92</v>
      </c>
      <c r="O369" s="3">
        <v>0.375</v>
      </c>
      <c r="P369" t="s">
        <v>202</v>
      </c>
      <c r="Q369" s="3">
        <v>0.25</v>
      </c>
      <c r="R369" t="b">
        <v>1</v>
      </c>
      <c r="S369" t="s">
        <v>1986</v>
      </c>
    </row>
    <row r="370" spans="1:19" x14ac:dyDescent="0.2">
      <c r="A370">
        <v>362</v>
      </c>
      <c r="B370" t="s">
        <v>318</v>
      </c>
      <c r="C370" t="s">
        <v>1987</v>
      </c>
      <c r="D370">
        <v>91711</v>
      </c>
      <c r="E370">
        <v>2</v>
      </c>
      <c r="F370">
        <v>10042125</v>
      </c>
      <c r="G370" t="s">
        <v>1495</v>
      </c>
      <c r="H370" t="s">
        <v>113</v>
      </c>
      <c r="I370" s="3">
        <v>0.375</v>
      </c>
      <c r="J370" t="s">
        <v>113</v>
      </c>
      <c r="K370" s="3">
        <v>0.375</v>
      </c>
      <c r="L370" t="s">
        <v>113</v>
      </c>
      <c r="M370" s="3">
        <v>0.375</v>
      </c>
      <c r="N370" t="s">
        <v>113</v>
      </c>
      <c r="O370" s="3">
        <v>0.375</v>
      </c>
      <c r="P370" t="s">
        <v>113</v>
      </c>
      <c r="Q370" s="3">
        <v>0.375</v>
      </c>
      <c r="R370" t="b">
        <v>1</v>
      </c>
      <c r="S370" t="s">
        <v>1988</v>
      </c>
    </row>
    <row r="371" spans="1:19" x14ac:dyDescent="0.2">
      <c r="A371">
        <v>363</v>
      </c>
      <c r="B371" t="s">
        <v>1989</v>
      </c>
      <c r="C371" t="s">
        <v>1990</v>
      </c>
      <c r="D371">
        <v>91711</v>
      </c>
      <c r="E371">
        <v>1.5</v>
      </c>
      <c r="F371">
        <v>10042434</v>
      </c>
      <c r="G371" t="s">
        <v>1495</v>
      </c>
      <c r="H371" t="s">
        <v>113</v>
      </c>
      <c r="I371" s="3">
        <v>0.375</v>
      </c>
      <c r="J371" t="s">
        <v>113</v>
      </c>
      <c r="K371" s="3">
        <v>0.39583333333333331</v>
      </c>
      <c r="L371" t="s">
        <v>113</v>
      </c>
      <c r="M371" s="3">
        <v>0.45833333333333331</v>
      </c>
      <c r="N371" t="s">
        <v>113</v>
      </c>
      <c r="O371" s="3">
        <v>0.375</v>
      </c>
      <c r="P371" t="s">
        <v>113</v>
      </c>
      <c r="Q371" s="3">
        <v>0.45833333333333331</v>
      </c>
      <c r="R371" t="b">
        <v>1</v>
      </c>
      <c r="S371" t="s">
        <v>1991</v>
      </c>
    </row>
    <row r="372" spans="1:19" x14ac:dyDescent="0.2">
      <c r="A372">
        <v>364</v>
      </c>
      <c r="B372" t="s">
        <v>323</v>
      </c>
      <c r="C372" t="s">
        <v>558</v>
      </c>
      <c r="D372">
        <v>91739</v>
      </c>
      <c r="E372">
        <v>12</v>
      </c>
      <c r="F372">
        <v>10349377</v>
      </c>
      <c r="G372" t="s">
        <v>914</v>
      </c>
      <c r="H372" t="s">
        <v>113</v>
      </c>
      <c r="I372" s="3">
        <v>0.33333333333333331</v>
      </c>
      <c r="J372" t="s">
        <v>113</v>
      </c>
      <c r="K372" s="3">
        <v>0.33333333333333331</v>
      </c>
      <c r="L372" t="s">
        <v>113</v>
      </c>
      <c r="M372" s="3">
        <v>0.33333333333333331</v>
      </c>
      <c r="N372" t="s">
        <v>113</v>
      </c>
      <c r="O372" s="3">
        <v>0.33333333333333331</v>
      </c>
      <c r="P372" t="s">
        <v>113</v>
      </c>
      <c r="Q372" s="3">
        <v>0.33333333333333331</v>
      </c>
      <c r="R372" t="b">
        <v>1</v>
      </c>
      <c r="S372" t="s">
        <v>1992</v>
      </c>
    </row>
    <row r="373" spans="1:19" x14ac:dyDescent="0.2">
      <c r="A373">
        <v>365</v>
      </c>
      <c r="B373" t="s">
        <v>1215</v>
      </c>
      <c r="C373" t="s">
        <v>1216</v>
      </c>
      <c r="D373">
        <v>92336</v>
      </c>
      <c r="E373">
        <v>18</v>
      </c>
      <c r="F373">
        <v>10243796</v>
      </c>
      <c r="G373" t="s">
        <v>914</v>
      </c>
      <c r="H373" t="s">
        <v>108</v>
      </c>
      <c r="I373" s="3">
        <v>0.29166666666666669</v>
      </c>
      <c r="J373" t="s">
        <v>1016</v>
      </c>
      <c r="K373" s="3">
        <v>0.29166666666666669</v>
      </c>
      <c r="L373" t="s">
        <v>1016</v>
      </c>
      <c r="M373" s="3">
        <v>0.29166666666666669</v>
      </c>
      <c r="N373" t="s">
        <v>108</v>
      </c>
      <c r="O373" s="3">
        <v>0.29166666666666669</v>
      </c>
      <c r="P373" t="s">
        <v>1016</v>
      </c>
      <c r="Q373" s="3">
        <v>0.29166666666666669</v>
      </c>
      <c r="R373" t="b">
        <v>1</v>
      </c>
      <c r="S373" t="s">
        <v>1993</v>
      </c>
    </row>
    <row r="374" spans="1:19" x14ac:dyDescent="0.2">
      <c r="A374">
        <v>366</v>
      </c>
      <c r="B374" t="s">
        <v>707</v>
      </c>
      <c r="C374" t="s">
        <v>706</v>
      </c>
      <c r="D374">
        <v>92562</v>
      </c>
      <c r="E374">
        <v>59</v>
      </c>
      <c r="F374">
        <v>1030744</v>
      </c>
      <c r="G374" t="s">
        <v>914</v>
      </c>
      <c r="H374" t="s">
        <v>103</v>
      </c>
      <c r="I374" s="3">
        <v>0.33333333333333331</v>
      </c>
      <c r="J374" t="s">
        <v>113</v>
      </c>
      <c r="K374" s="3">
        <v>0.375</v>
      </c>
      <c r="L374" t="s">
        <v>113</v>
      </c>
      <c r="M374" s="3">
        <v>0.35416666666666669</v>
      </c>
      <c r="N374" t="s">
        <v>191</v>
      </c>
      <c r="O374" s="3">
        <v>0.375</v>
      </c>
      <c r="P374" t="s">
        <v>191</v>
      </c>
      <c r="Q374" s="3">
        <v>0.33333333333333331</v>
      </c>
      <c r="R374" t="b">
        <v>1</v>
      </c>
      <c r="S374" t="s">
        <v>1994</v>
      </c>
    </row>
    <row r="375" spans="1:19" x14ac:dyDescent="0.2">
      <c r="A375">
        <v>367</v>
      </c>
      <c r="B375" t="s">
        <v>1995</v>
      </c>
      <c r="C375" t="s">
        <v>1996</v>
      </c>
      <c r="D375">
        <v>98004</v>
      </c>
      <c r="E375">
        <v>0</v>
      </c>
      <c r="F375">
        <v>10371145</v>
      </c>
      <c r="G375" t="s">
        <v>1632</v>
      </c>
      <c r="H375" t="s">
        <v>92</v>
      </c>
      <c r="I375" s="3">
        <v>0.375</v>
      </c>
      <c r="J375" t="s">
        <v>92</v>
      </c>
      <c r="K375" s="3">
        <v>0.375</v>
      </c>
      <c r="L375" t="s">
        <v>92</v>
      </c>
      <c r="M375" s="3">
        <v>0.375</v>
      </c>
      <c r="N375" t="s">
        <v>92</v>
      </c>
      <c r="O375" s="3">
        <v>0.375</v>
      </c>
      <c r="P375" t="s">
        <v>92</v>
      </c>
      <c r="Q375" s="3">
        <v>0.375</v>
      </c>
      <c r="R375" t="b">
        <v>1</v>
      </c>
      <c r="S375" t="s">
        <v>1997</v>
      </c>
    </row>
    <row r="376" spans="1:19" x14ac:dyDescent="0.2">
      <c r="A376">
        <v>368</v>
      </c>
      <c r="B376" t="s">
        <v>1998</v>
      </c>
      <c r="C376" t="s">
        <v>1999</v>
      </c>
      <c r="D376">
        <v>78414</v>
      </c>
      <c r="E376">
        <v>0.3</v>
      </c>
      <c r="F376">
        <v>10369612</v>
      </c>
      <c r="G376" t="s">
        <v>1632</v>
      </c>
      <c r="H376" t="s">
        <v>92</v>
      </c>
      <c r="I376" s="3">
        <v>0.41666666666666669</v>
      </c>
      <c r="J376" t="s">
        <v>92</v>
      </c>
      <c r="K376" s="3">
        <v>0.41666666666666669</v>
      </c>
      <c r="L376" t="s">
        <v>92</v>
      </c>
      <c r="M376" s="3">
        <v>0.41666666666666669</v>
      </c>
      <c r="N376" t="s">
        <v>92</v>
      </c>
      <c r="O376" s="3">
        <v>0.41666666666666669</v>
      </c>
      <c r="P376" t="s">
        <v>92</v>
      </c>
      <c r="Q376" s="3">
        <v>0.41666666666666669</v>
      </c>
      <c r="R376" t="b">
        <v>1</v>
      </c>
      <c r="S376" t="s">
        <v>2000</v>
      </c>
    </row>
    <row r="377" spans="1:19" x14ac:dyDescent="0.2">
      <c r="A377">
        <v>369</v>
      </c>
      <c r="B377" t="s">
        <v>1131</v>
      </c>
      <c r="C377" t="s">
        <v>1132</v>
      </c>
      <c r="D377">
        <v>91767</v>
      </c>
      <c r="E377">
        <v>10</v>
      </c>
      <c r="F377">
        <v>10043384</v>
      </c>
      <c r="G377" t="s">
        <v>914</v>
      </c>
      <c r="H377" t="s">
        <v>191</v>
      </c>
      <c r="I377" s="3">
        <v>0.20833333333333334</v>
      </c>
      <c r="J377" t="s">
        <v>195</v>
      </c>
      <c r="K377" s="3">
        <v>0.20833333333333334</v>
      </c>
      <c r="L377" t="s">
        <v>933</v>
      </c>
      <c r="M377" s="3">
        <v>0.20833333333333334</v>
      </c>
      <c r="N377" t="s">
        <v>933</v>
      </c>
      <c r="O377" s="3">
        <v>0.20833333333333334</v>
      </c>
      <c r="P377" t="s">
        <v>933</v>
      </c>
      <c r="Q377" s="3">
        <v>0.20833333333333334</v>
      </c>
      <c r="R377" t="b">
        <v>0</v>
      </c>
      <c r="S377" t="s">
        <v>2001</v>
      </c>
    </row>
    <row r="378" spans="1:19" x14ac:dyDescent="0.2">
      <c r="A378">
        <v>370</v>
      </c>
      <c r="B378" t="s">
        <v>210</v>
      </c>
      <c r="C378" t="s">
        <v>209</v>
      </c>
      <c r="D378">
        <v>90250</v>
      </c>
      <c r="E378">
        <v>46</v>
      </c>
      <c r="F378">
        <v>10366658</v>
      </c>
      <c r="G378" t="s">
        <v>914</v>
      </c>
      <c r="H378" t="s">
        <v>933</v>
      </c>
      <c r="I378" s="3">
        <v>0.64583333333333337</v>
      </c>
      <c r="J378" t="s">
        <v>933</v>
      </c>
      <c r="K378" s="3">
        <v>0.64583333333333337</v>
      </c>
      <c r="L378" t="s">
        <v>933</v>
      </c>
      <c r="M378" s="3">
        <v>0.64583333333333337</v>
      </c>
      <c r="N378" t="s">
        <v>195</v>
      </c>
      <c r="O378" s="3">
        <v>0.64583333333333337</v>
      </c>
      <c r="P378" t="s">
        <v>195</v>
      </c>
      <c r="Q378" s="3">
        <v>0.64583333333333337</v>
      </c>
      <c r="R378" t="b">
        <v>0</v>
      </c>
      <c r="S378" t="s">
        <v>2002</v>
      </c>
    </row>
    <row r="379" spans="1:19" x14ac:dyDescent="0.2">
      <c r="A379">
        <v>371</v>
      </c>
      <c r="B379" t="s">
        <v>2003</v>
      </c>
      <c r="C379" t="s">
        <v>2004</v>
      </c>
      <c r="D379">
        <v>92130</v>
      </c>
      <c r="E379">
        <v>0.2</v>
      </c>
      <c r="F379">
        <v>10372826</v>
      </c>
      <c r="G379" t="s">
        <v>1632</v>
      </c>
      <c r="H379" t="s">
        <v>92</v>
      </c>
      <c r="I379" s="3">
        <v>0.60416666666666663</v>
      </c>
      <c r="J379" t="s">
        <v>202</v>
      </c>
      <c r="K379" s="3">
        <v>0.45833333333333331</v>
      </c>
      <c r="L379" t="s">
        <v>92</v>
      </c>
      <c r="M379" s="3">
        <v>0.60416666666666663</v>
      </c>
      <c r="N379" t="s">
        <v>202</v>
      </c>
      <c r="O379" s="3">
        <v>0.45833333333333331</v>
      </c>
      <c r="P379" t="s">
        <v>202</v>
      </c>
      <c r="Q379" s="3">
        <v>0.45833333333333331</v>
      </c>
      <c r="R379" t="b">
        <v>0</v>
      </c>
      <c r="S379" t="s">
        <v>2005</v>
      </c>
    </row>
    <row r="380" spans="1:19" x14ac:dyDescent="0.2">
      <c r="A380">
        <v>372</v>
      </c>
      <c r="B380" t="s">
        <v>2006</v>
      </c>
      <c r="C380" t="s">
        <v>2007</v>
      </c>
      <c r="D380">
        <v>91711</v>
      </c>
      <c r="E380">
        <v>0.4</v>
      </c>
      <c r="F380">
        <v>10364712</v>
      </c>
      <c r="G380" t="s">
        <v>1632</v>
      </c>
      <c r="H380" t="s">
        <v>92</v>
      </c>
      <c r="I380" s="3">
        <v>0.625</v>
      </c>
      <c r="J380" t="s">
        <v>202</v>
      </c>
      <c r="K380" s="3">
        <v>0.25</v>
      </c>
      <c r="L380" t="s">
        <v>92</v>
      </c>
      <c r="M380" s="3">
        <v>0.41666666666666669</v>
      </c>
      <c r="N380" t="s">
        <v>202</v>
      </c>
      <c r="O380" s="3">
        <v>0.25</v>
      </c>
      <c r="P380" t="s">
        <v>92</v>
      </c>
      <c r="Q380" s="3">
        <v>0.54166666666666663</v>
      </c>
      <c r="R380" t="b">
        <v>1</v>
      </c>
      <c r="S380" t="s">
        <v>2008</v>
      </c>
    </row>
    <row r="381" spans="1:19" x14ac:dyDescent="0.2">
      <c r="A381">
        <v>373</v>
      </c>
      <c r="B381" t="s">
        <v>538</v>
      </c>
      <c r="C381" t="s">
        <v>1239</v>
      </c>
      <c r="D381">
        <v>91024</v>
      </c>
      <c r="E381">
        <v>22.8</v>
      </c>
      <c r="F381">
        <v>103087423</v>
      </c>
      <c r="G381" t="s">
        <v>914</v>
      </c>
      <c r="H381" t="s">
        <v>113</v>
      </c>
      <c r="I381" s="3">
        <v>0.33333333333333331</v>
      </c>
      <c r="J381" t="s">
        <v>113</v>
      </c>
      <c r="K381" s="3">
        <v>0.33333333333333331</v>
      </c>
      <c r="L381" t="s">
        <v>113</v>
      </c>
      <c r="M381" s="3">
        <v>0.33333333333333331</v>
      </c>
      <c r="N381" t="s">
        <v>113</v>
      </c>
      <c r="O381" s="3">
        <v>0.33333333333333331</v>
      </c>
      <c r="P381" t="s">
        <v>113</v>
      </c>
      <c r="Q381" s="3">
        <v>0.33333333333333331</v>
      </c>
      <c r="R381" t="b">
        <v>1</v>
      </c>
      <c r="S381" t="s">
        <v>2009</v>
      </c>
    </row>
    <row r="382" spans="1:19" x14ac:dyDescent="0.2">
      <c r="A382">
        <v>374</v>
      </c>
      <c r="B382" t="s">
        <v>1244</v>
      </c>
      <c r="C382" t="s">
        <v>701</v>
      </c>
      <c r="D382">
        <v>92376</v>
      </c>
      <c r="E382">
        <v>24</v>
      </c>
      <c r="F382">
        <v>10344423</v>
      </c>
      <c r="G382" t="s">
        <v>914</v>
      </c>
      <c r="H382" t="s">
        <v>933</v>
      </c>
      <c r="I382" s="3">
        <v>0.29166666666666669</v>
      </c>
      <c r="J382" t="s">
        <v>933</v>
      </c>
      <c r="K382" s="3">
        <v>0.29166666666666669</v>
      </c>
      <c r="L382" t="s">
        <v>933</v>
      </c>
      <c r="M382" s="3">
        <v>0.29166666666666669</v>
      </c>
      <c r="N382" t="s">
        <v>933</v>
      </c>
      <c r="O382" s="3">
        <v>0.29166666666666669</v>
      </c>
      <c r="P382" t="s">
        <v>933</v>
      </c>
      <c r="Q382" s="3">
        <v>0.29166666666666669</v>
      </c>
      <c r="R382" t="b">
        <v>1</v>
      </c>
      <c r="S382" t="s">
        <v>2010</v>
      </c>
    </row>
    <row r="383" spans="1:19" x14ac:dyDescent="0.2">
      <c r="A383">
        <v>375</v>
      </c>
      <c r="B383" t="s">
        <v>1022</v>
      </c>
      <c r="C383" t="s">
        <v>1259</v>
      </c>
      <c r="D383">
        <v>92316</v>
      </c>
      <c r="E383">
        <v>25</v>
      </c>
      <c r="F383">
        <v>10247799</v>
      </c>
      <c r="G383" t="s">
        <v>914</v>
      </c>
      <c r="H383" t="s">
        <v>933</v>
      </c>
      <c r="I383" s="3">
        <v>0.20833333333333334</v>
      </c>
      <c r="J383" t="s">
        <v>933</v>
      </c>
      <c r="K383" s="3">
        <v>0.20833333333333334</v>
      </c>
      <c r="L383" t="s">
        <v>933</v>
      </c>
      <c r="M383" s="3">
        <v>0.20833333333333334</v>
      </c>
      <c r="N383" t="s">
        <v>933</v>
      </c>
      <c r="O383" s="3">
        <v>0.20833333333333334</v>
      </c>
      <c r="P383" t="s">
        <v>933</v>
      </c>
      <c r="Q383" s="3">
        <v>0.20833333333333334</v>
      </c>
      <c r="R383" t="b">
        <v>0</v>
      </c>
      <c r="S383" t="s">
        <v>2011</v>
      </c>
    </row>
    <row r="384" spans="1:19" x14ac:dyDescent="0.2">
      <c r="A384">
        <v>376</v>
      </c>
      <c r="B384" t="s">
        <v>1217</v>
      </c>
      <c r="C384" t="s">
        <v>1218</v>
      </c>
      <c r="D384">
        <v>91752</v>
      </c>
      <c r="E384">
        <v>18</v>
      </c>
      <c r="F384">
        <v>103547202</v>
      </c>
      <c r="G384" t="s">
        <v>914</v>
      </c>
      <c r="H384" t="s">
        <v>191</v>
      </c>
      <c r="I384" s="3">
        <v>0.41666666666666669</v>
      </c>
      <c r="J384" t="s">
        <v>191</v>
      </c>
      <c r="K384" s="3">
        <v>0.41666666666666669</v>
      </c>
      <c r="L384" t="s">
        <v>113</v>
      </c>
      <c r="M384" s="3">
        <v>0.41666666666666669</v>
      </c>
      <c r="N384" t="s">
        <v>113</v>
      </c>
      <c r="O384" s="3">
        <v>0.41666666666666669</v>
      </c>
      <c r="P384" t="s">
        <v>113</v>
      </c>
      <c r="Q384" s="3">
        <v>0.41666666666666669</v>
      </c>
      <c r="R384" t="b">
        <v>1</v>
      </c>
      <c r="S384" t="s">
        <v>2012</v>
      </c>
    </row>
    <row r="385" spans="1:19" x14ac:dyDescent="0.2">
      <c r="A385">
        <v>377</v>
      </c>
      <c r="B385" t="s">
        <v>1006</v>
      </c>
      <c r="C385" t="s">
        <v>713</v>
      </c>
      <c r="D385">
        <v>91767</v>
      </c>
      <c r="E385">
        <v>3.2</v>
      </c>
      <c r="F385">
        <v>103752591</v>
      </c>
      <c r="G385" t="s">
        <v>914</v>
      </c>
      <c r="H385" t="s">
        <v>103</v>
      </c>
      <c r="I385" s="3">
        <v>0.33333333333333331</v>
      </c>
      <c r="J385" t="s">
        <v>103</v>
      </c>
      <c r="K385" s="3">
        <v>0.33333333333333331</v>
      </c>
      <c r="L385" t="s">
        <v>103</v>
      </c>
      <c r="M385" s="3">
        <v>0.33333333333333331</v>
      </c>
      <c r="N385" t="s">
        <v>103</v>
      </c>
      <c r="O385" s="3">
        <v>0.33333333333333331</v>
      </c>
      <c r="P385" t="s">
        <v>103</v>
      </c>
      <c r="Q385" s="3">
        <v>0.33333333333333331</v>
      </c>
      <c r="R385" t="b">
        <v>1</v>
      </c>
      <c r="S385" t="s">
        <v>2013</v>
      </c>
    </row>
    <row r="386" spans="1:19" x14ac:dyDescent="0.2">
      <c r="A386">
        <v>378</v>
      </c>
      <c r="B386" t="s">
        <v>333</v>
      </c>
      <c r="C386" t="s">
        <v>594</v>
      </c>
      <c r="D386">
        <v>91711</v>
      </c>
      <c r="E386">
        <v>1.5</v>
      </c>
      <c r="F386">
        <v>10092220</v>
      </c>
      <c r="G386" t="s">
        <v>1495</v>
      </c>
      <c r="H386" t="s">
        <v>92</v>
      </c>
      <c r="I386" s="3">
        <v>0.33333333333333331</v>
      </c>
      <c r="J386" t="s">
        <v>92</v>
      </c>
      <c r="K386" s="3">
        <v>0.33333333333333331</v>
      </c>
      <c r="L386" t="s">
        <v>92</v>
      </c>
      <c r="M386" s="3">
        <v>0.33333333333333331</v>
      </c>
      <c r="N386" t="s">
        <v>92</v>
      </c>
      <c r="O386" s="3">
        <v>0.33333333333333331</v>
      </c>
      <c r="P386" t="s">
        <v>92</v>
      </c>
      <c r="Q386" s="3">
        <v>0.33333333333333331</v>
      </c>
      <c r="R386" t="b">
        <v>1</v>
      </c>
      <c r="S386" t="s">
        <v>2014</v>
      </c>
    </row>
    <row r="387" spans="1:19" x14ac:dyDescent="0.2">
      <c r="A387">
        <v>379</v>
      </c>
      <c r="B387" t="s">
        <v>2015</v>
      </c>
      <c r="C387" t="s">
        <v>2016</v>
      </c>
      <c r="D387">
        <v>91711</v>
      </c>
      <c r="E387">
        <v>0.5</v>
      </c>
      <c r="F387">
        <v>103702151</v>
      </c>
      <c r="G387" t="s">
        <v>1495</v>
      </c>
      <c r="H387" t="s">
        <v>92</v>
      </c>
      <c r="I387" s="3">
        <v>0.33333333333333331</v>
      </c>
      <c r="J387" t="s">
        <v>92</v>
      </c>
      <c r="K387" s="3">
        <v>0.35416666666666669</v>
      </c>
      <c r="L387" t="s">
        <v>92</v>
      </c>
      <c r="M387" s="3">
        <v>0.35416666666666669</v>
      </c>
      <c r="N387" t="s">
        <v>92</v>
      </c>
      <c r="O387" s="3">
        <v>0.35416666666666669</v>
      </c>
      <c r="P387" t="s">
        <v>113</v>
      </c>
      <c r="Q387" s="3">
        <v>0.35416666666666669</v>
      </c>
      <c r="R387" t="b">
        <v>1</v>
      </c>
      <c r="S387" t="s">
        <v>2017</v>
      </c>
    </row>
    <row r="388" spans="1:19" x14ac:dyDescent="0.2">
      <c r="A388">
        <v>380</v>
      </c>
      <c r="B388" t="s">
        <v>942</v>
      </c>
      <c r="C388" t="s">
        <v>943</v>
      </c>
      <c r="D388">
        <v>91786</v>
      </c>
      <c r="E388">
        <v>1</v>
      </c>
      <c r="F388">
        <v>103731181</v>
      </c>
      <c r="G388" t="s">
        <v>914</v>
      </c>
      <c r="H388" t="s">
        <v>98</v>
      </c>
      <c r="I388" s="3">
        <v>0.33333333333333331</v>
      </c>
      <c r="J388" t="s">
        <v>92</v>
      </c>
      <c r="K388" s="3">
        <v>0.33333333333333331</v>
      </c>
      <c r="L388" t="s">
        <v>98</v>
      </c>
      <c r="M388" s="3">
        <v>0.33333333333333331</v>
      </c>
      <c r="N388" t="s">
        <v>191</v>
      </c>
      <c r="O388" s="3">
        <v>0.33333333333333331</v>
      </c>
      <c r="P388" t="s">
        <v>191</v>
      </c>
      <c r="Q388" s="3">
        <v>0.33333333333333331</v>
      </c>
      <c r="R388" t="b">
        <v>1</v>
      </c>
      <c r="S388" t="s">
        <v>2018</v>
      </c>
    </row>
    <row r="389" spans="1:19" x14ac:dyDescent="0.2">
      <c r="A389">
        <v>381</v>
      </c>
      <c r="B389" t="s">
        <v>1147</v>
      </c>
      <c r="C389" t="s">
        <v>306</v>
      </c>
      <c r="D389">
        <v>91739</v>
      </c>
      <c r="E389">
        <v>12</v>
      </c>
      <c r="F389">
        <v>10043576</v>
      </c>
      <c r="G389" t="s">
        <v>914</v>
      </c>
      <c r="H389" t="s">
        <v>113</v>
      </c>
      <c r="I389" s="3">
        <v>0.25</v>
      </c>
      <c r="J389" t="s">
        <v>113</v>
      </c>
      <c r="K389" s="3">
        <v>0.25</v>
      </c>
      <c r="L389" t="s">
        <v>113</v>
      </c>
      <c r="M389" s="3">
        <v>0.25</v>
      </c>
      <c r="N389" t="s">
        <v>113</v>
      </c>
      <c r="O389" s="3">
        <v>0.25</v>
      </c>
      <c r="P389" t="s">
        <v>113</v>
      </c>
      <c r="Q389" s="3">
        <v>0.25</v>
      </c>
      <c r="R389" t="b">
        <v>1</v>
      </c>
      <c r="S389" t="s">
        <v>2019</v>
      </c>
    </row>
    <row r="390" spans="1:19" x14ac:dyDescent="0.2">
      <c r="A390">
        <v>382</v>
      </c>
      <c r="B390" t="s">
        <v>2020</v>
      </c>
      <c r="C390" t="s">
        <v>2021</v>
      </c>
      <c r="D390">
        <v>91711</v>
      </c>
      <c r="E390">
        <v>0</v>
      </c>
      <c r="F390">
        <v>103693923</v>
      </c>
      <c r="G390" t="s">
        <v>1632</v>
      </c>
      <c r="H390" t="s">
        <v>92</v>
      </c>
      <c r="I390" s="3">
        <v>0.45833333333333331</v>
      </c>
      <c r="J390" t="s">
        <v>92</v>
      </c>
      <c r="K390" s="3">
        <v>0.39583333333333331</v>
      </c>
      <c r="L390" t="s">
        <v>92</v>
      </c>
      <c r="M390" s="3">
        <v>0.39583333333333331</v>
      </c>
      <c r="N390" t="s">
        <v>92</v>
      </c>
      <c r="O390" s="3">
        <v>0.39583333333333331</v>
      </c>
      <c r="P390" t="s">
        <v>92</v>
      </c>
      <c r="Q390" s="3">
        <v>0.39583333333333331</v>
      </c>
      <c r="R390" t="b">
        <v>1</v>
      </c>
      <c r="S390" t="s">
        <v>2022</v>
      </c>
    </row>
    <row r="391" spans="1:19" x14ac:dyDescent="0.2">
      <c r="A391">
        <v>383</v>
      </c>
      <c r="B391" t="s">
        <v>2023</v>
      </c>
      <c r="C391" t="s">
        <v>1833</v>
      </c>
      <c r="D391">
        <v>11215</v>
      </c>
      <c r="E391">
        <v>1</v>
      </c>
      <c r="F391">
        <v>10371644</v>
      </c>
      <c r="G391" t="s">
        <v>1632</v>
      </c>
      <c r="H391" t="s">
        <v>92</v>
      </c>
      <c r="I391" s="3">
        <v>0.66666666666666663</v>
      </c>
      <c r="J391" t="s">
        <v>202</v>
      </c>
      <c r="K391" s="3">
        <v>0.25</v>
      </c>
      <c r="L391" t="s">
        <v>202</v>
      </c>
      <c r="M391" s="3">
        <v>0.25</v>
      </c>
      <c r="N391" t="s">
        <v>202</v>
      </c>
      <c r="O391" s="3">
        <v>0.25</v>
      </c>
      <c r="P391" t="s">
        <v>92</v>
      </c>
      <c r="Q391" s="3">
        <v>0.375</v>
      </c>
      <c r="R391" t="b">
        <v>1</v>
      </c>
      <c r="S391" t="s">
        <v>2024</v>
      </c>
    </row>
    <row r="392" spans="1:19" x14ac:dyDescent="0.2">
      <c r="A392">
        <v>384</v>
      </c>
      <c r="B392" t="s">
        <v>1206</v>
      </c>
      <c r="C392" t="s">
        <v>2025</v>
      </c>
      <c r="D392">
        <v>70001</v>
      </c>
      <c r="E392">
        <v>0.05</v>
      </c>
      <c r="F392">
        <v>10370931</v>
      </c>
      <c r="G392" t="s">
        <v>1632</v>
      </c>
      <c r="H392" t="s">
        <v>202</v>
      </c>
      <c r="I392" s="3">
        <v>0.45833333333333331</v>
      </c>
      <c r="J392" t="s">
        <v>202</v>
      </c>
      <c r="K392" s="3">
        <v>0.45833333333333331</v>
      </c>
      <c r="L392" t="s">
        <v>202</v>
      </c>
      <c r="M392" s="3">
        <v>0.45833333333333331</v>
      </c>
      <c r="N392" t="s">
        <v>92</v>
      </c>
      <c r="O392" s="3">
        <v>0.45833333333333331</v>
      </c>
      <c r="P392" t="s">
        <v>92</v>
      </c>
      <c r="Q392" s="3">
        <v>0.54166666666666663</v>
      </c>
      <c r="R392" t="b">
        <v>0</v>
      </c>
      <c r="S392" t="s">
        <v>2026</v>
      </c>
    </row>
    <row r="393" spans="1:19" x14ac:dyDescent="0.2">
      <c r="A393">
        <v>385</v>
      </c>
      <c r="B393" t="s">
        <v>1051</v>
      </c>
      <c r="C393" t="s">
        <v>675</v>
      </c>
      <c r="D393">
        <v>91763</v>
      </c>
      <c r="E393">
        <v>5</v>
      </c>
      <c r="F393" t="s">
        <v>1052</v>
      </c>
      <c r="G393" t="s">
        <v>914</v>
      </c>
      <c r="H393" t="s">
        <v>103</v>
      </c>
      <c r="I393" s="3">
        <v>0.25</v>
      </c>
      <c r="J393" t="s">
        <v>103</v>
      </c>
      <c r="K393" s="3">
        <v>0.25</v>
      </c>
      <c r="L393" t="s">
        <v>103</v>
      </c>
      <c r="M393" s="3">
        <v>0.25</v>
      </c>
      <c r="N393" t="s">
        <v>103</v>
      </c>
      <c r="O393" s="3">
        <v>0.25</v>
      </c>
      <c r="P393" t="s">
        <v>103</v>
      </c>
      <c r="Q393" s="3">
        <v>0.25</v>
      </c>
      <c r="R393" t="b">
        <v>1</v>
      </c>
      <c r="S393" t="s">
        <v>2027</v>
      </c>
    </row>
    <row r="394" spans="1:19" x14ac:dyDescent="0.2">
      <c r="A394">
        <v>386</v>
      </c>
      <c r="B394" t="s">
        <v>754</v>
      </c>
      <c r="C394" t="s">
        <v>753</v>
      </c>
      <c r="D394">
        <v>91750</v>
      </c>
      <c r="E394">
        <v>7</v>
      </c>
      <c r="F394">
        <v>10362550</v>
      </c>
      <c r="G394" t="s">
        <v>914</v>
      </c>
      <c r="H394" t="s">
        <v>103</v>
      </c>
      <c r="I394" s="3">
        <v>0.33333333333333331</v>
      </c>
      <c r="J394" t="s">
        <v>113</v>
      </c>
      <c r="K394" s="3">
        <v>0.33333333333333331</v>
      </c>
      <c r="L394" t="s">
        <v>113</v>
      </c>
      <c r="M394" s="3">
        <v>0.33333333333333331</v>
      </c>
      <c r="N394" t="s">
        <v>113</v>
      </c>
      <c r="O394" s="3">
        <v>0.33333333333333331</v>
      </c>
      <c r="P394" t="s">
        <v>113</v>
      </c>
      <c r="Q394" s="3">
        <v>0.33333333333333331</v>
      </c>
      <c r="R394" t="b">
        <v>1</v>
      </c>
      <c r="S394" t="s">
        <v>2028</v>
      </c>
    </row>
    <row r="395" spans="1:19" x14ac:dyDescent="0.2">
      <c r="A395">
        <v>387</v>
      </c>
      <c r="B395" t="s">
        <v>2029</v>
      </c>
      <c r="C395" t="s">
        <v>2030</v>
      </c>
      <c r="D395">
        <v>92620</v>
      </c>
      <c r="E395">
        <v>27</v>
      </c>
      <c r="F395">
        <v>100081153</v>
      </c>
      <c r="G395" t="s">
        <v>1495</v>
      </c>
      <c r="H395" t="s">
        <v>199</v>
      </c>
      <c r="I395" s="3">
        <v>0.25</v>
      </c>
      <c r="J395" t="s">
        <v>199</v>
      </c>
      <c r="K395" s="3">
        <v>0.25</v>
      </c>
      <c r="L395" t="s">
        <v>199</v>
      </c>
      <c r="M395" s="3">
        <v>0.25</v>
      </c>
      <c r="N395" t="s">
        <v>199</v>
      </c>
      <c r="O395" s="3">
        <v>0.25</v>
      </c>
      <c r="P395" t="s">
        <v>199</v>
      </c>
      <c r="Q395" s="3">
        <v>0.25</v>
      </c>
      <c r="R395" t="b">
        <v>1</v>
      </c>
      <c r="S395" t="s">
        <v>2031</v>
      </c>
    </row>
    <row r="396" spans="1:19" x14ac:dyDescent="0.2">
      <c r="A396">
        <v>388</v>
      </c>
      <c r="B396" t="s">
        <v>1018</v>
      </c>
      <c r="C396" t="s">
        <v>1321</v>
      </c>
      <c r="D396">
        <v>91607</v>
      </c>
      <c r="E396">
        <v>47</v>
      </c>
      <c r="F396">
        <v>100230941</v>
      </c>
      <c r="G396" t="s">
        <v>914</v>
      </c>
      <c r="H396" t="s">
        <v>103</v>
      </c>
      <c r="I396" s="3">
        <v>0.35416666666666669</v>
      </c>
      <c r="J396" t="s">
        <v>103</v>
      </c>
      <c r="K396" s="3">
        <v>0.35416666666666669</v>
      </c>
      <c r="L396" t="s">
        <v>74</v>
      </c>
      <c r="M396" s="3">
        <v>0.35416666666666669</v>
      </c>
      <c r="N396" t="s">
        <v>103</v>
      </c>
      <c r="O396" s="3">
        <v>0.375</v>
      </c>
      <c r="P396" t="s">
        <v>202</v>
      </c>
      <c r="Q396" s="3">
        <v>0.25</v>
      </c>
      <c r="R396" t="b">
        <v>1</v>
      </c>
      <c r="S396" t="s">
        <v>2032</v>
      </c>
    </row>
    <row r="397" spans="1:19" x14ac:dyDescent="0.2">
      <c r="A397">
        <v>389</v>
      </c>
      <c r="B397" t="s">
        <v>2033</v>
      </c>
      <c r="C397" t="s">
        <v>1376</v>
      </c>
      <c r="D397">
        <v>91711</v>
      </c>
      <c r="E397">
        <v>1</v>
      </c>
      <c r="F397">
        <v>102711961</v>
      </c>
      <c r="G397" t="s">
        <v>1495</v>
      </c>
      <c r="H397" t="s">
        <v>74</v>
      </c>
      <c r="I397" s="3">
        <v>0.3125</v>
      </c>
      <c r="J397" t="s">
        <v>74</v>
      </c>
      <c r="K397" s="3">
        <v>0.3125</v>
      </c>
      <c r="L397" t="s">
        <v>74</v>
      </c>
      <c r="M397" s="3">
        <v>0.3125</v>
      </c>
      <c r="N397" t="s">
        <v>74</v>
      </c>
      <c r="O397" s="3">
        <v>0.3125</v>
      </c>
      <c r="P397" t="s">
        <v>74</v>
      </c>
      <c r="Q397" s="3">
        <v>0.3125</v>
      </c>
      <c r="R397" t="b">
        <v>1</v>
      </c>
      <c r="S397" t="s">
        <v>2034</v>
      </c>
    </row>
    <row r="398" spans="1:19" x14ac:dyDescent="0.2">
      <c r="A398">
        <v>390</v>
      </c>
      <c r="B398" t="s">
        <v>887</v>
      </c>
      <c r="C398" t="s">
        <v>886</v>
      </c>
      <c r="D398">
        <v>91104</v>
      </c>
      <c r="E398">
        <v>27</v>
      </c>
      <c r="F398">
        <v>10353364</v>
      </c>
      <c r="G398" t="s">
        <v>914</v>
      </c>
      <c r="H398" t="s">
        <v>113</v>
      </c>
      <c r="I398" s="3">
        <v>0.33333333333333331</v>
      </c>
      <c r="J398" t="s">
        <v>113</v>
      </c>
      <c r="K398" s="3">
        <v>0.33333333333333331</v>
      </c>
      <c r="L398" t="s">
        <v>113</v>
      </c>
      <c r="M398" s="3">
        <v>0.33333333333333331</v>
      </c>
      <c r="N398" t="s">
        <v>113</v>
      </c>
      <c r="O398" s="3">
        <v>0.33333333333333331</v>
      </c>
      <c r="P398" t="s">
        <v>113</v>
      </c>
      <c r="Q398" s="3">
        <v>0.33333333333333331</v>
      </c>
      <c r="R398" t="b">
        <v>1</v>
      </c>
      <c r="S398" t="s">
        <v>2035</v>
      </c>
    </row>
    <row r="399" spans="1:19" x14ac:dyDescent="0.2">
      <c r="A399">
        <v>391</v>
      </c>
      <c r="B399" t="s">
        <v>968</v>
      </c>
      <c r="C399" t="s">
        <v>2036</v>
      </c>
      <c r="D399">
        <v>91711</v>
      </c>
      <c r="E399">
        <v>0.5</v>
      </c>
      <c r="F399">
        <v>10365104</v>
      </c>
      <c r="G399" t="s">
        <v>1632</v>
      </c>
      <c r="H399" t="s">
        <v>202</v>
      </c>
      <c r="I399" s="3">
        <v>0.45833333333333331</v>
      </c>
      <c r="J399" t="s">
        <v>202</v>
      </c>
      <c r="K399" s="3">
        <v>0.45833333333333331</v>
      </c>
      <c r="L399" t="s">
        <v>92</v>
      </c>
      <c r="M399" s="3">
        <v>0.77083333333333337</v>
      </c>
      <c r="N399" t="s">
        <v>202</v>
      </c>
      <c r="O399" s="3">
        <v>0.45833333333333331</v>
      </c>
      <c r="P399" t="s">
        <v>202</v>
      </c>
      <c r="Q399" s="3">
        <v>0.45833333333333331</v>
      </c>
      <c r="R399" t="b">
        <v>0</v>
      </c>
      <c r="S399" t="s">
        <v>2037</v>
      </c>
    </row>
    <row r="400" spans="1:19" x14ac:dyDescent="0.2">
      <c r="A400">
        <v>392</v>
      </c>
      <c r="B400" t="s">
        <v>925</v>
      </c>
      <c r="C400" t="s">
        <v>200</v>
      </c>
      <c r="D400">
        <v>91711</v>
      </c>
      <c r="E400">
        <v>0.5</v>
      </c>
      <c r="F400" t="s">
        <v>201</v>
      </c>
      <c r="G400" t="s">
        <v>914</v>
      </c>
      <c r="H400" t="s">
        <v>113</v>
      </c>
      <c r="I400" s="3">
        <v>0.29166666666666669</v>
      </c>
      <c r="J400" t="s">
        <v>113</v>
      </c>
      <c r="K400" s="3">
        <v>0.29166666666666669</v>
      </c>
      <c r="L400" t="s">
        <v>113</v>
      </c>
      <c r="M400" s="3">
        <v>0.29166666666666669</v>
      </c>
      <c r="N400" t="s">
        <v>113</v>
      </c>
      <c r="O400" s="3">
        <v>0.29166666666666669</v>
      </c>
      <c r="P400" t="s">
        <v>113</v>
      </c>
      <c r="Q400" s="3">
        <v>0.29166666666666669</v>
      </c>
      <c r="R400" t="b">
        <v>1</v>
      </c>
      <c r="S400" t="s">
        <v>2038</v>
      </c>
    </row>
    <row r="401" spans="1:19" x14ac:dyDescent="0.2">
      <c r="A401">
        <v>393</v>
      </c>
      <c r="B401" t="s">
        <v>462</v>
      </c>
      <c r="C401" t="s">
        <v>358</v>
      </c>
      <c r="D401">
        <v>92570</v>
      </c>
      <c r="E401">
        <v>48</v>
      </c>
      <c r="F401">
        <v>103667961</v>
      </c>
      <c r="G401" t="s">
        <v>914</v>
      </c>
      <c r="H401" t="s">
        <v>113</v>
      </c>
      <c r="I401" s="3">
        <v>0.5</v>
      </c>
      <c r="J401" t="s">
        <v>113</v>
      </c>
      <c r="K401" s="3">
        <v>0.5</v>
      </c>
      <c r="L401" t="s">
        <v>113</v>
      </c>
      <c r="M401" s="3">
        <v>0.5</v>
      </c>
      <c r="N401" t="s">
        <v>113</v>
      </c>
      <c r="O401" s="3">
        <v>0.5</v>
      </c>
      <c r="P401" t="s">
        <v>113</v>
      </c>
      <c r="Q401" s="3">
        <v>0.5</v>
      </c>
      <c r="R401" t="b">
        <v>0</v>
      </c>
      <c r="S401" t="s">
        <v>2039</v>
      </c>
    </row>
    <row r="402" spans="1:19" x14ac:dyDescent="0.2">
      <c r="A402">
        <v>394</v>
      </c>
      <c r="B402" t="s">
        <v>1053</v>
      </c>
      <c r="C402" t="s">
        <v>1054</v>
      </c>
      <c r="D402">
        <v>91786</v>
      </c>
      <c r="E402">
        <v>5</v>
      </c>
      <c r="F402">
        <v>10366717</v>
      </c>
      <c r="G402" t="s">
        <v>914</v>
      </c>
      <c r="H402" t="s">
        <v>113</v>
      </c>
      <c r="I402" s="3">
        <v>0.54166666666666663</v>
      </c>
      <c r="J402" t="s">
        <v>113</v>
      </c>
      <c r="K402" s="3">
        <v>0.54166666666666663</v>
      </c>
      <c r="L402" t="s">
        <v>113</v>
      </c>
      <c r="M402" s="3">
        <v>0.54166666666666663</v>
      </c>
      <c r="N402" t="s">
        <v>113</v>
      </c>
      <c r="O402" s="3">
        <v>0.54166666666666663</v>
      </c>
      <c r="P402" t="s">
        <v>113</v>
      </c>
      <c r="Q402" s="3">
        <v>0.54166666666666663</v>
      </c>
      <c r="R402" t="b">
        <v>0</v>
      </c>
      <c r="S402" t="s">
        <v>2040</v>
      </c>
    </row>
    <row r="403" spans="1:19" x14ac:dyDescent="0.2">
      <c r="A403">
        <v>395</v>
      </c>
      <c r="B403" t="s">
        <v>462</v>
      </c>
      <c r="C403" t="s">
        <v>558</v>
      </c>
      <c r="D403">
        <v>91763</v>
      </c>
      <c r="E403">
        <v>3</v>
      </c>
      <c r="F403">
        <v>10366670</v>
      </c>
      <c r="G403" t="s">
        <v>914</v>
      </c>
      <c r="H403" t="s">
        <v>933</v>
      </c>
      <c r="I403" s="3">
        <v>0.47916666666666669</v>
      </c>
      <c r="J403" t="s">
        <v>933</v>
      </c>
      <c r="K403" s="3">
        <v>0.47916666666666669</v>
      </c>
      <c r="L403" t="s">
        <v>933</v>
      </c>
      <c r="M403" s="3">
        <v>0.47916666666666669</v>
      </c>
      <c r="N403" t="s">
        <v>933</v>
      </c>
      <c r="O403" s="3">
        <v>0.47916666666666669</v>
      </c>
      <c r="P403" t="s">
        <v>933</v>
      </c>
      <c r="Q403" s="3">
        <v>0.47916666666666669</v>
      </c>
      <c r="R403" t="b">
        <v>0</v>
      </c>
      <c r="S403" t="s">
        <v>2041</v>
      </c>
    </row>
    <row r="404" spans="1:19" x14ac:dyDescent="0.2">
      <c r="A404">
        <v>396</v>
      </c>
      <c r="B404" t="s">
        <v>998</v>
      </c>
      <c r="C404" t="s">
        <v>558</v>
      </c>
      <c r="D404">
        <v>91763</v>
      </c>
      <c r="E404">
        <v>3</v>
      </c>
      <c r="F404">
        <v>10373435</v>
      </c>
      <c r="G404" t="s">
        <v>914</v>
      </c>
      <c r="H404" t="s">
        <v>933</v>
      </c>
      <c r="I404" s="3">
        <v>0.47916666666666669</v>
      </c>
      <c r="J404" t="s">
        <v>933</v>
      </c>
      <c r="K404" s="3">
        <v>0.47916666666666669</v>
      </c>
      <c r="L404" t="s">
        <v>933</v>
      </c>
      <c r="M404" s="3">
        <v>0.47916666666666669</v>
      </c>
      <c r="N404" t="s">
        <v>933</v>
      </c>
      <c r="O404" s="3">
        <v>0.47916666666666669</v>
      </c>
      <c r="P404" t="s">
        <v>933</v>
      </c>
      <c r="Q404" s="3">
        <v>0.47916666666666669</v>
      </c>
      <c r="R404" t="b">
        <v>0</v>
      </c>
      <c r="S404" t="s">
        <v>2042</v>
      </c>
    </row>
    <row r="405" spans="1:19" x14ac:dyDescent="0.2">
      <c r="A405">
        <v>397</v>
      </c>
      <c r="B405" t="s">
        <v>999</v>
      </c>
      <c r="C405" t="s">
        <v>1000</v>
      </c>
      <c r="D405">
        <v>91763</v>
      </c>
      <c r="E405">
        <v>3</v>
      </c>
      <c r="F405">
        <v>10043611</v>
      </c>
      <c r="G405" t="s">
        <v>914</v>
      </c>
      <c r="H405" t="s">
        <v>113</v>
      </c>
      <c r="I405" s="3">
        <v>0.47916666666666669</v>
      </c>
      <c r="J405" t="s">
        <v>113</v>
      </c>
      <c r="K405" s="3">
        <v>0.47916666666666669</v>
      </c>
      <c r="L405" t="s">
        <v>113</v>
      </c>
      <c r="M405" s="3">
        <v>0.47916666666666669</v>
      </c>
      <c r="N405" t="s">
        <v>113</v>
      </c>
      <c r="O405" s="3">
        <v>0.25</v>
      </c>
      <c r="P405" t="s">
        <v>113</v>
      </c>
      <c r="Q405" s="3">
        <v>0.25</v>
      </c>
      <c r="R405" t="b">
        <v>1</v>
      </c>
      <c r="S405" t="s">
        <v>2043</v>
      </c>
    </row>
    <row r="406" spans="1:19" x14ac:dyDescent="0.2">
      <c r="A406">
        <v>398</v>
      </c>
      <c r="B406" t="s">
        <v>1231</v>
      </c>
      <c r="C406" t="s">
        <v>1232</v>
      </c>
      <c r="D406">
        <v>92377</v>
      </c>
      <c r="E406">
        <v>21</v>
      </c>
      <c r="F406">
        <v>10357060</v>
      </c>
      <c r="G406" t="s">
        <v>914</v>
      </c>
      <c r="H406" t="s">
        <v>113</v>
      </c>
      <c r="I406" s="3">
        <v>0.25</v>
      </c>
      <c r="J406" t="s">
        <v>113</v>
      </c>
      <c r="K406" s="3">
        <v>0.47916666666666669</v>
      </c>
      <c r="L406" t="s">
        <v>113</v>
      </c>
      <c r="M406" s="3">
        <v>0.47916666666666669</v>
      </c>
      <c r="N406" t="s">
        <v>113</v>
      </c>
      <c r="O406" s="3">
        <v>0.375</v>
      </c>
      <c r="P406" t="s">
        <v>113</v>
      </c>
      <c r="Q406" s="3">
        <v>0.25</v>
      </c>
      <c r="R406" t="b">
        <v>1</v>
      </c>
      <c r="S406" t="s">
        <v>2044</v>
      </c>
    </row>
    <row r="407" spans="1:19" x14ac:dyDescent="0.2">
      <c r="A407">
        <v>399</v>
      </c>
      <c r="B407" t="s">
        <v>465</v>
      </c>
      <c r="C407" t="s">
        <v>1148</v>
      </c>
      <c r="D407">
        <v>91709</v>
      </c>
      <c r="E407">
        <v>12</v>
      </c>
      <c r="F407">
        <v>10318478</v>
      </c>
      <c r="G407" t="s">
        <v>914</v>
      </c>
      <c r="H407" t="s">
        <v>113</v>
      </c>
      <c r="I407" s="3">
        <v>0.25</v>
      </c>
      <c r="J407" t="s">
        <v>113</v>
      </c>
      <c r="K407" s="3">
        <v>0.25</v>
      </c>
      <c r="L407" t="s">
        <v>113</v>
      </c>
      <c r="M407" s="3">
        <v>0.25</v>
      </c>
      <c r="N407" t="s">
        <v>113</v>
      </c>
      <c r="O407" s="3">
        <v>0.25</v>
      </c>
      <c r="P407" t="s">
        <v>113</v>
      </c>
      <c r="Q407" s="3">
        <v>0.25</v>
      </c>
      <c r="R407" t="b">
        <v>1</v>
      </c>
      <c r="S407" t="s">
        <v>2045</v>
      </c>
    </row>
    <row r="408" spans="1:19" x14ac:dyDescent="0.2">
      <c r="A408">
        <v>400</v>
      </c>
      <c r="B408" t="s">
        <v>2046</v>
      </c>
      <c r="C408" t="s">
        <v>2047</v>
      </c>
      <c r="D408">
        <v>91711</v>
      </c>
      <c r="E408">
        <v>1</v>
      </c>
      <c r="F408">
        <v>10257490</v>
      </c>
      <c r="G408" t="s">
        <v>1495</v>
      </c>
      <c r="H408" t="s">
        <v>98</v>
      </c>
      <c r="I408" s="3">
        <v>0.33333333333333331</v>
      </c>
      <c r="J408" t="s">
        <v>113</v>
      </c>
      <c r="K408" s="3">
        <v>0.33333333333333331</v>
      </c>
      <c r="L408" t="s">
        <v>98</v>
      </c>
      <c r="M408" s="3">
        <v>0.33333333333333331</v>
      </c>
      <c r="N408" t="s">
        <v>113</v>
      </c>
      <c r="O408" s="3">
        <v>0.33333333333333331</v>
      </c>
      <c r="P408" t="s">
        <v>98</v>
      </c>
      <c r="Q408" s="3">
        <v>0.33333333333333331</v>
      </c>
      <c r="R408" t="b">
        <v>1</v>
      </c>
      <c r="S408" t="s">
        <v>2048</v>
      </c>
    </row>
    <row r="409" spans="1:19" x14ac:dyDescent="0.2">
      <c r="A409">
        <v>401</v>
      </c>
      <c r="B409" t="s">
        <v>1162</v>
      </c>
      <c r="C409" t="s">
        <v>735</v>
      </c>
      <c r="D409">
        <v>92405</v>
      </c>
      <c r="E409">
        <v>26</v>
      </c>
      <c r="F409">
        <v>100043616</v>
      </c>
      <c r="G409" t="s">
        <v>914</v>
      </c>
      <c r="H409" t="s">
        <v>113</v>
      </c>
      <c r="I409" s="3">
        <v>0.25</v>
      </c>
      <c r="J409" t="s">
        <v>113</v>
      </c>
      <c r="K409" s="3">
        <v>0.25</v>
      </c>
      <c r="L409" t="s">
        <v>113</v>
      </c>
      <c r="M409" s="3">
        <v>0.25</v>
      </c>
      <c r="N409" t="s">
        <v>113</v>
      </c>
      <c r="O409" s="3">
        <v>0.25</v>
      </c>
      <c r="P409" t="s">
        <v>113</v>
      </c>
      <c r="Q409" s="3">
        <v>0.25</v>
      </c>
      <c r="R409" t="b">
        <v>1</v>
      </c>
      <c r="S409" t="s">
        <v>2049</v>
      </c>
    </row>
    <row r="410" spans="1:19" x14ac:dyDescent="0.2">
      <c r="A410">
        <v>402</v>
      </c>
      <c r="B410" t="s">
        <v>356</v>
      </c>
      <c r="C410" t="s">
        <v>558</v>
      </c>
      <c r="D410">
        <v>94210</v>
      </c>
      <c r="E410">
        <v>30</v>
      </c>
      <c r="F410">
        <v>10373647</v>
      </c>
      <c r="G410" t="s">
        <v>914</v>
      </c>
      <c r="H410" t="s">
        <v>113</v>
      </c>
      <c r="I410" s="3">
        <v>0.47916666666666669</v>
      </c>
      <c r="J410" t="s">
        <v>113</v>
      </c>
      <c r="K410" s="3">
        <v>0.47916666666666669</v>
      </c>
      <c r="L410" t="s">
        <v>113</v>
      </c>
      <c r="M410" s="3">
        <v>0.47916666666666669</v>
      </c>
      <c r="N410" t="s">
        <v>113</v>
      </c>
      <c r="O410" s="3">
        <v>0.25</v>
      </c>
      <c r="P410" t="s">
        <v>113</v>
      </c>
      <c r="Q410" s="3">
        <v>0.25</v>
      </c>
      <c r="R410" t="b">
        <v>1</v>
      </c>
      <c r="S410" t="s">
        <v>2050</v>
      </c>
    </row>
    <row r="411" spans="1:19" x14ac:dyDescent="0.2">
      <c r="A411">
        <v>403</v>
      </c>
      <c r="B411" t="s">
        <v>1001</v>
      </c>
      <c r="C411" t="s">
        <v>1002</v>
      </c>
      <c r="D411">
        <v>91786</v>
      </c>
      <c r="E411">
        <v>3</v>
      </c>
      <c r="F411">
        <v>103611295</v>
      </c>
      <c r="G411" t="s">
        <v>914</v>
      </c>
      <c r="H411" t="s">
        <v>113</v>
      </c>
      <c r="I411" s="3">
        <v>0.47916666666666669</v>
      </c>
      <c r="J411" t="s">
        <v>113</v>
      </c>
      <c r="K411" s="3">
        <v>0.47916666666666669</v>
      </c>
      <c r="L411" t="s">
        <v>113</v>
      </c>
      <c r="M411" s="3">
        <v>0.25</v>
      </c>
      <c r="N411" t="s">
        <v>113</v>
      </c>
      <c r="O411" s="3">
        <v>0.25</v>
      </c>
      <c r="P411" t="s">
        <v>113</v>
      </c>
      <c r="Q411" s="3">
        <v>0.25</v>
      </c>
      <c r="R411" t="b">
        <v>1</v>
      </c>
      <c r="S411" t="s">
        <v>2051</v>
      </c>
    </row>
    <row r="412" spans="1:19" x14ac:dyDescent="0.2">
      <c r="A412">
        <v>404</v>
      </c>
      <c r="B412" t="s">
        <v>1320</v>
      </c>
      <c r="C412" t="s">
        <v>336</v>
      </c>
      <c r="D412">
        <v>90631</v>
      </c>
      <c r="E412">
        <v>45</v>
      </c>
      <c r="F412">
        <v>10370772</v>
      </c>
      <c r="G412" t="s">
        <v>914</v>
      </c>
      <c r="H412" t="s">
        <v>113</v>
      </c>
      <c r="I412" s="3">
        <v>0.4375</v>
      </c>
      <c r="J412" t="s">
        <v>113</v>
      </c>
      <c r="K412" s="3">
        <v>0.4375</v>
      </c>
      <c r="L412" t="s">
        <v>113</v>
      </c>
      <c r="M412" s="3">
        <v>0.4375</v>
      </c>
      <c r="N412" t="s">
        <v>113</v>
      </c>
      <c r="O412" s="3">
        <v>0.4375</v>
      </c>
      <c r="P412" t="s">
        <v>113</v>
      </c>
      <c r="Q412" s="3">
        <v>0.4375</v>
      </c>
      <c r="R412" t="b">
        <v>0</v>
      </c>
      <c r="S412" t="s">
        <v>2052</v>
      </c>
    </row>
    <row r="413" spans="1:19" x14ac:dyDescent="0.2">
      <c r="A413">
        <v>405</v>
      </c>
      <c r="B413" t="s">
        <v>1025</v>
      </c>
      <c r="C413" t="s">
        <v>1026</v>
      </c>
      <c r="D413">
        <v>91768</v>
      </c>
      <c r="E413">
        <v>4</v>
      </c>
      <c r="F413">
        <v>10366750</v>
      </c>
      <c r="G413" t="s">
        <v>914</v>
      </c>
      <c r="H413" t="s">
        <v>113</v>
      </c>
      <c r="I413" s="3">
        <v>0.47916666666666669</v>
      </c>
      <c r="J413" t="s">
        <v>113</v>
      </c>
      <c r="K413" s="3">
        <v>0.47916666666666669</v>
      </c>
      <c r="L413" t="s">
        <v>113</v>
      </c>
      <c r="M413" s="3">
        <v>0.47916666666666669</v>
      </c>
      <c r="N413" t="s">
        <v>113</v>
      </c>
      <c r="O413" s="3">
        <v>0.47916666666666669</v>
      </c>
      <c r="P413" t="s">
        <v>113</v>
      </c>
      <c r="Q413" s="3">
        <v>0.47916666666666669</v>
      </c>
      <c r="R413" t="b">
        <v>0</v>
      </c>
      <c r="S413" t="s">
        <v>2053</v>
      </c>
    </row>
    <row r="414" spans="1:19" x14ac:dyDescent="0.2">
      <c r="A414">
        <v>406</v>
      </c>
      <c r="B414" t="s">
        <v>963</v>
      </c>
      <c r="C414" t="s">
        <v>964</v>
      </c>
      <c r="D414">
        <v>91711</v>
      </c>
      <c r="E414">
        <v>2</v>
      </c>
      <c r="F414">
        <v>10368863</v>
      </c>
      <c r="G414" t="s">
        <v>914</v>
      </c>
      <c r="H414" t="s">
        <v>108</v>
      </c>
      <c r="I414" s="3">
        <v>0.54166666666666663</v>
      </c>
      <c r="J414" t="s">
        <v>108</v>
      </c>
      <c r="K414" s="3">
        <v>0.54166666666666663</v>
      </c>
      <c r="L414" t="s">
        <v>202</v>
      </c>
      <c r="M414" s="3">
        <v>0.45833333333333331</v>
      </c>
      <c r="N414" t="s">
        <v>202</v>
      </c>
      <c r="O414" s="3">
        <v>0.45833333333333331</v>
      </c>
      <c r="P414" t="s">
        <v>108</v>
      </c>
      <c r="Q414" s="3">
        <v>0.54166666666666663</v>
      </c>
      <c r="R414" t="b">
        <v>0</v>
      </c>
      <c r="S414" t="s">
        <v>2054</v>
      </c>
    </row>
    <row r="415" spans="1:19" x14ac:dyDescent="0.2">
      <c r="A415">
        <v>407</v>
      </c>
      <c r="B415" t="s">
        <v>2055</v>
      </c>
      <c r="C415" t="s">
        <v>2056</v>
      </c>
      <c r="D415">
        <v>91711</v>
      </c>
      <c r="E415">
        <v>1</v>
      </c>
      <c r="F415">
        <v>103666441</v>
      </c>
      <c r="G415" t="s">
        <v>1495</v>
      </c>
      <c r="H415" t="s">
        <v>92</v>
      </c>
      <c r="I415" s="3">
        <v>0.41666666666666669</v>
      </c>
      <c r="J415" t="s">
        <v>92</v>
      </c>
      <c r="K415" s="3">
        <v>0.41666666666666669</v>
      </c>
      <c r="L415" t="s">
        <v>92</v>
      </c>
      <c r="M415" s="3">
        <v>0.41666666666666669</v>
      </c>
      <c r="N415" t="s">
        <v>92</v>
      </c>
      <c r="O415" s="3">
        <v>0.41666666666666669</v>
      </c>
      <c r="P415" t="s">
        <v>92</v>
      </c>
      <c r="Q415" s="3">
        <v>0.41666666666666669</v>
      </c>
      <c r="R415" t="b">
        <v>1</v>
      </c>
      <c r="S415" t="s">
        <v>2057</v>
      </c>
    </row>
    <row r="416" spans="1:19" x14ac:dyDescent="0.2">
      <c r="A416">
        <v>408</v>
      </c>
      <c r="B416" t="s">
        <v>1185</v>
      </c>
      <c r="C416" t="s">
        <v>1186</v>
      </c>
      <c r="D416">
        <v>91762</v>
      </c>
      <c r="E416">
        <v>15</v>
      </c>
      <c r="F416">
        <v>100563</v>
      </c>
      <c r="G416" t="s">
        <v>914</v>
      </c>
      <c r="H416" t="s">
        <v>113</v>
      </c>
      <c r="I416" s="3">
        <v>0.54166666666666663</v>
      </c>
      <c r="J416" t="s">
        <v>113</v>
      </c>
      <c r="K416" s="3">
        <v>0.54166666666666663</v>
      </c>
      <c r="L416" t="s">
        <v>113</v>
      </c>
      <c r="M416" s="3">
        <v>0.54166666666666663</v>
      </c>
      <c r="N416" t="s">
        <v>113</v>
      </c>
      <c r="O416" s="3">
        <v>0.54166666666666663</v>
      </c>
      <c r="P416" t="s">
        <v>113</v>
      </c>
      <c r="Q416" s="3">
        <v>0.54166666666666663</v>
      </c>
      <c r="R416" t="b">
        <v>0</v>
      </c>
      <c r="S416" t="s">
        <v>2058</v>
      </c>
    </row>
    <row r="417" spans="1:19" x14ac:dyDescent="0.2">
      <c r="A417">
        <v>409</v>
      </c>
      <c r="B417" t="s">
        <v>1031</v>
      </c>
      <c r="C417" t="s">
        <v>1032</v>
      </c>
      <c r="D417">
        <v>91768</v>
      </c>
      <c r="E417">
        <v>4.2</v>
      </c>
      <c r="F417">
        <v>117889</v>
      </c>
      <c r="G417" t="s">
        <v>914</v>
      </c>
      <c r="H417" t="s">
        <v>113</v>
      </c>
      <c r="I417" s="3">
        <v>0.33333333333333331</v>
      </c>
      <c r="J417" t="s">
        <v>113</v>
      </c>
      <c r="K417" s="3">
        <v>0.33333333333333331</v>
      </c>
      <c r="L417" t="s">
        <v>113</v>
      </c>
      <c r="M417" s="3">
        <v>0.33333333333333331</v>
      </c>
      <c r="N417" t="s">
        <v>113</v>
      </c>
      <c r="O417" s="3">
        <v>0.33333333333333331</v>
      </c>
      <c r="P417" t="s">
        <v>113</v>
      </c>
      <c r="Q417" s="3">
        <v>0.33333333333333331</v>
      </c>
      <c r="R417" t="b">
        <v>1</v>
      </c>
      <c r="S417" t="s">
        <v>2059</v>
      </c>
    </row>
    <row r="418" spans="1:19" x14ac:dyDescent="0.2">
      <c r="A418">
        <v>410</v>
      </c>
      <c r="B418" t="s">
        <v>966</v>
      </c>
      <c r="C418" t="s">
        <v>2060</v>
      </c>
      <c r="D418">
        <v>90275</v>
      </c>
      <c r="E418">
        <v>0</v>
      </c>
      <c r="F418">
        <v>10362879</v>
      </c>
      <c r="G418" t="s">
        <v>1632</v>
      </c>
      <c r="H418" t="s">
        <v>92</v>
      </c>
      <c r="I418" s="3">
        <v>0.79166666666666663</v>
      </c>
      <c r="J418" t="s">
        <v>202</v>
      </c>
      <c r="K418" s="3">
        <v>0.45833333333333331</v>
      </c>
      <c r="L418" t="s">
        <v>202</v>
      </c>
      <c r="M418" s="3">
        <v>0.45833333333333331</v>
      </c>
      <c r="N418" t="s">
        <v>202</v>
      </c>
      <c r="O418" s="3">
        <v>0.45833333333333331</v>
      </c>
      <c r="P418" t="s">
        <v>202</v>
      </c>
      <c r="Q418" s="3">
        <v>0.45833333333333331</v>
      </c>
      <c r="R418" t="b">
        <v>0</v>
      </c>
      <c r="S418" t="s">
        <v>2061</v>
      </c>
    </row>
    <row r="419" spans="1:19" x14ac:dyDescent="0.2">
      <c r="A419">
        <v>411</v>
      </c>
      <c r="B419" t="s">
        <v>2062</v>
      </c>
      <c r="C419" t="s">
        <v>2063</v>
      </c>
      <c r="D419">
        <v>33157</v>
      </c>
      <c r="E419">
        <v>0.4</v>
      </c>
      <c r="F419">
        <v>10371116</v>
      </c>
      <c r="G419" t="s">
        <v>1632</v>
      </c>
      <c r="H419" t="s">
        <v>92</v>
      </c>
      <c r="I419" s="3">
        <v>0.33333333333333331</v>
      </c>
      <c r="J419" t="s">
        <v>202</v>
      </c>
      <c r="K419" s="3">
        <v>0.25</v>
      </c>
      <c r="L419" t="s">
        <v>92</v>
      </c>
      <c r="M419" s="3">
        <v>0.33333333333333331</v>
      </c>
      <c r="N419" t="s">
        <v>202</v>
      </c>
      <c r="O419" s="3">
        <v>0.25</v>
      </c>
      <c r="P419" t="s">
        <v>195</v>
      </c>
      <c r="Q419" s="3">
        <v>0.33333333333333331</v>
      </c>
      <c r="R419" t="b">
        <v>1</v>
      </c>
      <c r="S419" t="s">
        <v>2064</v>
      </c>
    </row>
    <row r="420" spans="1:19" x14ac:dyDescent="0.2">
      <c r="A420">
        <v>412</v>
      </c>
      <c r="B420" t="s">
        <v>2065</v>
      </c>
      <c r="C420" t="s">
        <v>2066</v>
      </c>
      <c r="D420">
        <v>91711</v>
      </c>
      <c r="E420">
        <v>0</v>
      </c>
      <c r="F420">
        <v>103726801</v>
      </c>
      <c r="G420" t="s">
        <v>1632</v>
      </c>
      <c r="H420" t="s">
        <v>202</v>
      </c>
      <c r="I420" s="3">
        <v>0.45833333333333331</v>
      </c>
      <c r="J420" t="s">
        <v>202</v>
      </c>
      <c r="K420" s="3">
        <v>0.45833333333333331</v>
      </c>
      <c r="L420" t="s">
        <v>92</v>
      </c>
      <c r="M420" s="3">
        <v>0.625</v>
      </c>
      <c r="N420" t="s">
        <v>92</v>
      </c>
      <c r="O420" s="3">
        <v>0.625</v>
      </c>
      <c r="P420" t="s">
        <v>92</v>
      </c>
      <c r="Q420" s="3">
        <v>0.625</v>
      </c>
      <c r="R420" t="b">
        <v>0</v>
      </c>
      <c r="S420" t="s">
        <v>2067</v>
      </c>
    </row>
    <row r="421" spans="1:19" x14ac:dyDescent="0.2">
      <c r="A421">
        <v>413</v>
      </c>
      <c r="B421" t="s">
        <v>965</v>
      </c>
      <c r="C421" t="s">
        <v>642</v>
      </c>
      <c r="D421">
        <v>91786</v>
      </c>
      <c r="E421">
        <v>2</v>
      </c>
      <c r="F421">
        <v>10043601</v>
      </c>
      <c r="G421" t="s">
        <v>914</v>
      </c>
      <c r="H421" t="s">
        <v>113</v>
      </c>
      <c r="I421" s="3">
        <v>0.22916666666666666</v>
      </c>
      <c r="J421" t="s">
        <v>113</v>
      </c>
      <c r="K421" s="3">
        <v>0.22916666666666666</v>
      </c>
      <c r="L421" t="s">
        <v>113</v>
      </c>
      <c r="M421" s="3">
        <v>0.22916666666666666</v>
      </c>
      <c r="N421" t="s">
        <v>113</v>
      </c>
      <c r="O421" s="3">
        <v>0.22916666666666666</v>
      </c>
      <c r="P421" t="s">
        <v>113</v>
      </c>
      <c r="Q421" s="3">
        <v>0.22916666666666666</v>
      </c>
      <c r="R421" t="b">
        <v>0</v>
      </c>
      <c r="S421" t="s">
        <v>2068</v>
      </c>
    </row>
    <row r="422" spans="1:19" x14ac:dyDescent="0.2">
      <c r="A422">
        <v>414</v>
      </c>
      <c r="B422" t="s">
        <v>2069</v>
      </c>
      <c r="C422" t="s">
        <v>1027</v>
      </c>
      <c r="D422">
        <v>91711</v>
      </c>
      <c r="E422">
        <v>0.2</v>
      </c>
      <c r="F422">
        <v>101751431</v>
      </c>
      <c r="G422" t="s">
        <v>1495</v>
      </c>
      <c r="H422" t="s">
        <v>92</v>
      </c>
      <c r="I422" s="3">
        <v>0.375</v>
      </c>
      <c r="J422" t="s">
        <v>92</v>
      </c>
      <c r="K422" s="3">
        <v>0.35416666666666669</v>
      </c>
      <c r="L422" t="s">
        <v>92</v>
      </c>
      <c r="M422" s="3">
        <v>0.375</v>
      </c>
      <c r="N422" t="s">
        <v>92</v>
      </c>
      <c r="O422" s="3">
        <v>0.41666666666666669</v>
      </c>
      <c r="P422" t="s">
        <v>92</v>
      </c>
      <c r="Q422" s="3">
        <v>0.375</v>
      </c>
      <c r="R422" t="b">
        <v>1</v>
      </c>
      <c r="S422" t="s">
        <v>2070</v>
      </c>
    </row>
    <row r="423" spans="1:19" x14ac:dyDescent="0.2">
      <c r="A423">
        <v>415</v>
      </c>
      <c r="B423" t="s">
        <v>1075</v>
      </c>
      <c r="C423" t="s">
        <v>1076</v>
      </c>
      <c r="D423">
        <v>91750</v>
      </c>
      <c r="E423">
        <v>7</v>
      </c>
      <c r="F423">
        <v>10279896</v>
      </c>
      <c r="G423" t="s">
        <v>914</v>
      </c>
      <c r="H423" t="s">
        <v>1016</v>
      </c>
      <c r="I423" s="3">
        <v>0.33333333333333331</v>
      </c>
      <c r="J423" t="s">
        <v>1016</v>
      </c>
      <c r="K423" s="3">
        <v>0.33333333333333331</v>
      </c>
      <c r="L423" t="s">
        <v>1016</v>
      </c>
      <c r="M423" s="3">
        <v>0.33333333333333331</v>
      </c>
      <c r="N423" t="s">
        <v>1016</v>
      </c>
      <c r="O423" s="3">
        <v>0.33333333333333331</v>
      </c>
      <c r="P423" t="s">
        <v>1016</v>
      </c>
      <c r="Q423" s="3">
        <v>0.33333333333333331</v>
      </c>
      <c r="R423" t="b">
        <v>1</v>
      </c>
      <c r="S423" t="s">
        <v>2071</v>
      </c>
    </row>
    <row r="424" spans="1:19" x14ac:dyDescent="0.2">
      <c r="A424">
        <v>416</v>
      </c>
      <c r="B424" t="s">
        <v>1283</v>
      </c>
      <c r="C424" t="s">
        <v>601</v>
      </c>
      <c r="D424">
        <v>90247</v>
      </c>
      <c r="E424">
        <v>30</v>
      </c>
      <c r="F424">
        <v>10361238</v>
      </c>
      <c r="G424" t="s">
        <v>914</v>
      </c>
      <c r="H424" t="s">
        <v>113</v>
      </c>
      <c r="I424" s="3">
        <v>0.25</v>
      </c>
      <c r="J424" t="s">
        <v>113</v>
      </c>
      <c r="K424" s="3">
        <v>0.25</v>
      </c>
      <c r="L424" t="s">
        <v>113</v>
      </c>
      <c r="M424" s="3">
        <v>0.25</v>
      </c>
      <c r="N424" t="s">
        <v>113</v>
      </c>
      <c r="O424" s="3">
        <v>0.25</v>
      </c>
      <c r="P424" t="s">
        <v>113</v>
      </c>
      <c r="Q424" s="3">
        <v>0.25</v>
      </c>
      <c r="R424" t="b">
        <v>1</v>
      </c>
      <c r="S424" t="s">
        <v>2072</v>
      </c>
    </row>
    <row r="425" spans="1:19" x14ac:dyDescent="0.2">
      <c r="A425">
        <v>417</v>
      </c>
      <c r="B425" t="s">
        <v>243</v>
      </c>
      <c r="C425" t="s">
        <v>2073</v>
      </c>
      <c r="D425">
        <v>91711</v>
      </c>
      <c r="E425">
        <v>3</v>
      </c>
      <c r="F425">
        <v>10353349</v>
      </c>
      <c r="G425" t="s">
        <v>1495</v>
      </c>
      <c r="H425" t="s">
        <v>103</v>
      </c>
      <c r="I425" s="3">
        <v>0.35416666666666669</v>
      </c>
      <c r="J425" t="s">
        <v>74</v>
      </c>
      <c r="K425" s="3">
        <v>0.35416666666666669</v>
      </c>
      <c r="L425" t="s">
        <v>103</v>
      </c>
      <c r="M425" s="3">
        <v>0.35416666666666669</v>
      </c>
      <c r="N425" t="s">
        <v>74</v>
      </c>
      <c r="O425" s="3">
        <v>0.35416666666666669</v>
      </c>
      <c r="P425" t="s">
        <v>103</v>
      </c>
      <c r="Q425" s="3">
        <v>0.35416666666666669</v>
      </c>
      <c r="R425" t="b">
        <v>1</v>
      </c>
      <c r="S425" t="s">
        <v>2074</v>
      </c>
    </row>
    <row r="426" spans="1:19" x14ac:dyDescent="0.2">
      <c r="A426">
        <v>418</v>
      </c>
      <c r="B426" t="s">
        <v>1237</v>
      </c>
      <c r="C426" t="s">
        <v>1238</v>
      </c>
      <c r="D426">
        <v>92335</v>
      </c>
      <c r="E426">
        <v>22</v>
      </c>
      <c r="F426">
        <v>10043613</v>
      </c>
      <c r="G426" t="s">
        <v>914</v>
      </c>
      <c r="H426" t="s">
        <v>113</v>
      </c>
      <c r="I426" s="3">
        <v>0.25</v>
      </c>
      <c r="J426" t="s">
        <v>113</v>
      </c>
      <c r="K426" s="3">
        <v>0.25</v>
      </c>
      <c r="L426" t="s">
        <v>113</v>
      </c>
      <c r="M426" s="3">
        <v>0.25</v>
      </c>
      <c r="N426" t="s">
        <v>113</v>
      </c>
      <c r="O426" s="3">
        <v>0.25</v>
      </c>
      <c r="P426" t="s">
        <v>113</v>
      </c>
      <c r="Q426" s="3">
        <v>0.25</v>
      </c>
      <c r="R426" t="b">
        <v>1</v>
      </c>
      <c r="S426" t="s">
        <v>2075</v>
      </c>
    </row>
    <row r="427" spans="1:19" x14ac:dyDescent="0.2">
      <c r="A427">
        <v>419</v>
      </c>
      <c r="B427" t="s">
        <v>1284</v>
      </c>
      <c r="C427" t="s">
        <v>218</v>
      </c>
      <c r="D427">
        <v>90606</v>
      </c>
      <c r="E427">
        <v>30</v>
      </c>
      <c r="F427">
        <v>10278358</v>
      </c>
      <c r="G427" t="s">
        <v>914</v>
      </c>
      <c r="H427" t="s">
        <v>113</v>
      </c>
      <c r="I427" s="3">
        <v>0.20833333333333334</v>
      </c>
      <c r="J427" t="s">
        <v>113</v>
      </c>
      <c r="K427" s="3">
        <v>0.20833333333333334</v>
      </c>
      <c r="L427" t="s">
        <v>113</v>
      </c>
      <c r="M427" s="3">
        <v>0.20833333333333334</v>
      </c>
      <c r="N427" t="s">
        <v>113</v>
      </c>
      <c r="O427" s="3">
        <v>0.20833333333333334</v>
      </c>
      <c r="P427" t="s">
        <v>113</v>
      </c>
      <c r="Q427" s="3">
        <v>0.20833333333333334</v>
      </c>
      <c r="R427" t="b">
        <v>0</v>
      </c>
      <c r="S427" t="s">
        <v>2076</v>
      </c>
    </row>
    <row r="428" spans="1:19" x14ac:dyDescent="0.2">
      <c r="A428">
        <v>420</v>
      </c>
      <c r="B428" t="s">
        <v>1102</v>
      </c>
      <c r="C428" t="s">
        <v>1103</v>
      </c>
      <c r="D428">
        <v>91764</v>
      </c>
      <c r="E428">
        <v>8</v>
      </c>
      <c r="F428" t="s">
        <v>1104</v>
      </c>
      <c r="G428" t="s">
        <v>914</v>
      </c>
      <c r="H428" t="s">
        <v>113</v>
      </c>
      <c r="I428" s="3">
        <v>0.20833333333333334</v>
      </c>
      <c r="J428" t="s">
        <v>113</v>
      </c>
      <c r="K428" s="3">
        <v>0.20833333333333334</v>
      </c>
      <c r="L428" t="s">
        <v>113</v>
      </c>
      <c r="M428" s="3">
        <v>0.20833333333333334</v>
      </c>
      <c r="N428" t="s">
        <v>113</v>
      </c>
      <c r="O428" s="3">
        <v>0.22916666666666666</v>
      </c>
      <c r="P428" t="s">
        <v>113</v>
      </c>
      <c r="Q428" s="3">
        <v>0.20833333333333334</v>
      </c>
      <c r="R428" t="b">
        <v>0</v>
      </c>
      <c r="S428" t="s">
        <v>2077</v>
      </c>
    </row>
    <row r="429" spans="1:19" x14ac:dyDescent="0.2">
      <c r="A429">
        <v>421</v>
      </c>
      <c r="B429" t="s">
        <v>569</v>
      </c>
      <c r="C429" t="s">
        <v>1298</v>
      </c>
      <c r="D429">
        <v>91711</v>
      </c>
      <c r="E429">
        <v>1</v>
      </c>
      <c r="F429" t="s">
        <v>2078</v>
      </c>
      <c r="G429" t="s">
        <v>1495</v>
      </c>
      <c r="H429" t="s">
        <v>98</v>
      </c>
      <c r="I429" s="3">
        <v>0.375</v>
      </c>
      <c r="J429" t="s">
        <v>98</v>
      </c>
      <c r="K429" s="3">
        <v>0.375</v>
      </c>
      <c r="L429" t="s">
        <v>98</v>
      </c>
      <c r="M429" s="3">
        <v>0.375</v>
      </c>
      <c r="N429" t="s">
        <v>98</v>
      </c>
      <c r="O429" s="3">
        <v>0.375</v>
      </c>
      <c r="P429" t="s">
        <v>98</v>
      </c>
      <c r="Q429" s="3">
        <v>0.375</v>
      </c>
      <c r="R429" t="b">
        <v>1</v>
      </c>
      <c r="S429" t="s">
        <v>2079</v>
      </c>
    </row>
    <row r="430" spans="1:19" x14ac:dyDescent="0.2">
      <c r="A430">
        <v>422</v>
      </c>
      <c r="B430" t="s">
        <v>193</v>
      </c>
      <c r="C430" t="s">
        <v>192</v>
      </c>
      <c r="D430">
        <v>91702</v>
      </c>
      <c r="E430">
        <v>17</v>
      </c>
      <c r="F430">
        <v>103666132</v>
      </c>
      <c r="G430" t="s">
        <v>914</v>
      </c>
      <c r="H430" t="s">
        <v>113</v>
      </c>
      <c r="I430" s="3">
        <v>0.35416666666666669</v>
      </c>
      <c r="J430" t="s">
        <v>113</v>
      </c>
      <c r="K430" s="3">
        <v>0.35416666666666669</v>
      </c>
      <c r="L430" t="s">
        <v>113</v>
      </c>
      <c r="M430" s="3">
        <v>0.35416666666666669</v>
      </c>
      <c r="N430" t="s">
        <v>113</v>
      </c>
      <c r="O430" s="3">
        <v>0.35416666666666669</v>
      </c>
      <c r="P430" t="s">
        <v>113</v>
      </c>
      <c r="Q430" s="3">
        <v>0.35416666666666669</v>
      </c>
      <c r="R430" t="b">
        <v>1</v>
      </c>
      <c r="S430" t="s">
        <v>2080</v>
      </c>
    </row>
    <row r="431" spans="1:19" x14ac:dyDescent="0.2">
      <c r="A431">
        <v>423</v>
      </c>
      <c r="B431" t="s">
        <v>269</v>
      </c>
      <c r="C431" t="s">
        <v>268</v>
      </c>
      <c r="D431">
        <v>91101</v>
      </c>
      <c r="E431">
        <v>37</v>
      </c>
      <c r="F431">
        <v>1037037911</v>
      </c>
      <c r="G431" t="s">
        <v>914</v>
      </c>
      <c r="H431" t="s">
        <v>113</v>
      </c>
      <c r="I431" s="3">
        <v>0.33333333333333331</v>
      </c>
      <c r="J431" t="s">
        <v>113</v>
      </c>
      <c r="K431" s="3">
        <v>0.33333333333333331</v>
      </c>
      <c r="L431" t="s">
        <v>113</v>
      </c>
      <c r="M431" s="3">
        <v>0.33333333333333331</v>
      </c>
      <c r="N431" t="s">
        <v>113</v>
      </c>
      <c r="O431" s="3">
        <v>0.33333333333333331</v>
      </c>
      <c r="P431" t="s">
        <v>113</v>
      </c>
      <c r="Q431" s="3">
        <v>0.33333333333333331</v>
      </c>
      <c r="R431" t="b">
        <v>1</v>
      </c>
      <c r="S431" t="s">
        <v>2081</v>
      </c>
    </row>
    <row r="432" spans="1:19" x14ac:dyDescent="0.2">
      <c r="A432">
        <v>424</v>
      </c>
      <c r="B432" t="s">
        <v>246</v>
      </c>
      <c r="C432" t="s">
        <v>245</v>
      </c>
      <c r="D432">
        <v>91711</v>
      </c>
      <c r="E432">
        <v>1.2</v>
      </c>
      <c r="F432">
        <v>103664621</v>
      </c>
      <c r="G432" t="s">
        <v>919</v>
      </c>
      <c r="H432" t="s">
        <v>113</v>
      </c>
      <c r="I432" s="3">
        <v>0.33333333333333331</v>
      </c>
      <c r="J432" t="s">
        <v>113</v>
      </c>
      <c r="K432" s="3">
        <v>0.33333333333333331</v>
      </c>
      <c r="L432" t="s">
        <v>113</v>
      </c>
      <c r="M432" s="3">
        <v>0.33333333333333331</v>
      </c>
      <c r="N432" t="s">
        <v>113</v>
      </c>
      <c r="O432" s="3">
        <v>0.33333333333333331</v>
      </c>
      <c r="P432" t="s">
        <v>113</v>
      </c>
      <c r="Q432" s="3">
        <v>0.33333333333333331</v>
      </c>
      <c r="R432" t="b">
        <v>1</v>
      </c>
      <c r="S432" t="s">
        <v>2082</v>
      </c>
    </row>
    <row r="433" spans="1:19" x14ac:dyDescent="0.2">
      <c r="A433">
        <v>425</v>
      </c>
      <c r="B433" t="s">
        <v>890</v>
      </c>
      <c r="C433" t="s">
        <v>889</v>
      </c>
      <c r="D433">
        <v>91773</v>
      </c>
      <c r="E433">
        <v>8</v>
      </c>
      <c r="F433">
        <v>10260863</v>
      </c>
      <c r="G433" t="s">
        <v>914</v>
      </c>
      <c r="H433" t="s">
        <v>113</v>
      </c>
      <c r="I433" s="3">
        <v>0.33333333333333331</v>
      </c>
      <c r="J433" t="s">
        <v>113</v>
      </c>
      <c r="K433" s="3">
        <v>0.33333333333333331</v>
      </c>
      <c r="L433" t="s">
        <v>113</v>
      </c>
      <c r="M433" s="3">
        <v>0.33333333333333331</v>
      </c>
      <c r="N433" t="s">
        <v>113</v>
      </c>
      <c r="O433" s="3">
        <v>0.33333333333333331</v>
      </c>
      <c r="P433" t="s">
        <v>113</v>
      </c>
      <c r="Q433" s="3">
        <v>0.33333333333333331</v>
      </c>
      <c r="R433" t="b">
        <v>1</v>
      </c>
      <c r="S433" t="s">
        <v>2083</v>
      </c>
    </row>
    <row r="434" spans="1:19" x14ac:dyDescent="0.2">
      <c r="A434">
        <v>426</v>
      </c>
      <c r="B434" t="s">
        <v>148</v>
      </c>
      <c r="C434" t="s">
        <v>348</v>
      </c>
      <c r="D434">
        <v>92336</v>
      </c>
      <c r="E434">
        <v>20</v>
      </c>
      <c r="F434">
        <v>10372591</v>
      </c>
      <c r="G434" t="s">
        <v>914</v>
      </c>
      <c r="H434" t="s">
        <v>103</v>
      </c>
      <c r="I434" s="3">
        <v>0.33333333333333331</v>
      </c>
      <c r="J434" t="s">
        <v>113</v>
      </c>
      <c r="K434" s="3">
        <v>0.3125</v>
      </c>
      <c r="L434" t="s">
        <v>113</v>
      </c>
      <c r="M434" s="3">
        <v>0.3125</v>
      </c>
      <c r="N434" t="s">
        <v>113</v>
      </c>
      <c r="O434" s="3">
        <v>0.3125</v>
      </c>
      <c r="P434" t="s">
        <v>103</v>
      </c>
      <c r="Q434" s="3">
        <v>0.33333333333333331</v>
      </c>
      <c r="R434" t="b">
        <v>1</v>
      </c>
      <c r="S434" t="s">
        <v>2084</v>
      </c>
    </row>
    <row r="435" spans="1:19" x14ac:dyDescent="0.2">
      <c r="A435">
        <v>427</v>
      </c>
      <c r="B435" t="s">
        <v>680</v>
      </c>
      <c r="C435" t="s">
        <v>679</v>
      </c>
      <c r="D435">
        <v>91711</v>
      </c>
      <c r="E435">
        <v>1</v>
      </c>
      <c r="F435">
        <v>10355937</v>
      </c>
      <c r="G435" t="s">
        <v>914</v>
      </c>
      <c r="H435" t="s">
        <v>92</v>
      </c>
      <c r="I435" s="3">
        <v>0.375</v>
      </c>
      <c r="J435" t="s">
        <v>92</v>
      </c>
      <c r="K435" s="3">
        <v>0.35416666666666669</v>
      </c>
      <c r="L435" t="s">
        <v>98</v>
      </c>
      <c r="M435" s="3">
        <v>0.375</v>
      </c>
      <c r="N435" t="s">
        <v>98</v>
      </c>
      <c r="O435" s="3">
        <v>0.35416666666666669</v>
      </c>
      <c r="P435" t="s">
        <v>92</v>
      </c>
      <c r="Q435" s="3">
        <v>0.375</v>
      </c>
      <c r="R435" t="b">
        <v>1</v>
      </c>
      <c r="S435" t="s">
        <v>2085</v>
      </c>
    </row>
    <row r="436" spans="1:19" x14ac:dyDescent="0.2">
      <c r="A436">
        <v>428</v>
      </c>
      <c r="B436" t="s">
        <v>767</v>
      </c>
      <c r="C436" t="s">
        <v>766</v>
      </c>
      <c r="D436">
        <v>92627</v>
      </c>
      <c r="E436">
        <v>41</v>
      </c>
      <c r="F436">
        <v>103615121</v>
      </c>
      <c r="G436" t="s">
        <v>914</v>
      </c>
      <c r="H436" t="s">
        <v>113</v>
      </c>
      <c r="I436" s="3">
        <v>0.33333333333333331</v>
      </c>
      <c r="J436" t="s">
        <v>113</v>
      </c>
      <c r="K436" s="3">
        <v>0.33333333333333331</v>
      </c>
      <c r="L436" t="s">
        <v>113</v>
      </c>
      <c r="M436" s="3">
        <v>0.33333333333333331</v>
      </c>
      <c r="N436" t="s">
        <v>113</v>
      </c>
      <c r="O436" s="3">
        <v>0.33333333333333331</v>
      </c>
      <c r="P436" t="s">
        <v>113</v>
      </c>
      <c r="Q436" s="3">
        <v>0.33333333333333331</v>
      </c>
      <c r="R436" t="b">
        <v>1</v>
      </c>
      <c r="S436" t="s">
        <v>2086</v>
      </c>
    </row>
    <row r="437" spans="1:19" x14ac:dyDescent="0.2">
      <c r="A437">
        <v>429</v>
      </c>
      <c r="B437" t="s">
        <v>1245</v>
      </c>
      <c r="C437" t="s">
        <v>1246</v>
      </c>
      <c r="D437">
        <v>92886</v>
      </c>
      <c r="E437">
        <v>24</v>
      </c>
      <c r="F437">
        <v>101008</v>
      </c>
      <c r="G437" t="s">
        <v>914</v>
      </c>
      <c r="H437" t="s">
        <v>113</v>
      </c>
      <c r="I437" s="3">
        <v>0.3125</v>
      </c>
      <c r="J437" t="s">
        <v>113</v>
      </c>
      <c r="K437" s="3">
        <v>0.3125</v>
      </c>
      <c r="L437" t="s">
        <v>113</v>
      </c>
      <c r="M437" s="3">
        <v>0.3125</v>
      </c>
      <c r="N437" t="s">
        <v>103</v>
      </c>
      <c r="O437" s="3">
        <v>0.3125</v>
      </c>
      <c r="P437" t="s">
        <v>103</v>
      </c>
      <c r="Q437" s="3">
        <v>0.3125</v>
      </c>
      <c r="R437" t="b">
        <v>1</v>
      </c>
      <c r="S437" t="s">
        <v>2087</v>
      </c>
    </row>
    <row r="438" spans="1:19" x14ac:dyDescent="0.2">
      <c r="A438">
        <v>430</v>
      </c>
      <c r="B438" t="s">
        <v>1237</v>
      </c>
      <c r="C438" t="s">
        <v>1301</v>
      </c>
      <c r="D438">
        <v>90280</v>
      </c>
      <c r="E438">
        <v>38</v>
      </c>
      <c r="F438">
        <v>103734162</v>
      </c>
      <c r="G438" t="s">
        <v>914</v>
      </c>
      <c r="H438" t="s">
        <v>933</v>
      </c>
      <c r="I438" s="3">
        <v>0.33333333333333331</v>
      </c>
      <c r="J438" t="s">
        <v>933</v>
      </c>
      <c r="K438" s="3">
        <v>0.33333333333333331</v>
      </c>
      <c r="L438" t="s">
        <v>933</v>
      </c>
      <c r="M438" s="3">
        <v>0.33333333333333331</v>
      </c>
      <c r="N438" t="s">
        <v>933</v>
      </c>
      <c r="O438" s="3">
        <v>0.33333333333333331</v>
      </c>
      <c r="P438" t="s">
        <v>933</v>
      </c>
      <c r="Q438" s="3">
        <v>0.33333333333333331</v>
      </c>
      <c r="R438" t="b">
        <v>1</v>
      </c>
      <c r="S438" t="s">
        <v>2087</v>
      </c>
    </row>
    <row r="439" spans="1:19" x14ac:dyDescent="0.2">
      <c r="A439">
        <v>431</v>
      </c>
      <c r="B439" t="s">
        <v>2088</v>
      </c>
      <c r="C439" t="s">
        <v>2089</v>
      </c>
      <c r="D439">
        <v>91711</v>
      </c>
      <c r="E439">
        <v>1</v>
      </c>
      <c r="F439">
        <v>100923561</v>
      </c>
      <c r="G439" t="s">
        <v>1495</v>
      </c>
      <c r="H439" t="s">
        <v>92</v>
      </c>
      <c r="I439" s="3">
        <v>0.41666666666666669</v>
      </c>
      <c r="J439" t="s">
        <v>92</v>
      </c>
      <c r="K439" s="3">
        <v>0.41666666666666669</v>
      </c>
      <c r="L439" t="s">
        <v>92</v>
      </c>
      <c r="M439" s="3">
        <v>0.41666666666666669</v>
      </c>
      <c r="N439" t="s">
        <v>92</v>
      </c>
      <c r="O439" s="3">
        <v>0.41666666666666669</v>
      </c>
      <c r="P439" t="s">
        <v>202</v>
      </c>
      <c r="Q439" s="3">
        <v>0.25</v>
      </c>
      <c r="R439" t="b">
        <v>1</v>
      </c>
      <c r="S439" t="s">
        <v>2090</v>
      </c>
    </row>
    <row r="440" spans="1:19" x14ac:dyDescent="0.2">
      <c r="A440">
        <v>432</v>
      </c>
      <c r="B440" t="s">
        <v>1067</v>
      </c>
      <c r="C440" t="s">
        <v>1068</v>
      </c>
      <c r="D440">
        <v>91784</v>
      </c>
      <c r="E440">
        <v>6</v>
      </c>
      <c r="F440">
        <v>103730312</v>
      </c>
      <c r="G440" t="s">
        <v>919</v>
      </c>
      <c r="H440" t="s">
        <v>113</v>
      </c>
      <c r="I440" s="3">
        <v>0.35416666666666669</v>
      </c>
      <c r="J440" t="s">
        <v>113</v>
      </c>
      <c r="K440" s="3">
        <v>0.35416666666666669</v>
      </c>
      <c r="L440" t="s">
        <v>113</v>
      </c>
      <c r="M440" s="3">
        <v>0.35416666666666669</v>
      </c>
      <c r="N440" t="s">
        <v>113</v>
      </c>
      <c r="O440" s="3">
        <v>0.35416666666666669</v>
      </c>
      <c r="P440" t="s">
        <v>113</v>
      </c>
      <c r="Q440" s="3">
        <v>0.35416666666666669</v>
      </c>
      <c r="R440" t="b">
        <v>1</v>
      </c>
      <c r="S440" t="s">
        <v>2091</v>
      </c>
    </row>
    <row r="441" spans="1:19" x14ac:dyDescent="0.2">
      <c r="A441">
        <v>433</v>
      </c>
      <c r="B441" t="s">
        <v>966</v>
      </c>
      <c r="C441" t="s">
        <v>967</v>
      </c>
      <c r="D441">
        <v>91711</v>
      </c>
      <c r="E441">
        <v>2</v>
      </c>
      <c r="F441">
        <v>100184</v>
      </c>
      <c r="G441" t="s">
        <v>914</v>
      </c>
      <c r="H441" t="s">
        <v>195</v>
      </c>
      <c r="I441" s="3">
        <v>0.33333333333333331</v>
      </c>
      <c r="J441" t="s">
        <v>113</v>
      </c>
      <c r="K441" s="3">
        <v>0.33333333333333331</v>
      </c>
      <c r="L441" t="s">
        <v>113</v>
      </c>
      <c r="M441" s="3">
        <v>0.33333333333333331</v>
      </c>
      <c r="N441" t="s">
        <v>113</v>
      </c>
      <c r="O441" s="3">
        <v>0.33333333333333331</v>
      </c>
      <c r="P441" t="s">
        <v>113</v>
      </c>
      <c r="Q441" s="3">
        <v>0.33333333333333331</v>
      </c>
      <c r="R441" t="b">
        <v>1</v>
      </c>
      <c r="S441" t="s">
        <v>2092</v>
      </c>
    </row>
    <row r="442" spans="1:19" x14ac:dyDescent="0.2">
      <c r="A442">
        <v>434</v>
      </c>
      <c r="B442" t="s">
        <v>1285</v>
      </c>
      <c r="C442" t="s">
        <v>556</v>
      </c>
      <c r="D442">
        <v>90012</v>
      </c>
      <c r="E442">
        <v>30</v>
      </c>
      <c r="F442">
        <v>10340122</v>
      </c>
      <c r="G442" t="s">
        <v>914</v>
      </c>
      <c r="H442" t="s">
        <v>103</v>
      </c>
      <c r="I442" s="3">
        <v>0.33333333333333331</v>
      </c>
      <c r="J442" t="s">
        <v>113</v>
      </c>
      <c r="K442" s="3">
        <v>0.33333333333333331</v>
      </c>
      <c r="L442" t="s">
        <v>113</v>
      </c>
      <c r="M442" s="3">
        <v>0.33333333333333331</v>
      </c>
      <c r="N442" t="s">
        <v>113</v>
      </c>
      <c r="O442" s="3">
        <v>0.33333333333333331</v>
      </c>
      <c r="P442" t="s">
        <v>103</v>
      </c>
      <c r="Q442" s="3">
        <v>0.33333333333333331</v>
      </c>
      <c r="R442" t="b">
        <v>1</v>
      </c>
      <c r="S442" t="s">
        <v>2093</v>
      </c>
    </row>
    <row r="443" spans="1:19" x14ac:dyDescent="0.2">
      <c r="A443">
        <v>435</v>
      </c>
      <c r="B443" t="s">
        <v>2094</v>
      </c>
      <c r="C443" t="s">
        <v>2095</v>
      </c>
      <c r="D443">
        <v>91711</v>
      </c>
      <c r="E443">
        <v>1.5</v>
      </c>
      <c r="F443">
        <v>100058701</v>
      </c>
      <c r="G443" t="s">
        <v>1495</v>
      </c>
      <c r="H443" t="s">
        <v>113</v>
      </c>
      <c r="I443" s="3">
        <v>0.41666666666666669</v>
      </c>
      <c r="J443" t="s">
        <v>113</v>
      </c>
      <c r="K443" s="3">
        <v>0.41666666666666669</v>
      </c>
      <c r="L443" t="s">
        <v>113</v>
      </c>
      <c r="M443" s="3">
        <v>0.41666666666666669</v>
      </c>
      <c r="N443" t="s">
        <v>113</v>
      </c>
      <c r="O443" s="3">
        <v>0.41666666666666669</v>
      </c>
      <c r="P443" t="s">
        <v>113</v>
      </c>
      <c r="Q443" s="3">
        <v>0.41666666666666669</v>
      </c>
      <c r="R443" t="b">
        <v>1</v>
      </c>
      <c r="S443" t="s">
        <v>2096</v>
      </c>
    </row>
    <row r="444" spans="1:19" x14ac:dyDescent="0.2">
      <c r="A444">
        <v>436</v>
      </c>
      <c r="B444" t="s">
        <v>462</v>
      </c>
      <c r="C444" t="s">
        <v>461</v>
      </c>
      <c r="D444">
        <v>91767</v>
      </c>
      <c r="E444">
        <v>2.6</v>
      </c>
      <c r="F444">
        <v>10373208</v>
      </c>
      <c r="G444" t="s">
        <v>914</v>
      </c>
      <c r="H444" t="s">
        <v>113</v>
      </c>
      <c r="I444" s="3">
        <v>0.33333333333333331</v>
      </c>
      <c r="J444" t="s">
        <v>113</v>
      </c>
      <c r="K444" s="3">
        <v>0.33333333333333331</v>
      </c>
      <c r="L444" t="s">
        <v>113</v>
      </c>
      <c r="M444" s="3">
        <v>0.33333333333333331</v>
      </c>
      <c r="N444" t="s">
        <v>113</v>
      </c>
      <c r="O444" s="3">
        <v>0.33333333333333331</v>
      </c>
      <c r="P444" t="s">
        <v>113</v>
      </c>
      <c r="Q444" s="3">
        <v>0.33333333333333331</v>
      </c>
      <c r="R444" t="b">
        <v>1</v>
      </c>
      <c r="S444" t="s">
        <v>2097</v>
      </c>
    </row>
    <row r="445" spans="1:19" x14ac:dyDescent="0.2">
      <c r="A445">
        <v>437</v>
      </c>
      <c r="B445" t="s">
        <v>954</v>
      </c>
      <c r="C445" t="s">
        <v>955</v>
      </c>
      <c r="D445">
        <v>91711</v>
      </c>
      <c r="E445">
        <v>1.6</v>
      </c>
      <c r="F445">
        <v>10357480</v>
      </c>
      <c r="G445" t="s">
        <v>919</v>
      </c>
      <c r="H445" t="s">
        <v>113</v>
      </c>
      <c r="I445" s="3">
        <v>0.39583333333333331</v>
      </c>
      <c r="J445" t="s">
        <v>113</v>
      </c>
      <c r="K445" s="3">
        <v>0.47916666666666669</v>
      </c>
      <c r="L445" t="s">
        <v>113</v>
      </c>
      <c r="M445" s="3">
        <v>0.54166666666666663</v>
      </c>
      <c r="N445" t="s">
        <v>113</v>
      </c>
      <c r="O445" s="3">
        <v>0.45833333333333331</v>
      </c>
      <c r="P445" t="s">
        <v>113</v>
      </c>
      <c r="Q445" s="3">
        <v>0.125</v>
      </c>
      <c r="R445" t="b">
        <v>1</v>
      </c>
      <c r="S445" t="s">
        <v>2098</v>
      </c>
    </row>
    <row r="446" spans="1:19" x14ac:dyDescent="0.2">
      <c r="A446">
        <v>438</v>
      </c>
      <c r="B446" t="s">
        <v>1302</v>
      </c>
      <c r="C446" t="s">
        <v>832</v>
      </c>
      <c r="D446">
        <v>90650</v>
      </c>
      <c r="E446">
        <v>39</v>
      </c>
      <c r="F446">
        <v>103560671</v>
      </c>
      <c r="G446" t="s">
        <v>914</v>
      </c>
      <c r="H446" t="s">
        <v>933</v>
      </c>
      <c r="I446" s="3">
        <v>0.29166666666666669</v>
      </c>
      <c r="J446" t="s">
        <v>933</v>
      </c>
      <c r="K446" s="3">
        <v>0.29166666666666669</v>
      </c>
      <c r="L446" t="s">
        <v>933</v>
      </c>
      <c r="M446" s="3">
        <v>0.29166666666666669</v>
      </c>
      <c r="N446" t="s">
        <v>933</v>
      </c>
      <c r="O446" s="3">
        <v>0.29166666666666669</v>
      </c>
      <c r="P446" t="s">
        <v>933</v>
      </c>
      <c r="Q446" s="3">
        <v>0.29166666666666669</v>
      </c>
      <c r="R446" t="b">
        <v>1</v>
      </c>
      <c r="S446" t="s">
        <v>2099</v>
      </c>
    </row>
    <row r="447" spans="1:19" x14ac:dyDescent="0.2">
      <c r="A447">
        <v>439</v>
      </c>
      <c r="B447" t="s">
        <v>356</v>
      </c>
      <c r="C447" t="s">
        <v>355</v>
      </c>
      <c r="D447">
        <v>91786</v>
      </c>
      <c r="E447">
        <v>4</v>
      </c>
      <c r="F447">
        <v>10043581</v>
      </c>
      <c r="G447" t="s">
        <v>914</v>
      </c>
      <c r="H447" t="s">
        <v>113</v>
      </c>
      <c r="I447" s="3">
        <v>0.20833333333333334</v>
      </c>
      <c r="J447" t="s">
        <v>113</v>
      </c>
      <c r="K447" s="3">
        <v>0.20833333333333334</v>
      </c>
      <c r="L447" t="s">
        <v>113</v>
      </c>
      <c r="M447" s="3">
        <v>0.20833333333333334</v>
      </c>
      <c r="N447" t="s">
        <v>113</v>
      </c>
      <c r="O447" s="3">
        <v>0.20833333333333334</v>
      </c>
      <c r="P447" t="s">
        <v>113</v>
      </c>
      <c r="Q447" s="3">
        <v>0.20833333333333334</v>
      </c>
      <c r="R447" t="b">
        <v>0</v>
      </c>
      <c r="S447" t="s">
        <v>2100</v>
      </c>
    </row>
    <row r="448" spans="1:19" x14ac:dyDescent="0.2">
      <c r="A448">
        <v>440</v>
      </c>
      <c r="B448" t="s">
        <v>1136</v>
      </c>
      <c r="C448" t="s">
        <v>1383</v>
      </c>
      <c r="D448">
        <v>91711</v>
      </c>
      <c r="E448">
        <v>1</v>
      </c>
      <c r="F448">
        <v>10014411</v>
      </c>
      <c r="G448" t="s">
        <v>1495</v>
      </c>
      <c r="H448" t="s">
        <v>103</v>
      </c>
      <c r="I448" s="3">
        <v>0.3125</v>
      </c>
      <c r="J448" t="s">
        <v>98</v>
      </c>
      <c r="K448" s="3">
        <v>0.33333333333333331</v>
      </c>
      <c r="L448" t="s">
        <v>103</v>
      </c>
      <c r="M448" s="3">
        <v>0.3125</v>
      </c>
      <c r="N448" t="s">
        <v>98</v>
      </c>
      <c r="O448" s="3">
        <v>0.375</v>
      </c>
      <c r="P448" t="s">
        <v>98</v>
      </c>
      <c r="Q448" s="3">
        <v>0.33333333333333331</v>
      </c>
      <c r="R448" t="b">
        <v>1</v>
      </c>
      <c r="S448" t="s">
        <v>2101</v>
      </c>
    </row>
    <row r="449" spans="1:19" x14ac:dyDescent="0.2">
      <c r="A449">
        <v>441</v>
      </c>
      <c r="B449" t="s">
        <v>1307</v>
      </c>
      <c r="C449" t="s">
        <v>1308</v>
      </c>
      <c r="D449">
        <v>90027</v>
      </c>
      <c r="E449">
        <v>40</v>
      </c>
      <c r="F449">
        <v>103727751</v>
      </c>
      <c r="G449" t="s">
        <v>914</v>
      </c>
      <c r="H449" t="s">
        <v>113</v>
      </c>
      <c r="I449" s="3">
        <v>0.33333333333333331</v>
      </c>
      <c r="J449" t="s">
        <v>113</v>
      </c>
      <c r="K449" s="3">
        <v>0.33333333333333331</v>
      </c>
      <c r="L449" t="s">
        <v>202</v>
      </c>
      <c r="M449" s="3">
        <v>0.25</v>
      </c>
      <c r="N449" t="s">
        <v>202</v>
      </c>
      <c r="O449" s="3">
        <v>0.25</v>
      </c>
      <c r="P449" t="s">
        <v>113</v>
      </c>
      <c r="Q449" s="3">
        <v>0.33333333333333331</v>
      </c>
      <c r="R449" t="b">
        <v>1</v>
      </c>
      <c r="S449" t="s">
        <v>2102</v>
      </c>
    </row>
    <row r="450" spans="1:19" x14ac:dyDescent="0.2">
      <c r="A450">
        <v>442</v>
      </c>
      <c r="B450" t="s">
        <v>829</v>
      </c>
      <c r="C450" t="s">
        <v>828</v>
      </c>
      <c r="D450">
        <v>91030</v>
      </c>
      <c r="E450">
        <v>30</v>
      </c>
      <c r="F450">
        <v>103746631</v>
      </c>
      <c r="G450" t="s">
        <v>914</v>
      </c>
      <c r="H450" t="s">
        <v>74</v>
      </c>
      <c r="I450" s="3">
        <v>0.375</v>
      </c>
      <c r="J450" t="s">
        <v>74</v>
      </c>
      <c r="K450" s="3">
        <v>0.375</v>
      </c>
      <c r="L450" t="s">
        <v>74</v>
      </c>
      <c r="M450" s="3">
        <v>0.375</v>
      </c>
      <c r="N450" t="s">
        <v>103</v>
      </c>
      <c r="O450" s="3">
        <v>0.375</v>
      </c>
      <c r="P450" t="s">
        <v>103</v>
      </c>
      <c r="Q450" s="3">
        <v>0.375</v>
      </c>
      <c r="R450" t="b">
        <v>1</v>
      </c>
      <c r="S450" t="s">
        <v>2103</v>
      </c>
    </row>
    <row r="451" spans="1:19" x14ac:dyDescent="0.2">
      <c r="A451">
        <v>443</v>
      </c>
      <c r="B451" t="s">
        <v>622</v>
      </c>
      <c r="C451" t="s">
        <v>621</v>
      </c>
      <c r="D451">
        <v>90640</v>
      </c>
      <c r="E451">
        <v>30</v>
      </c>
      <c r="F451">
        <v>103739531</v>
      </c>
      <c r="G451" t="s">
        <v>919</v>
      </c>
      <c r="H451" t="s">
        <v>103</v>
      </c>
      <c r="I451" s="3">
        <v>0.375</v>
      </c>
      <c r="J451" t="s">
        <v>113</v>
      </c>
      <c r="K451" s="3">
        <v>0.375</v>
      </c>
      <c r="L451" t="s">
        <v>103</v>
      </c>
      <c r="M451" s="3">
        <v>0.375</v>
      </c>
      <c r="N451" t="s">
        <v>113</v>
      </c>
      <c r="O451" s="3">
        <v>0.375</v>
      </c>
      <c r="P451" t="s">
        <v>103</v>
      </c>
      <c r="Q451" s="3">
        <v>0.375</v>
      </c>
      <c r="R451" t="b">
        <v>1</v>
      </c>
      <c r="S451" t="s">
        <v>2104</v>
      </c>
    </row>
    <row r="452" spans="1:19" x14ac:dyDescent="0.2">
      <c r="A452">
        <v>444</v>
      </c>
      <c r="B452" t="s">
        <v>754</v>
      </c>
      <c r="C452" t="s">
        <v>1077</v>
      </c>
      <c r="D452">
        <v>91740</v>
      </c>
      <c r="E452">
        <v>7</v>
      </c>
      <c r="F452">
        <v>103726683</v>
      </c>
      <c r="G452" t="s">
        <v>914</v>
      </c>
      <c r="H452" t="s">
        <v>113</v>
      </c>
      <c r="I452" s="3">
        <v>0.35416666666666669</v>
      </c>
      <c r="J452" t="s">
        <v>103</v>
      </c>
      <c r="K452" s="3">
        <v>0.35416666666666669</v>
      </c>
      <c r="L452" t="s">
        <v>113</v>
      </c>
      <c r="M452" s="3">
        <v>0.35416666666666669</v>
      </c>
      <c r="N452" t="s">
        <v>113</v>
      </c>
      <c r="O452" s="3">
        <v>0.35416666666666669</v>
      </c>
      <c r="P452" t="s">
        <v>103</v>
      </c>
      <c r="Q452" s="3">
        <v>0.35416666666666669</v>
      </c>
      <c r="R452" t="b">
        <v>1</v>
      </c>
      <c r="S452" t="s">
        <v>2105</v>
      </c>
    </row>
    <row r="453" spans="1:19" x14ac:dyDescent="0.2">
      <c r="A453">
        <v>445</v>
      </c>
      <c r="B453" t="s">
        <v>1133</v>
      </c>
      <c r="C453" t="s">
        <v>686</v>
      </c>
      <c r="D453">
        <v>91773</v>
      </c>
      <c r="E453">
        <v>10</v>
      </c>
      <c r="F453">
        <v>103666773</v>
      </c>
      <c r="G453" t="s">
        <v>914</v>
      </c>
      <c r="H453" t="s">
        <v>113</v>
      </c>
      <c r="I453" s="3">
        <v>0.54166666666666663</v>
      </c>
      <c r="J453" t="s">
        <v>113</v>
      </c>
      <c r="K453" s="3">
        <v>0.54166666666666663</v>
      </c>
      <c r="L453" t="s">
        <v>113</v>
      </c>
      <c r="M453" s="3">
        <v>0.54166666666666663</v>
      </c>
      <c r="N453" t="s">
        <v>113</v>
      </c>
      <c r="O453" s="3">
        <v>0.54166666666666663</v>
      </c>
      <c r="P453" t="s">
        <v>113</v>
      </c>
      <c r="Q453" s="3">
        <v>0.54166666666666663</v>
      </c>
      <c r="R453" t="b">
        <v>0</v>
      </c>
      <c r="S453" t="s">
        <v>2106</v>
      </c>
    </row>
    <row r="454" spans="1:19" x14ac:dyDescent="0.2">
      <c r="A454">
        <v>446</v>
      </c>
      <c r="B454" t="s">
        <v>1084</v>
      </c>
      <c r="C454" t="s">
        <v>1085</v>
      </c>
      <c r="D454">
        <v>91773</v>
      </c>
      <c r="E454">
        <v>7.8</v>
      </c>
      <c r="F454">
        <v>103742191</v>
      </c>
      <c r="G454" t="s">
        <v>919</v>
      </c>
      <c r="H454" t="s">
        <v>113</v>
      </c>
      <c r="I454" s="3">
        <v>0.35416666666666669</v>
      </c>
      <c r="J454" t="s">
        <v>113</v>
      </c>
      <c r="K454" s="3">
        <v>0.35416666666666669</v>
      </c>
      <c r="L454" t="s">
        <v>933</v>
      </c>
      <c r="M454" s="3">
        <v>0.33333333333333331</v>
      </c>
      <c r="N454" t="s">
        <v>113</v>
      </c>
      <c r="O454" s="3">
        <v>0.35416666666666669</v>
      </c>
      <c r="P454" t="s">
        <v>113</v>
      </c>
      <c r="Q454" s="3">
        <v>0.35416666666666669</v>
      </c>
      <c r="R454" t="b">
        <v>1</v>
      </c>
      <c r="S454" t="s">
        <v>2107</v>
      </c>
    </row>
    <row r="455" spans="1:19" x14ac:dyDescent="0.2">
      <c r="A455">
        <v>447</v>
      </c>
      <c r="B455" t="s">
        <v>2108</v>
      </c>
      <c r="C455" t="s">
        <v>143</v>
      </c>
      <c r="D455">
        <v>90065</v>
      </c>
      <c r="E455">
        <v>35</v>
      </c>
      <c r="F455">
        <v>100910191</v>
      </c>
      <c r="G455" t="s">
        <v>1495</v>
      </c>
      <c r="H455" t="s">
        <v>202</v>
      </c>
      <c r="I455" s="3">
        <v>0.25</v>
      </c>
      <c r="J455" t="s">
        <v>113</v>
      </c>
      <c r="K455" s="3">
        <v>0.39583333333333331</v>
      </c>
      <c r="L455" t="s">
        <v>202</v>
      </c>
      <c r="M455" s="3">
        <v>0.25</v>
      </c>
      <c r="N455" t="s">
        <v>202</v>
      </c>
      <c r="O455" s="3">
        <v>0.25</v>
      </c>
      <c r="P455" t="s">
        <v>202</v>
      </c>
      <c r="Q455" s="3">
        <v>0.25</v>
      </c>
      <c r="R455" t="b">
        <v>1</v>
      </c>
      <c r="S455" t="s">
        <v>2109</v>
      </c>
    </row>
    <row r="456" spans="1:19" x14ac:dyDescent="0.2">
      <c r="A456">
        <v>448</v>
      </c>
      <c r="B456" t="s">
        <v>12</v>
      </c>
      <c r="C456" t="s">
        <v>1286</v>
      </c>
      <c r="D456">
        <v>92506</v>
      </c>
      <c r="E456">
        <v>30</v>
      </c>
      <c r="F456">
        <v>10366592</v>
      </c>
      <c r="G456" t="s">
        <v>914</v>
      </c>
      <c r="H456" t="s">
        <v>113</v>
      </c>
      <c r="I456" s="3">
        <v>0.33333333333333331</v>
      </c>
      <c r="J456" t="s">
        <v>933</v>
      </c>
      <c r="K456" s="3">
        <v>0.33333333333333331</v>
      </c>
      <c r="L456" t="s">
        <v>103</v>
      </c>
      <c r="M456" s="3">
        <v>0.33333333333333331</v>
      </c>
      <c r="N456" t="s">
        <v>113</v>
      </c>
      <c r="O456" s="3">
        <v>0.33333333333333331</v>
      </c>
      <c r="P456" t="s">
        <v>103</v>
      </c>
      <c r="Q456" s="3">
        <v>0.33333333333333331</v>
      </c>
      <c r="R456" t="b">
        <v>1</v>
      </c>
      <c r="S456" t="s">
        <v>2110</v>
      </c>
    </row>
    <row r="457" spans="1:19" x14ac:dyDescent="0.2">
      <c r="A457">
        <v>449</v>
      </c>
      <c r="B457" t="s">
        <v>702</v>
      </c>
      <c r="C457" t="s">
        <v>701</v>
      </c>
      <c r="D457">
        <v>91702</v>
      </c>
      <c r="E457">
        <v>5</v>
      </c>
      <c r="F457">
        <v>10334912</v>
      </c>
      <c r="G457" t="s">
        <v>919</v>
      </c>
      <c r="H457" t="s">
        <v>113</v>
      </c>
      <c r="I457" s="3">
        <v>0.33333333333333331</v>
      </c>
      <c r="J457" t="s">
        <v>113</v>
      </c>
      <c r="K457" s="3">
        <v>0.33333333333333331</v>
      </c>
      <c r="L457" t="s">
        <v>113</v>
      </c>
      <c r="M457" s="3">
        <v>0.33333333333333331</v>
      </c>
      <c r="N457" t="s">
        <v>113</v>
      </c>
      <c r="O457" s="3">
        <v>0.33333333333333331</v>
      </c>
      <c r="P457" t="s">
        <v>113</v>
      </c>
      <c r="Q457" s="3">
        <v>0.33333333333333331</v>
      </c>
      <c r="R457" t="b">
        <v>1</v>
      </c>
      <c r="S457" t="s">
        <v>2111</v>
      </c>
    </row>
    <row r="458" spans="1:19" x14ac:dyDescent="0.2">
      <c r="A458">
        <v>450</v>
      </c>
      <c r="B458" t="s">
        <v>595</v>
      </c>
      <c r="C458" t="s">
        <v>594</v>
      </c>
      <c r="D458">
        <v>91701</v>
      </c>
      <c r="E458">
        <v>10</v>
      </c>
      <c r="F458">
        <v>10024942</v>
      </c>
      <c r="G458" t="s">
        <v>914</v>
      </c>
      <c r="H458" t="s">
        <v>195</v>
      </c>
      <c r="I458" s="3">
        <v>0.33333333333333331</v>
      </c>
      <c r="J458" t="s">
        <v>195</v>
      </c>
      <c r="K458" s="3">
        <v>0.33333333333333331</v>
      </c>
      <c r="L458" t="s">
        <v>195</v>
      </c>
      <c r="M458" s="3">
        <v>0.33333333333333331</v>
      </c>
      <c r="N458" t="s">
        <v>195</v>
      </c>
      <c r="O458" s="3">
        <v>0.33333333333333331</v>
      </c>
      <c r="P458" t="s">
        <v>195</v>
      </c>
      <c r="Q458" s="3">
        <v>0.33333333333333331</v>
      </c>
      <c r="R458" t="b">
        <v>1</v>
      </c>
      <c r="S458" t="s">
        <v>2112</v>
      </c>
    </row>
    <row r="459" spans="1:19" x14ac:dyDescent="0.2">
      <c r="A459">
        <v>451</v>
      </c>
      <c r="B459" t="s">
        <v>646</v>
      </c>
      <c r="C459" t="s">
        <v>645</v>
      </c>
      <c r="D459">
        <v>90631</v>
      </c>
      <c r="E459">
        <v>22</v>
      </c>
      <c r="F459">
        <v>10371573</v>
      </c>
      <c r="G459" t="s">
        <v>919</v>
      </c>
      <c r="H459" t="s">
        <v>113</v>
      </c>
      <c r="I459" s="3">
        <v>0.35416666666666669</v>
      </c>
      <c r="J459" t="s">
        <v>113</v>
      </c>
      <c r="K459" s="3">
        <v>0.35416666666666669</v>
      </c>
      <c r="L459" t="s">
        <v>113</v>
      </c>
      <c r="M459" s="3">
        <v>0.35416666666666669</v>
      </c>
      <c r="N459" t="s">
        <v>202</v>
      </c>
      <c r="O459" s="3">
        <v>0.25</v>
      </c>
      <c r="P459" t="s">
        <v>113</v>
      </c>
      <c r="Q459" s="3">
        <v>0.47916666666666669</v>
      </c>
      <c r="R459" t="b">
        <v>1</v>
      </c>
      <c r="S459" t="s">
        <v>2113</v>
      </c>
    </row>
    <row r="460" spans="1:19" x14ac:dyDescent="0.2">
      <c r="A460">
        <v>452</v>
      </c>
      <c r="B460" t="s">
        <v>1382</v>
      </c>
      <c r="C460" t="s">
        <v>2114</v>
      </c>
      <c r="D460">
        <v>91711</v>
      </c>
      <c r="E460">
        <v>0.5</v>
      </c>
      <c r="F460">
        <v>100229942</v>
      </c>
      <c r="G460" t="s">
        <v>1495</v>
      </c>
      <c r="H460" t="s">
        <v>199</v>
      </c>
      <c r="I460" s="3">
        <v>0.25</v>
      </c>
      <c r="J460" t="s">
        <v>199</v>
      </c>
      <c r="K460" s="3">
        <v>0.25</v>
      </c>
      <c r="L460" t="s">
        <v>199</v>
      </c>
      <c r="M460" s="3">
        <v>0.25</v>
      </c>
      <c r="N460" t="s">
        <v>199</v>
      </c>
      <c r="O460" s="3">
        <v>0.25</v>
      </c>
      <c r="P460" t="s">
        <v>199</v>
      </c>
      <c r="Q460" s="3">
        <v>0.25</v>
      </c>
      <c r="R460" t="b">
        <v>1</v>
      </c>
      <c r="S460" t="s">
        <v>2115</v>
      </c>
    </row>
    <row r="461" spans="1:19" x14ac:dyDescent="0.2">
      <c r="A461">
        <v>453</v>
      </c>
      <c r="B461" t="s">
        <v>291</v>
      </c>
      <c r="C461" t="s">
        <v>756</v>
      </c>
      <c r="D461">
        <v>91786</v>
      </c>
      <c r="E461">
        <v>2</v>
      </c>
      <c r="F461">
        <v>10372340</v>
      </c>
      <c r="G461" t="s">
        <v>914</v>
      </c>
      <c r="H461" t="s">
        <v>113</v>
      </c>
      <c r="I461" s="3">
        <v>0.33333333333333331</v>
      </c>
      <c r="J461" t="s">
        <v>113</v>
      </c>
      <c r="K461" s="3">
        <v>0.33333333333333331</v>
      </c>
      <c r="L461" t="s">
        <v>113</v>
      </c>
      <c r="M461" s="3">
        <v>0.33333333333333331</v>
      </c>
      <c r="N461" t="s">
        <v>113</v>
      </c>
      <c r="O461" s="3">
        <v>0.33333333333333331</v>
      </c>
      <c r="P461" t="s">
        <v>113</v>
      </c>
      <c r="Q461" s="3">
        <v>0.33333333333333331</v>
      </c>
      <c r="R461" t="b">
        <v>1</v>
      </c>
      <c r="S461" t="s">
        <v>2116</v>
      </c>
    </row>
    <row r="462" spans="1:19" x14ac:dyDescent="0.2">
      <c r="A462">
        <v>454</v>
      </c>
      <c r="B462" t="s">
        <v>2117</v>
      </c>
      <c r="C462" t="s">
        <v>927</v>
      </c>
      <c r="D462">
        <v>91770</v>
      </c>
      <c r="E462">
        <v>25</v>
      </c>
      <c r="F462">
        <v>10370668</v>
      </c>
      <c r="G462" t="s">
        <v>1495</v>
      </c>
      <c r="H462" t="s">
        <v>113</v>
      </c>
      <c r="I462" s="3">
        <v>0.33333333333333331</v>
      </c>
      <c r="J462" t="s">
        <v>113</v>
      </c>
      <c r="K462" s="3">
        <v>0.33333333333333331</v>
      </c>
      <c r="L462" t="s">
        <v>113</v>
      </c>
      <c r="M462" s="3">
        <v>0.33333333333333331</v>
      </c>
      <c r="N462" t="s">
        <v>113</v>
      </c>
      <c r="O462" s="3">
        <v>0.33333333333333331</v>
      </c>
      <c r="P462" t="s">
        <v>113</v>
      </c>
      <c r="Q462" s="3">
        <v>0.33333333333333331</v>
      </c>
      <c r="R462" t="b">
        <v>1</v>
      </c>
      <c r="S462" t="s">
        <v>2118</v>
      </c>
    </row>
    <row r="463" spans="1:19" x14ac:dyDescent="0.2">
      <c r="A463">
        <v>455</v>
      </c>
      <c r="B463" t="s">
        <v>629</v>
      </c>
      <c r="C463" t="s">
        <v>369</v>
      </c>
      <c r="D463">
        <v>91711</v>
      </c>
      <c r="E463">
        <v>0.2</v>
      </c>
      <c r="F463">
        <v>10305558</v>
      </c>
      <c r="G463" t="s">
        <v>914</v>
      </c>
      <c r="H463" t="s">
        <v>103</v>
      </c>
      <c r="I463" s="3">
        <v>0.29166666666666669</v>
      </c>
      <c r="J463" t="s">
        <v>92</v>
      </c>
      <c r="K463" s="3">
        <v>0.33333333333333331</v>
      </c>
      <c r="L463" t="s">
        <v>92</v>
      </c>
      <c r="M463" s="3">
        <v>0.33333333333333331</v>
      </c>
      <c r="N463" t="s">
        <v>92</v>
      </c>
      <c r="O463" s="3">
        <v>0.33333333333333331</v>
      </c>
      <c r="P463" t="s">
        <v>103</v>
      </c>
      <c r="Q463" s="3">
        <v>0.29166666666666669</v>
      </c>
      <c r="R463" t="b">
        <v>1</v>
      </c>
      <c r="S463" t="s">
        <v>2119</v>
      </c>
    </row>
    <row r="464" spans="1:19" x14ac:dyDescent="0.2">
      <c r="A464">
        <v>456</v>
      </c>
      <c r="B464" t="s">
        <v>884</v>
      </c>
      <c r="C464" t="s">
        <v>883</v>
      </c>
      <c r="D464">
        <v>91784</v>
      </c>
      <c r="E464">
        <v>6.1</v>
      </c>
      <c r="F464">
        <v>103559453</v>
      </c>
      <c r="G464" t="s">
        <v>914</v>
      </c>
      <c r="H464" t="s">
        <v>202</v>
      </c>
      <c r="I464" s="3">
        <v>0.45833333333333331</v>
      </c>
      <c r="J464" t="s">
        <v>202</v>
      </c>
      <c r="K464" s="3">
        <v>0.45833333333333331</v>
      </c>
      <c r="L464" t="s">
        <v>113</v>
      </c>
      <c r="M464" s="3">
        <v>0.4375</v>
      </c>
      <c r="N464" t="s">
        <v>113</v>
      </c>
      <c r="O464" s="3">
        <v>0.4375</v>
      </c>
      <c r="P464" t="s">
        <v>113</v>
      </c>
      <c r="Q464" s="3">
        <v>0.4375</v>
      </c>
      <c r="R464" t="b">
        <v>0</v>
      </c>
      <c r="S464" t="s">
        <v>2120</v>
      </c>
    </row>
    <row r="465" spans="1:19" x14ac:dyDescent="0.2">
      <c r="A465">
        <v>457</v>
      </c>
      <c r="B465" t="s">
        <v>362</v>
      </c>
      <c r="C465" t="s">
        <v>361</v>
      </c>
      <c r="D465">
        <v>92831</v>
      </c>
      <c r="E465">
        <v>25</v>
      </c>
      <c r="F465">
        <v>113637</v>
      </c>
      <c r="G465" t="s">
        <v>919</v>
      </c>
      <c r="H465" t="s">
        <v>103</v>
      </c>
      <c r="I465" s="3">
        <v>0.41666666666666669</v>
      </c>
      <c r="J465" t="s">
        <v>103</v>
      </c>
      <c r="K465" s="3">
        <v>0.41666666666666669</v>
      </c>
      <c r="L465" t="s">
        <v>103</v>
      </c>
      <c r="M465" s="3">
        <v>0.41666666666666669</v>
      </c>
      <c r="N465" t="s">
        <v>103</v>
      </c>
      <c r="O465" s="3">
        <v>0.41666666666666669</v>
      </c>
      <c r="P465" t="s">
        <v>103</v>
      </c>
      <c r="Q465" s="3">
        <v>0.41666666666666669</v>
      </c>
      <c r="R465" t="b">
        <v>1</v>
      </c>
      <c r="S465" t="s">
        <v>2121</v>
      </c>
    </row>
    <row r="466" spans="1:19" x14ac:dyDescent="0.2">
      <c r="A466">
        <v>458</v>
      </c>
      <c r="B466" t="s">
        <v>606</v>
      </c>
      <c r="C466" t="s">
        <v>605</v>
      </c>
      <c r="D466">
        <v>91784</v>
      </c>
      <c r="E466">
        <v>15</v>
      </c>
      <c r="F466">
        <v>10350170</v>
      </c>
      <c r="G466" t="s">
        <v>914</v>
      </c>
      <c r="H466" t="s">
        <v>113</v>
      </c>
      <c r="I466" s="3">
        <v>0.33333333333333331</v>
      </c>
      <c r="J466" t="s">
        <v>113</v>
      </c>
      <c r="K466" s="3">
        <v>0.33333333333333331</v>
      </c>
      <c r="L466" t="s">
        <v>113</v>
      </c>
      <c r="M466" s="3">
        <v>0.33333333333333331</v>
      </c>
      <c r="N466" t="s">
        <v>113</v>
      </c>
      <c r="O466" s="3">
        <v>0.33333333333333331</v>
      </c>
      <c r="P466" t="s">
        <v>199</v>
      </c>
      <c r="Q466" s="3">
        <v>0.25</v>
      </c>
      <c r="R466" t="b">
        <v>1</v>
      </c>
      <c r="S466" t="s">
        <v>2122</v>
      </c>
    </row>
    <row r="467" spans="1:19" x14ac:dyDescent="0.2">
      <c r="A467">
        <v>459</v>
      </c>
      <c r="B467" t="s">
        <v>946</v>
      </c>
      <c r="C467" t="s">
        <v>355</v>
      </c>
      <c r="D467">
        <v>91711</v>
      </c>
      <c r="E467">
        <v>1</v>
      </c>
      <c r="F467">
        <v>10156943</v>
      </c>
      <c r="G467" t="s">
        <v>1495</v>
      </c>
      <c r="H467" t="s">
        <v>202</v>
      </c>
      <c r="I467" s="3">
        <v>0.25</v>
      </c>
      <c r="J467" t="s">
        <v>933</v>
      </c>
      <c r="K467" s="3">
        <v>0.41666666666666669</v>
      </c>
      <c r="L467" t="s">
        <v>933</v>
      </c>
      <c r="M467" s="3">
        <v>0.375</v>
      </c>
      <c r="N467" t="s">
        <v>933</v>
      </c>
      <c r="O467" s="3">
        <v>0.375</v>
      </c>
      <c r="P467" t="s">
        <v>202</v>
      </c>
      <c r="Q467" s="3">
        <v>0.25</v>
      </c>
      <c r="R467" t="b">
        <v>1</v>
      </c>
      <c r="S467" t="s">
        <v>2123</v>
      </c>
    </row>
    <row r="468" spans="1:19" x14ac:dyDescent="0.2">
      <c r="A468">
        <v>460</v>
      </c>
      <c r="B468" t="s">
        <v>171</v>
      </c>
      <c r="C468" t="s">
        <v>170</v>
      </c>
      <c r="D468">
        <v>92553</v>
      </c>
      <c r="E468">
        <v>46</v>
      </c>
      <c r="F468">
        <v>10355978</v>
      </c>
      <c r="G468" t="s">
        <v>914</v>
      </c>
      <c r="H468" t="s">
        <v>113</v>
      </c>
      <c r="I468" s="3">
        <v>0.33333333333333331</v>
      </c>
      <c r="J468" t="s">
        <v>103</v>
      </c>
      <c r="K468" s="3">
        <v>0.33333333333333331</v>
      </c>
      <c r="L468" t="s">
        <v>113</v>
      </c>
      <c r="M468" s="3">
        <v>0.33333333333333331</v>
      </c>
      <c r="N468" t="s">
        <v>113</v>
      </c>
      <c r="O468" s="3">
        <v>0.33333333333333331</v>
      </c>
      <c r="P468" t="s">
        <v>113</v>
      </c>
      <c r="Q468" s="3">
        <v>0.33333333333333331</v>
      </c>
      <c r="R468" t="b">
        <v>1</v>
      </c>
      <c r="S468" t="s">
        <v>2124</v>
      </c>
    </row>
    <row r="469" spans="1:19" x14ac:dyDescent="0.2">
      <c r="A469">
        <v>461</v>
      </c>
      <c r="B469" t="s">
        <v>1229</v>
      </c>
      <c r="C469" t="s">
        <v>847</v>
      </c>
      <c r="D469">
        <v>92337</v>
      </c>
      <c r="E469">
        <v>20</v>
      </c>
      <c r="F469">
        <v>10359053</v>
      </c>
      <c r="G469" t="s">
        <v>914</v>
      </c>
      <c r="H469" t="s">
        <v>113</v>
      </c>
      <c r="I469" s="3">
        <v>0.47916666666666669</v>
      </c>
      <c r="J469" t="s">
        <v>113</v>
      </c>
      <c r="K469" s="3">
        <v>0.47916666666666669</v>
      </c>
      <c r="L469" t="s">
        <v>113</v>
      </c>
      <c r="M469" s="3">
        <v>0.47916666666666669</v>
      </c>
      <c r="N469" t="s">
        <v>113</v>
      </c>
      <c r="O469" s="3">
        <v>0.25</v>
      </c>
      <c r="P469" t="s">
        <v>113</v>
      </c>
      <c r="Q469" s="3">
        <v>0.25</v>
      </c>
      <c r="R469" t="b">
        <v>1</v>
      </c>
      <c r="S469" t="s">
        <v>2125</v>
      </c>
    </row>
    <row r="470" spans="1:19" x14ac:dyDescent="0.2">
      <c r="A470">
        <v>462</v>
      </c>
      <c r="B470" t="s">
        <v>580</v>
      </c>
      <c r="C470" t="s">
        <v>1027</v>
      </c>
      <c r="D470">
        <v>91784</v>
      </c>
      <c r="E470">
        <v>4</v>
      </c>
      <c r="F470">
        <v>100430831</v>
      </c>
      <c r="G470" t="s">
        <v>914</v>
      </c>
      <c r="H470" t="s">
        <v>103</v>
      </c>
      <c r="I470" s="3">
        <v>0.33333333333333331</v>
      </c>
      <c r="J470" t="s">
        <v>113</v>
      </c>
      <c r="K470" s="3">
        <v>0.375</v>
      </c>
      <c r="L470" t="s">
        <v>113</v>
      </c>
      <c r="M470" s="3">
        <v>0.375</v>
      </c>
      <c r="N470" t="s">
        <v>113</v>
      </c>
      <c r="O470" s="3">
        <v>0.375</v>
      </c>
      <c r="P470" t="s">
        <v>103</v>
      </c>
      <c r="Q470" s="3">
        <v>0.33333333333333331</v>
      </c>
      <c r="R470" t="b">
        <v>1</v>
      </c>
      <c r="S470" t="s">
        <v>2126</v>
      </c>
    </row>
    <row r="471" spans="1:19" x14ac:dyDescent="0.2">
      <c r="A471">
        <v>463</v>
      </c>
      <c r="B471" t="s">
        <v>275</v>
      </c>
      <c r="C471" t="s">
        <v>274</v>
      </c>
      <c r="D471">
        <v>91708</v>
      </c>
      <c r="E471">
        <v>17</v>
      </c>
      <c r="F471">
        <v>103695161</v>
      </c>
      <c r="G471" t="s">
        <v>914</v>
      </c>
      <c r="H471" t="s">
        <v>113</v>
      </c>
      <c r="I471" s="3">
        <v>0.29166666666666669</v>
      </c>
      <c r="J471" t="s">
        <v>113</v>
      </c>
      <c r="K471" s="3">
        <v>0.29166666666666669</v>
      </c>
      <c r="L471" t="s">
        <v>113</v>
      </c>
      <c r="M471" s="3">
        <v>0.29166666666666669</v>
      </c>
      <c r="N471" t="s">
        <v>113</v>
      </c>
      <c r="O471" s="3">
        <v>0.29166666666666669</v>
      </c>
      <c r="P471" t="s">
        <v>103</v>
      </c>
      <c r="Q471" s="3">
        <v>0.29166666666666669</v>
      </c>
      <c r="R471" t="b">
        <v>1</v>
      </c>
      <c r="S471" t="s">
        <v>2127</v>
      </c>
    </row>
    <row r="472" spans="1:19" x14ac:dyDescent="0.2">
      <c r="A472">
        <v>464</v>
      </c>
      <c r="B472" t="s">
        <v>803</v>
      </c>
      <c r="C472" t="s">
        <v>802</v>
      </c>
      <c r="D472">
        <v>91784</v>
      </c>
      <c r="E472">
        <v>7</v>
      </c>
      <c r="F472">
        <v>10366651</v>
      </c>
      <c r="G472" t="s">
        <v>914</v>
      </c>
      <c r="H472" t="s">
        <v>103</v>
      </c>
      <c r="I472" s="3">
        <v>0.35416666666666669</v>
      </c>
      <c r="J472" t="s">
        <v>113</v>
      </c>
      <c r="K472" s="3">
        <v>0.35416666666666669</v>
      </c>
      <c r="L472" t="s">
        <v>113</v>
      </c>
      <c r="M472" s="3">
        <v>0.35416666666666669</v>
      </c>
      <c r="N472" t="s">
        <v>113</v>
      </c>
      <c r="O472" s="3">
        <v>0.35416666666666669</v>
      </c>
      <c r="P472" t="s">
        <v>103</v>
      </c>
      <c r="Q472" s="3">
        <v>0.35416666666666669</v>
      </c>
      <c r="R472" t="b">
        <v>1</v>
      </c>
      <c r="S472" t="s">
        <v>2128</v>
      </c>
    </row>
    <row r="473" spans="1:19" x14ac:dyDescent="0.2">
      <c r="A473">
        <v>465</v>
      </c>
      <c r="B473" t="s">
        <v>926</v>
      </c>
      <c r="C473" t="s">
        <v>927</v>
      </c>
      <c r="D473">
        <v>91711</v>
      </c>
      <c r="E473">
        <v>0.5</v>
      </c>
      <c r="F473">
        <v>10358521</v>
      </c>
      <c r="G473" t="s">
        <v>919</v>
      </c>
      <c r="H473" t="s">
        <v>92</v>
      </c>
      <c r="I473" s="3">
        <v>0.39583333333333331</v>
      </c>
      <c r="J473" t="s">
        <v>113</v>
      </c>
      <c r="K473" s="3">
        <v>0.39583333333333331</v>
      </c>
      <c r="L473" t="s">
        <v>113</v>
      </c>
      <c r="M473" s="3">
        <v>0.39583333333333331</v>
      </c>
      <c r="N473" t="s">
        <v>92</v>
      </c>
      <c r="O473" s="3">
        <v>0.39583333333333331</v>
      </c>
      <c r="P473" t="s">
        <v>92</v>
      </c>
      <c r="Q473" s="3">
        <v>0.39583333333333331</v>
      </c>
      <c r="R473" t="b">
        <v>1</v>
      </c>
      <c r="S473" t="s">
        <v>2129</v>
      </c>
    </row>
    <row r="474" spans="1:19" x14ac:dyDescent="0.2">
      <c r="A474">
        <v>466</v>
      </c>
      <c r="B474" t="s">
        <v>878</v>
      </c>
      <c r="C474" t="s">
        <v>2130</v>
      </c>
      <c r="D474">
        <v>91711</v>
      </c>
      <c r="E474">
        <v>1.1000000000000001</v>
      </c>
      <c r="F474">
        <v>10372637</v>
      </c>
      <c r="G474" t="s">
        <v>1495</v>
      </c>
      <c r="H474" t="s">
        <v>98</v>
      </c>
      <c r="I474" s="3">
        <v>0.375</v>
      </c>
      <c r="J474" t="s">
        <v>98</v>
      </c>
      <c r="K474" s="3">
        <v>0.375</v>
      </c>
      <c r="L474" t="s">
        <v>98</v>
      </c>
      <c r="M474" s="3">
        <v>0.375</v>
      </c>
      <c r="N474" t="s">
        <v>98</v>
      </c>
      <c r="O474" s="3">
        <v>0.375</v>
      </c>
      <c r="P474" t="s">
        <v>98</v>
      </c>
      <c r="Q474" s="3">
        <v>0.5</v>
      </c>
      <c r="R474" t="b">
        <v>1</v>
      </c>
      <c r="S474" t="s">
        <v>2131</v>
      </c>
    </row>
    <row r="475" spans="1:19" x14ac:dyDescent="0.2">
      <c r="A475">
        <v>467</v>
      </c>
      <c r="B475" t="s">
        <v>1380</v>
      </c>
      <c r="C475" t="s">
        <v>1381</v>
      </c>
      <c r="D475">
        <v>91711</v>
      </c>
      <c r="E475">
        <v>2</v>
      </c>
      <c r="F475">
        <v>102544251</v>
      </c>
      <c r="G475" t="s">
        <v>1495</v>
      </c>
      <c r="H475" t="s">
        <v>98</v>
      </c>
      <c r="I475" s="3">
        <v>0.375</v>
      </c>
      <c r="J475" t="s">
        <v>98</v>
      </c>
      <c r="K475" s="3">
        <v>0.35416666666666669</v>
      </c>
      <c r="L475" t="s">
        <v>191</v>
      </c>
      <c r="M475" s="3">
        <v>0.375</v>
      </c>
      <c r="N475" t="s">
        <v>191</v>
      </c>
      <c r="O475" s="3">
        <v>0.375</v>
      </c>
      <c r="P475" t="s">
        <v>191</v>
      </c>
      <c r="Q475" s="3">
        <v>0.375</v>
      </c>
      <c r="R475" t="b">
        <v>1</v>
      </c>
      <c r="S475" t="s">
        <v>2132</v>
      </c>
    </row>
    <row r="476" spans="1:19" x14ac:dyDescent="0.2">
      <c r="A476">
        <v>468</v>
      </c>
      <c r="B476" t="s">
        <v>337</v>
      </c>
      <c r="C476" t="s">
        <v>336</v>
      </c>
      <c r="D476">
        <v>92337</v>
      </c>
      <c r="E476">
        <v>19</v>
      </c>
      <c r="F476">
        <v>10092419</v>
      </c>
      <c r="G476" t="s">
        <v>914</v>
      </c>
      <c r="H476" t="s">
        <v>191</v>
      </c>
      <c r="I476" s="3">
        <v>0.375</v>
      </c>
      <c r="J476" t="s">
        <v>113</v>
      </c>
      <c r="K476" s="3">
        <v>0.375</v>
      </c>
      <c r="L476" t="s">
        <v>113</v>
      </c>
      <c r="M476" s="3">
        <v>0.375</v>
      </c>
      <c r="N476" t="s">
        <v>113</v>
      </c>
      <c r="O476" s="3">
        <v>0.375</v>
      </c>
      <c r="P476" t="s">
        <v>113</v>
      </c>
      <c r="Q476" s="3">
        <v>0.375</v>
      </c>
      <c r="R476" t="b">
        <v>1</v>
      </c>
      <c r="S476" t="s">
        <v>2133</v>
      </c>
    </row>
    <row r="477" spans="1:19" x14ac:dyDescent="0.2">
      <c r="A477">
        <v>469</v>
      </c>
      <c r="B477" t="s">
        <v>778</v>
      </c>
      <c r="C477" t="s">
        <v>777</v>
      </c>
      <c r="D477">
        <v>92833</v>
      </c>
      <c r="E477">
        <v>29.9</v>
      </c>
      <c r="F477">
        <v>103559641</v>
      </c>
      <c r="G477" t="s">
        <v>1495</v>
      </c>
      <c r="H477" t="s">
        <v>202</v>
      </c>
      <c r="I477" s="3">
        <v>0.45833333333333331</v>
      </c>
      <c r="J477" t="s">
        <v>113</v>
      </c>
      <c r="K477" s="3">
        <v>0.83333333333333337</v>
      </c>
      <c r="L477" t="s">
        <v>202</v>
      </c>
      <c r="M477" s="3">
        <v>0.45833333333333331</v>
      </c>
      <c r="N477" t="s">
        <v>113</v>
      </c>
      <c r="O477" s="3">
        <v>0.83333333333333337</v>
      </c>
      <c r="P477" t="s">
        <v>202</v>
      </c>
      <c r="Q477" s="3">
        <v>0.45833333333333331</v>
      </c>
      <c r="R477" t="b">
        <v>0</v>
      </c>
      <c r="S477" t="s">
        <v>2134</v>
      </c>
    </row>
    <row r="478" spans="1:19" x14ac:dyDescent="0.2">
      <c r="A478">
        <v>470</v>
      </c>
      <c r="B478" t="s">
        <v>1298</v>
      </c>
      <c r="C478" t="s">
        <v>1299</v>
      </c>
      <c r="D478">
        <v>91780</v>
      </c>
      <c r="E478">
        <v>35</v>
      </c>
      <c r="F478">
        <v>10371388</v>
      </c>
      <c r="G478" t="s">
        <v>914</v>
      </c>
      <c r="H478" t="s">
        <v>113</v>
      </c>
      <c r="I478" s="3">
        <v>0.33333333333333331</v>
      </c>
      <c r="J478" t="s">
        <v>113</v>
      </c>
      <c r="K478" s="3">
        <v>0.33333333333333331</v>
      </c>
      <c r="L478" t="s">
        <v>113</v>
      </c>
      <c r="M478" s="3">
        <v>0.33333333333333331</v>
      </c>
      <c r="N478" t="s">
        <v>103</v>
      </c>
      <c r="O478" s="3">
        <v>0.33333333333333331</v>
      </c>
      <c r="P478" t="s">
        <v>103</v>
      </c>
      <c r="Q478" s="3">
        <v>0.33333333333333331</v>
      </c>
      <c r="R478" t="b">
        <v>1</v>
      </c>
      <c r="S478" t="s">
        <v>2135</v>
      </c>
    </row>
    <row r="479" spans="1:19" x14ac:dyDescent="0.2">
      <c r="A479">
        <v>471</v>
      </c>
      <c r="B479" t="s">
        <v>944</v>
      </c>
      <c r="C479" t="s">
        <v>945</v>
      </c>
      <c r="D479">
        <v>91711</v>
      </c>
      <c r="E479">
        <v>1</v>
      </c>
      <c r="F479">
        <v>100436878</v>
      </c>
      <c r="G479" t="s">
        <v>914</v>
      </c>
      <c r="H479" t="s">
        <v>92</v>
      </c>
      <c r="I479" s="3">
        <v>0.33333333333333331</v>
      </c>
      <c r="J479" t="s">
        <v>103</v>
      </c>
      <c r="K479" s="3">
        <v>0.33333333333333331</v>
      </c>
      <c r="L479" t="s">
        <v>92</v>
      </c>
      <c r="M479" s="3">
        <v>0.33333333333333331</v>
      </c>
      <c r="N479" t="s">
        <v>92</v>
      </c>
      <c r="O479" s="3">
        <v>0.33333333333333331</v>
      </c>
      <c r="P479" t="s">
        <v>103</v>
      </c>
      <c r="Q479" s="3">
        <v>0.33333333333333331</v>
      </c>
      <c r="R479" t="b">
        <v>1</v>
      </c>
      <c r="S479" t="s">
        <v>2136</v>
      </c>
    </row>
    <row r="480" spans="1:19" x14ac:dyDescent="0.2">
      <c r="A480">
        <v>472</v>
      </c>
      <c r="B480" t="s">
        <v>2137</v>
      </c>
      <c r="C480" t="s">
        <v>2138</v>
      </c>
      <c r="D480">
        <v>91711</v>
      </c>
      <c r="E480">
        <v>1.2</v>
      </c>
      <c r="F480">
        <v>102814231</v>
      </c>
      <c r="G480" t="s">
        <v>1495</v>
      </c>
      <c r="H480" t="s">
        <v>113</v>
      </c>
      <c r="I480" s="3">
        <v>0.5</v>
      </c>
      <c r="J480" t="s">
        <v>113</v>
      </c>
      <c r="K480" s="3">
        <v>0.54166666666666663</v>
      </c>
      <c r="L480" t="s">
        <v>113</v>
      </c>
      <c r="M480" s="3">
        <v>0.5</v>
      </c>
      <c r="N480" t="s">
        <v>113</v>
      </c>
      <c r="O480" s="3">
        <v>0.45833333333333331</v>
      </c>
      <c r="P480" t="s">
        <v>113</v>
      </c>
      <c r="Q480" s="3">
        <v>0.58333333333333337</v>
      </c>
      <c r="R480" t="b">
        <v>0</v>
      </c>
      <c r="S480" t="s">
        <v>2139</v>
      </c>
    </row>
    <row r="481" spans="1:19" x14ac:dyDescent="0.2">
      <c r="A481">
        <v>473</v>
      </c>
      <c r="B481" t="s">
        <v>820</v>
      </c>
      <c r="C481" t="s">
        <v>844</v>
      </c>
      <c r="D481">
        <v>92392</v>
      </c>
      <c r="E481">
        <v>48</v>
      </c>
      <c r="F481">
        <v>100442712</v>
      </c>
      <c r="G481" t="s">
        <v>914</v>
      </c>
      <c r="H481" t="s">
        <v>1176</v>
      </c>
      <c r="I481" s="3">
        <v>0.375</v>
      </c>
      <c r="J481" t="s">
        <v>1176</v>
      </c>
      <c r="K481" s="3">
        <v>0.375</v>
      </c>
      <c r="L481" t="s">
        <v>1176</v>
      </c>
      <c r="M481" s="3">
        <v>0.375</v>
      </c>
      <c r="N481" t="s">
        <v>1176</v>
      </c>
      <c r="O481" s="3">
        <v>0.375</v>
      </c>
      <c r="P481" t="s">
        <v>1176</v>
      </c>
      <c r="Q481" s="3">
        <v>0.375</v>
      </c>
      <c r="R481" t="b">
        <v>1</v>
      </c>
      <c r="S481" t="s">
        <v>2140</v>
      </c>
    </row>
    <row r="482" spans="1:19" x14ac:dyDescent="0.2">
      <c r="A482">
        <v>474</v>
      </c>
      <c r="B482" t="s">
        <v>820</v>
      </c>
      <c r="C482" t="s">
        <v>728</v>
      </c>
      <c r="D482">
        <v>92333</v>
      </c>
      <c r="E482">
        <v>20</v>
      </c>
      <c r="F482">
        <v>10042922</v>
      </c>
      <c r="G482" t="s">
        <v>914</v>
      </c>
      <c r="H482" t="s">
        <v>933</v>
      </c>
      <c r="I482" s="3">
        <v>0.20833333333333334</v>
      </c>
      <c r="J482" t="s">
        <v>933</v>
      </c>
      <c r="K482" s="3">
        <v>0.20833333333333334</v>
      </c>
      <c r="L482" t="s">
        <v>933</v>
      </c>
      <c r="M482" s="3">
        <v>0.20833333333333334</v>
      </c>
      <c r="N482" t="s">
        <v>933</v>
      </c>
      <c r="O482" s="3">
        <v>0.20833333333333334</v>
      </c>
      <c r="P482" t="s">
        <v>933</v>
      </c>
      <c r="Q482" s="3">
        <v>0.20833333333333334</v>
      </c>
      <c r="R482" t="b">
        <v>0</v>
      </c>
      <c r="S482" t="s">
        <v>2141</v>
      </c>
    </row>
    <row r="483" spans="1:19" x14ac:dyDescent="0.2">
      <c r="A483">
        <v>475</v>
      </c>
      <c r="B483" t="s">
        <v>255</v>
      </c>
      <c r="C483" t="s">
        <v>1331</v>
      </c>
      <c r="D483">
        <v>92311</v>
      </c>
      <c r="E483">
        <v>86</v>
      </c>
      <c r="F483">
        <v>10308227</v>
      </c>
      <c r="G483" t="s">
        <v>914</v>
      </c>
      <c r="H483" t="s">
        <v>113</v>
      </c>
      <c r="I483" s="3">
        <v>0.25</v>
      </c>
      <c r="J483" t="s">
        <v>113</v>
      </c>
      <c r="K483" s="3">
        <v>0.25</v>
      </c>
      <c r="L483" t="s">
        <v>113</v>
      </c>
      <c r="M483" s="3">
        <v>0.25</v>
      </c>
      <c r="N483" t="s">
        <v>113</v>
      </c>
      <c r="O483" s="3">
        <v>0.25</v>
      </c>
      <c r="P483" t="s">
        <v>113</v>
      </c>
      <c r="Q483" s="3">
        <v>0.25</v>
      </c>
      <c r="R483" t="b">
        <v>1</v>
      </c>
      <c r="S483" t="s">
        <v>2142</v>
      </c>
    </row>
    <row r="484" spans="1:19" x14ac:dyDescent="0.2">
      <c r="A484">
        <v>476</v>
      </c>
      <c r="B484" t="s">
        <v>1201</v>
      </c>
      <c r="C484" t="s">
        <v>1202</v>
      </c>
      <c r="D484">
        <v>92336</v>
      </c>
      <c r="E484">
        <v>16</v>
      </c>
      <c r="F484">
        <v>102891262</v>
      </c>
      <c r="G484" t="s">
        <v>914</v>
      </c>
      <c r="H484" t="s">
        <v>113</v>
      </c>
      <c r="I484" s="3">
        <v>0.25</v>
      </c>
      <c r="J484" t="s">
        <v>113</v>
      </c>
      <c r="K484" s="3">
        <v>0.25</v>
      </c>
      <c r="L484" t="s">
        <v>113</v>
      </c>
      <c r="M484" s="3">
        <v>0.25</v>
      </c>
      <c r="N484" t="s">
        <v>113</v>
      </c>
      <c r="O484" s="3">
        <v>0.25</v>
      </c>
      <c r="P484" t="s">
        <v>113</v>
      </c>
      <c r="Q484" s="3">
        <v>0.25</v>
      </c>
      <c r="R484" t="b">
        <v>1</v>
      </c>
      <c r="S484" t="s">
        <v>2143</v>
      </c>
    </row>
    <row r="485" spans="1:19" x14ac:dyDescent="0.2">
      <c r="A485">
        <v>477</v>
      </c>
      <c r="B485" t="s">
        <v>1347</v>
      </c>
      <c r="C485" t="s">
        <v>1348</v>
      </c>
      <c r="D485">
        <v>91711</v>
      </c>
      <c r="E485">
        <v>1</v>
      </c>
      <c r="F485">
        <v>10144775</v>
      </c>
      <c r="G485" t="s">
        <v>1495</v>
      </c>
      <c r="H485" t="s">
        <v>113</v>
      </c>
      <c r="I485" s="3">
        <v>0.75</v>
      </c>
      <c r="J485" t="s">
        <v>202</v>
      </c>
      <c r="K485" s="3">
        <v>0.25</v>
      </c>
      <c r="L485" t="s">
        <v>113</v>
      </c>
      <c r="M485" s="3">
        <v>0.75</v>
      </c>
      <c r="N485" t="s">
        <v>202</v>
      </c>
      <c r="O485" s="3">
        <v>0.25</v>
      </c>
      <c r="P485" t="s">
        <v>92</v>
      </c>
      <c r="Q485" s="3">
        <v>0.375</v>
      </c>
      <c r="R485" t="b">
        <v>1</v>
      </c>
      <c r="S485" t="s">
        <v>2144</v>
      </c>
    </row>
    <row r="486" spans="1:19" x14ac:dyDescent="0.2">
      <c r="A486">
        <v>478</v>
      </c>
      <c r="B486" t="s">
        <v>1069</v>
      </c>
      <c r="C486" t="s">
        <v>689</v>
      </c>
      <c r="D486">
        <v>91730</v>
      </c>
      <c r="E486">
        <v>6</v>
      </c>
      <c r="F486">
        <v>10352674</v>
      </c>
      <c r="G486" t="s">
        <v>914</v>
      </c>
      <c r="H486" t="s">
        <v>113</v>
      </c>
      <c r="I486" s="3">
        <v>0.25</v>
      </c>
      <c r="J486" t="s">
        <v>113</v>
      </c>
      <c r="K486" s="3">
        <v>0.25</v>
      </c>
      <c r="L486" t="s">
        <v>113</v>
      </c>
      <c r="M486" s="3">
        <v>0.25</v>
      </c>
      <c r="N486" t="s">
        <v>113</v>
      </c>
      <c r="O486" s="3">
        <v>0.25</v>
      </c>
      <c r="P486" t="s">
        <v>113</v>
      </c>
      <c r="Q486" s="3">
        <v>0.25</v>
      </c>
      <c r="R486" t="b">
        <v>1</v>
      </c>
      <c r="S486" t="s">
        <v>2145</v>
      </c>
    </row>
    <row r="487" spans="1:19" x14ac:dyDescent="0.2">
      <c r="A487">
        <v>479</v>
      </c>
      <c r="B487" t="s">
        <v>1322</v>
      </c>
      <c r="C487" t="s">
        <v>558</v>
      </c>
      <c r="D487">
        <v>92407</v>
      </c>
      <c r="E487">
        <v>47</v>
      </c>
      <c r="F487">
        <v>10338974</v>
      </c>
      <c r="G487" t="s">
        <v>914</v>
      </c>
      <c r="H487" t="s">
        <v>113</v>
      </c>
      <c r="I487" s="3">
        <v>0.5</v>
      </c>
      <c r="J487" t="s">
        <v>113</v>
      </c>
      <c r="K487" s="3">
        <v>0.5</v>
      </c>
      <c r="L487" t="s">
        <v>113</v>
      </c>
      <c r="M487" s="3">
        <v>0.5</v>
      </c>
      <c r="N487" t="s">
        <v>113</v>
      </c>
      <c r="O487" s="3">
        <v>0.5</v>
      </c>
      <c r="P487" t="s">
        <v>113</v>
      </c>
      <c r="Q487" s="3">
        <v>0.5</v>
      </c>
      <c r="R487" t="b">
        <v>0</v>
      </c>
      <c r="S487" t="s">
        <v>2146</v>
      </c>
    </row>
    <row r="488" spans="1:19" x14ac:dyDescent="0.2">
      <c r="A488">
        <v>480</v>
      </c>
      <c r="B488" t="s">
        <v>968</v>
      </c>
      <c r="C488" t="s">
        <v>969</v>
      </c>
      <c r="D488">
        <v>91767</v>
      </c>
      <c r="E488">
        <v>2</v>
      </c>
      <c r="F488">
        <v>102053094</v>
      </c>
      <c r="G488" t="s">
        <v>914</v>
      </c>
      <c r="H488" t="s">
        <v>113</v>
      </c>
      <c r="I488" s="3">
        <v>0.5</v>
      </c>
      <c r="J488" t="s">
        <v>113</v>
      </c>
      <c r="K488" s="3">
        <v>0.5</v>
      </c>
      <c r="L488" t="s">
        <v>113</v>
      </c>
      <c r="M488" s="3">
        <v>0.5</v>
      </c>
      <c r="N488" t="s">
        <v>113</v>
      </c>
      <c r="O488" s="3">
        <v>0.5</v>
      </c>
      <c r="P488" t="s">
        <v>113</v>
      </c>
      <c r="Q488" s="3">
        <v>0.5</v>
      </c>
      <c r="R488" t="b">
        <v>0</v>
      </c>
      <c r="S488" t="s">
        <v>2147</v>
      </c>
    </row>
    <row r="489" spans="1:19" x14ac:dyDescent="0.2">
      <c r="A489">
        <v>481</v>
      </c>
      <c r="B489" t="s">
        <v>1242</v>
      </c>
      <c r="C489" t="s">
        <v>436</v>
      </c>
      <c r="D489">
        <v>92504</v>
      </c>
      <c r="E489">
        <v>23</v>
      </c>
      <c r="F489">
        <v>103587452</v>
      </c>
      <c r="G489" t="s">
        <v>914</v>
      </c>
      <c r="H489" t="s">
        <v>113</v>
      </c>
      <c r="I489" s="3">
        <v>0.22916666666666666</v>
      </c>
      <c r="J489" t="s">
        <v>113</v>
      </c>
      <c r="K489" s="3">
        <v>0.22916666666666666</v>
      </c>
      <c r="L489" t="s">
        <v>113</v>
      </c>
      <c r="M489" s="3">
        <v>0.22916666666666666</v>
      </c>
      <c r="N489" t="s">
        <v>113</v>
      </c>
      <c r="O489" s="3">
        <v>0.22916666666666666</v>
      </c>
      <c r="P489" t="s">
        <v>202</v>
      </c>
      <c r="Q489" s="3">
        <v>0.45833333333333331</v>
      </c>
      <c r="R489" t="b">
        <v>0</v>
      </c>
      <c r="S489" t="s">
        <v>2148</v>
      </c>
    </row>
    <row r="490" spans="1:19" x14ac:dyDescent="0.2">
      <c r="A490">
        <v>482</v>
      </c>
      <c r="B490" t="s">
        <v>148</v>
      </c>
      <c r="C490" t="s">
        <v>1118</v>
      </c>
      <c r="D490">
        <v>91761</v>
      </c>
      <c r="E490">
        <v>9</v>
      </c>
      <c r="F490">
        <v>10372587</v>
      </c>
      <c r="G490" t="s">
        <v>914</v>
      </c>
      <c r="H490" t="s">
        <v>113</v>
      </c>
      <c r="I490" s="3">
        <v>0.25</v>
      </c>
      <c r="J490" t="s">
        <v>113</v>
      </c>
      <c r="K490" s="3">
        <v>0.25</v>
      </c>
      <c r="L490" t="s">
        <v>113</v>
      </c>
      <c r="M490" s="3">
        <v>0.25</v>
      </c>
      <c r="N490" t="s">
        <v>113</v>
      </c>
      <c r="O490" s="3">
        <v>0.25</v>
      </c>
      <c r="P490" t="s">
        <v>202</v>
      </c>
      <c r="Q490" s="3">
        <v>0.25</v>
      </c>
      <c r="R490" t="b">
        <v>1</v>
      </c>
      <c r="S490" t="s">
        <v>2149</v>
      </c>
    </row>
    <row r="491" spans="1:19" x14ac:dyDescent="0.2">
      <c r="A491">
        <v>483</v>
      </c>
      <c r="B491" t="s">
        <v>1028</v>
      </c>
      <c r="C491" t="s">
        <v>720</v>
      </c>
      <c r="D491">
        <v>91786</v>
      </c>
      <c r="E491">
        <v>4</v>
      </c>
      <c r="F491">
        <v>101912674</v>
      </c>
      <c r="G491" t="s">
        <v>914</v>
      </c>
      <c r="H491" t="s">
        <v>113</v>
      </c>
      <c r="I491" s="3">
        <v>0.5</v>
      </c>
      <c r="J491" t="s">
        <v>113</v>
      </c>
      <c r="K491" s="3">
        <v>0.5</v>
      </c>
      <c r="L491" t="s">
        <v>113</v>
      </c>
      <c r="M491" s="3">
        <v>0.5</v>
      </c>
      <c r="N491" t="s">
        <v>113</v>
      </c>
      <c r="O491" s="3">
        <v>0.5</v>
      </c>
      <c r="P491" t="s">
        <v>183</v>
      </c>
      <c r="Q491" s="3">
        <v>0.5</v>
      </c>
      <c r="R491" t="b">
        <v>0</v>
      </c>
      <c r="S491" t="s">
        <v>2150</v>
      </c>
    </row>
    <row r="492" spans="1:19" x14ac:dyDescent="0.2">
      <c r="A492">
        <v>484</v>
      </c>
      <c r="B492" t="s">
        <v>462</v>
      </c>
      <c r="C492" t="s">
        <v>537</v>
      </c>
      <c r="D492">
        <v>91763</v>
      </c>
      <c r="E492">
        <v>10</v>
      </c>
      <c r="F492">
        <v>10043591</v>
      </c>
      <c r="G492" t="s">
        <v>914</v>
      </c>
      <c r="H492" t="s">
        <v>113</v>
      </c>
      <c r="I492" s="3">
        <v>0.22916666666666666</v>
      </c>
      <c r="J492" t="s">
        <v>113</v>
      </c>
      <c r="K492" s="3">
        <v>0.22916666666666666</v>
      </c>
      <c r="L492" t="s">
        <v>113</v>
      </c>
      <c r="M492" s="3">
        <v>0.22916666666666666</v>
      </c>
      <c r="N492" t="s">
        <v>113</v>
      </c>
      <c r="O492" s="3">
        <v>0.22916666666666666</v>
      </c>
      <c r="P492" t="s">
        <v>113</v>
      </c>
      <c r="Q492" s="3">
        <v>0.22916666666666666</v>
      </c>
      <c r="R492" t="b">
        <v>0</v>
      </c>
      <c r="S492" t="s">
        <v>2151</v>
      </c>
    </row>
    <row r="493" spans="1:19" x14ac:dyDescent="0.2">
      <c r="A493">
        <v>485</v>
      </c>
      <c r="B493" t="s">
        <v>592</v>
      </c>
      <c r="C493" t="s">
        <v>591</v>
      </c>
      <c r="D493">
        <v>91711</v>
      </c>
      <c r="E493">
        <v>2</v>
      </c>
      <c r="F493">
        <v>103580664</v>
      </c>
      <c r="G493" t="s">
        <v>914</v>
      </c>
      <c r="H493" t="s">
        <v>113</v>
      </c>
      <c r="I493" s="3">
        <v>0.22916666666666666</v>
      </c>
      <c r="J493" t="s">
        <v>113</v>
      </c>
      <c r="K493" s="3">
        <v>0.22916666666666666</v>
      </c>
      <c r="L493" t="s">
        <v>113</v>
      </c>
      <c r="M493" s="3">
        <v>0.22916666666666666</v>
      </c>
      <c r="N493" t="s">
        <v>113</v>
      </c>
      <c r="O493" s="3">
        <v>0.22916666666666666</v>
      </c>
      <c r="P493" t="s">
        <v>183</v>
      </c>
      <c r="Q493" s="3">
        <v>0.22916666666666666</v>
      </c>
      <c r="R493" t="b">
        <v>0</v>
      </c>
      <c r="S493" t="s">
        <v>2152</v>
      </c>
    </row>
    <row r="494" spans="1:19" x14ac:dyDescent="0.2">
      <c r="A494">
        <v>486</v>
      </c>
      <c r="B494" t="s">
        <v>869</v>
      </c>
      <c r="C494" t="s">
        <v>336</v>
      </c>
      <c r="D494">
        <v>91791</v>
      </c>
      <c r="E494">
        <v>15</v>
      </c>
      <c r="F494">
        <v>10271689</v>
      </c>
      <c r="G494" t="s">
        <v>914</v>
      </c>
      <c r="H494" t="s">
        <v>113</v>
      </c>
      <c r="I494" s="3">
        <v>0.22916666666666666</v>
      </c>
      <c r="J494" t="s">
        <v>113</v>
      </c>
      <c r="K494" s="3">
        <v>0.22916666666666666</v>
      </c>
      <c r="L494" t="s">
        <v>113</v>
      </c>
      <c r="M494" s="3">
        <v>0.22916666666666666</v>
      </c>
      <c r="N494" t="s">
        <v>113</v>
      </c>
      <c r="O494" s="3">
        <v>0.22916666666666666</v>
      </c>
      <c r="P494" t="s">
        <v>113</v>
      </c>
      <c r="Q494" s="3">
        <v>0.22916666666666666</v>
      </c>
      <c r="R494" t="b">
        <v>0</v>
      </c>
      <c r="S494" t="s">
        <v>2153</v>
      </c>
    </row>
    <row r="495" spans="1:19" x14ac:dyDescent="0.2">
      <c r="A495">
        <v>487</v>
      </c>
      <c r="B495" t="s">
        <v>1187</v>
      </c>
      <c r="C495" t="s">
        <v>1188</v>
      </c>
      <c r="D495">
        <v>91766</v>
      </c>
      <c r="E495">
        <v>15</v>
      </c>
      <c r="F495">
        <v>10275594</v>
      </c>
      <c r="G495" t="s">
        <v>914</v>
      </c>
      <c r="H495" t="s">
        <v>113</v>
      </c>
      <c r="I495" s="3">
        <v>0.25</v>
      </c>
      <c r="J495" t="s">
        <v>113</v>
      </c>
      <c r="K495" s="3">
        <v>0.25</v>
      </c>
      <c r="L495" t="s">
        <v>113</v>
      </c>
      <c r="M495" s="3">
        <v>0.25</v>
      </c>
      <c r="N495" t="s">
        <v>113</v>
      </c>
      <c r="O495" s="3">
        <v>0.25</v>
      </c>
      <c r="P495" t="s">
        <v>183</v>
      </c>
      <c r="Q495" s="3">
        <v>0.25</v>
      </c>
      <c r="R495" t="b">
        <v>1</v>
      </c>
      <c r="S495" t="s">
        <v>2154</v>
      </c>
    </row>
    <row r="496" spans="1:19" x14ac:dyDescent="0.2">
      <c r="A496">
        <v>488</v>
      </c>
      <c r="B496" t="s">
        <v>356</v>
      </c>
      <c r="C496" t="s">
        <v>1134</v>
      </c>
      <c r="D496">
        <v>91761</v>
      </c>
      <c r="E496">
        <v>10</v>
      </c>
      <c r="F496">
        <v>10043655</v>
      </c>
      <c r="G496" t="s">
        <v>914</v>
      </c>
      <c r="H496" t="s">
        <v>113</v>
      </c>
      <c r="I496" s="3">
        <v>0.22916666666666666</v>
      </c>
      <c r="J496" t="s">
        <v>113</v>
      </c>
      <c r="K496" s="3">
        <v>0.22916666666666666</v>
      </c>
      <c r="L496" t="s">
        <v>113</v>
      </c>
      <c r="M496" s="3">
        <v>0.22916666666666666</v>
      </c>
      <c r="N496" t="s">
        <v>113</v>
      </c>
      <c r="O496" s="3">
        <v>0.22916666666666666</v>
      </c>
      <c r="P496" t="s">
        <v>113</v>
      </c>
      <c r="Q496" s="3">
        <v>0.22916666666666666</v>
      </c>
      <c r="R496" t="b">
        <v>0</v>
      </c>
      <c r="S496" t="s">
        <v>2155</v>
      </c>
    </row>
    <row r="497" spans="1:19" x14ac:dyDescent="0.2">
      <c r="A497">
        <v>489</v>
      </c>
      <c r="B497" t="s">
        <v>1149</v>
      </c>
      <c r="C497" t="s">
        <v>1150</v>
      </c>
      <c r="D497">
        <v>91765</v>
      </c>
      <c r="E497">
        <v>12</v>
      </c>
      <c r="F497">
        <v>10351165</v>
      </c>
      <c r="G497" t="s">
        <v>914</v>
      </c>
      <c r="H497" t="s">
        <v>113</v>
      </c>
      <c r="I497" s="3">
        <v>0.5</v>
      </c>
      <c r="J497" t="s">
        <v>113</v>
      </c>
      <c r="K497" s="3">
        <v>0.5</v>
      </c>
      <c r="L497" t="s">
        <v>113</v>
      </c>
      <c r="M497" s="3">
        <v>0.5</v>
      </c>
      <c r="N497" t="s">
        <v>113</v>
      </c>
      <c r="O497" s="3">
        <v>0.5</v>
      </c>
      <c r="P497" t="s">
        <v>113</v>
      </c>
      <c r="Q497" s="3">
        <v>0.5</v>
      </c>
      <c r="R497" t="b">
        <v>0</v>
      </c>
      <c r="S497" t="s">
        <v>2156</v>
      </c>
    </row>
    <row r="498" spans="1:19" x14ac:dyDescent="0.2">
      <c r="A498">
        <v>490</v>
      </c>
      <c r="B498" t="s">
        <v>1384</v>
      </c>
      <c r="C498" t="s">
        <v>1385</v>
      </c>
      <c r="D498">
        <v>91711</v>
      </c>
      <c r="E498">
        <v>5</v>
      </c>
      <c r="F498">
        <v>10348299</v>
      </c>
      <c r="G498" t="s">
        <v>1495</v>
      </c>
      <c r="H498" t="s">
        <v>74</v>
      </c>
      <c r="I498" s="3">
        <v>0.41666666666666669</v>
      </c>
      <c r="J498" t="s">
        <v>74</v>
      </c>
      <c r="K498" s="3">
        <v>0.41666666666666669</v>
      </c>
      <c r="L498" t="s">
        <v>74</v>
      </c>
      <c r="M498" s="3">
        <v>0.41666666666666669</v>
      </c>
      <c r="N498" t="s">
        <v>74</v>
      </c>
      <c r="O498" s="3">
        <v>0.41666666666666669</v>
      </c>
      <c r="P498" t="s">
        <v>74</v>
      </c>
      <c r="Q498" s="3">
        <v>0.41666666666666669</v>
      </c>
      <c r="R498" t="b">
        <v>1</v>
      </c>
      <c r="S498" t="s">
        <v>2157</v>
      </c>
    </row>
    <row r="499" spans="1:19" x14ac:dyDescent="0.2">
      <c r="A499">
        <v>491</v>
      </c>
      <c r="B499" t="s">
        <v>1105</v>
      </c>
      <c r="C499" t="s">
        <v>1106</v>
      </c>
      <c r="D499">
        <v>91730</v>
      </c>
      <c r="E499">
        <v>8</v>
      </c>
      <c r="F499">
        <v>10043235</v>
      </c>
      <c r="G499" t="s">
        <v>914</v>
      </c>
      <c r="H499" t="s">
        <v>113</v>
      </c>
      <c r="I499" s="3">
        <v>0.64583333333333337</v>
      </c>
      <c r="J499" t="s">
        <v>113</v>
      </c>
      <c r="K499" s="3">
        <v>0.64583333333333337</v>
      </c>
      <c r="L499" t="s">
        <v>113</v>
      </c>
      <c r="M499" s="3">
        <v>0.64583333333333337</v>
      </c>
      <c r="N499" t="s">
        <v>113</v>
      </c>
      <c r="O499" s="3">
        <v>0.64583333333333337</v>
      </c>
      <c r="P499" t="s">
        <v>113</v>
      </c>
      <c r="Q499" s="3">
        <v>0.64583333333333337</v>
      </c>
      <c r="R499" t="b">
        <v>0</v>
      </c>
      <c r="S499" t="s">
        <v>2158</v>
      </c>
    </row>
    <row r="500" spans="1:19" x14ac:dyDescent="0.2">
      <c r="A500">
        <v>492</v>
      </c>
      <c r="B500" t="s">
        <v>1208</v>
      </c>
      <c r="C500" t="s">
        <v>1209</v>
      </c>
      <c r="D500">
        <v>92336</v>
      </c>
      <c r="E500">
        <v>17</v>
      </c>
      <c r="F500">
        <v>10374419</v>
      </c>
      <c r="G500" t="s">
        <v>919</v>
      </c>
      <c r="H500" t="s">
        <v>113</v>
      </c>
      <c r="I500" s="3">
        <v>0.6875</v>
      </c>
      <c r="J500" t="s">
        <v>113</v>
      </c>
      <c r="K500" s="3">
        <v>0.6875</v>
      </c>
      <c r="L500" t="s">
        <v>202</v>
      </c>
      <c r="M500" s="3">
        <v>0.45833333333333331</v>
      </c>
      <c r="N500" t="s">
        <v>85</v>
      </c>
      <c r="O500" s="3">
        <v>0.6875</v>
      </c>
      <c r="P500" t="s">
        <v>202</v>
      </c>
      <c r="Q500" s="3">
        <v>0.45833333333333331</v>
      </c>
      <c r="R500" t="b">
        <v>0</v>
      </c>
      <c r="S500" t="s">
        <v>2159</v>
      </c>
    </row>
    <row r="501" spans="1:19" x14ac:dyDescent="0.2">
      <c r="A501">
        <v>493</v>
      </c>
      <c r="B501" t="s">
        <v>2160</v>
      </c>
      <c r="C501" t="s">
        <v>2161</v>
      </c>
      <c r="D501">
        <v>91711</v>
      </c>
      <c r="E501">
        <v>2.2000000000000002</v>
      </c>
      <c r="F501">
        <v>10032463</v>
      </c>
      <c r="G501" t="s">
        <v>1495</v>
      </c>
      <c r="H501" t="s">
        <v>92</v>
      </c>
      <c r="I501" s="3">
        <v>0.375</v>
      </c>
      <c r="J501" t="s">
        <v>92</v>
      </c>
      <c r="K501" s="3">
        <v>0.375</v>
      </c>
      <c r="L501" t="s">
        <v>92</v>
      </c>
      <c r="M501" s="3">
        <v>0.375</v>
      </c>
      <c r="N501" t="s">
        <v>92</v>
      </c>
      <c r="O501" s="3">
        <v>0.375</v>
      </c>
      <c r="P501" t="s">
        <v>74</v>
      </c>
      <c r="Q501" s="3">
        <v>0.33333333333333331</v>
      </c>
      <c r="R501" t="b">
        <v>1</v>
      </c>
      <c r="S501" t="s">
        <v>2162</v>
      </c>
    </row>
    <row r="502" spans="1:19" x14ac:dyDescent="0.2">
      <c r="A502">
        <v>494</v>
      </c>
      <c r="B502" t="s">
        <v>243</v>
      </c>
      <c r="C502" t="s">
        <v>2163</v>
      </c>
      <c r="D502">
        <v>91011</v>
      </c>
      <c r="E502">
        <v>30</v>
      </c>
      <c r="F502">
        <v>12345</v>
      </c>
      <c r="G502" t="s">
        <v>1495</v>
      </c>
      <c r="H502" t="s">
        <v>103</v>
      </c>
      <c r="I502" s="3">
        <v>0.25</v>
      </c>
      <c r="J502" t="s">
        <v>103</v>
      </c>
      <c r="K502" s="3">
        <v>0.25</v>
      </c>
      <c r="L502" t="s">
        <v>103</v>
      </c>
      <c r="M502" s="3">
        <v>0.25</v>
      </c>
      <c r="N502" t="s">
        <v>103</v>
      </c>
      <c r="O502" s="3">
        <v>0.25</v>
      </c>
      <c r="P502" t="s">
        <v>103</v>
      </c>
      <c r="Q502" s="3">
        <v>0.25</v>
      </c>
      <c r="R502" t="b">
        <v>1</v>
      </c>
      <c r="S502" t="s">
        <v>2164</v>
      </c>
    </row>
    <row r="503" spans="1:19" x14ac:dyDescent="0.2">
      <c r="A503">
        <v>495</v>
      </c>
      <c r="B503" t="s">
        <v>893</v>
      </c>
      <c r="C503" t="s">
        <v>892</v>
      </c>
      <c r="D503">
        <v>91786</v>
      </c>
      <c r="E503">
        <v>1</v>
      </c>
      <c r="F503">
        <v>103582192</v>
      </c>
      <c r="G503" t="s">
        <v>914</v>
      </c>
      <c r="H503" t="s">
        <v>74</v>
      </c>
      <c r="I503" s="3">
        <v>0.27083333333333331</v>
      </c>
      <c r="J503" t="s">
        <v>74</v>
      </c>
      <c r="K503" s="3">
        <v>0.29166666666666669</v>
      </c>
      <c r="L503" t="s">
        <v>74</v>
      </c>
      <c r="M503" s="3">
        <v>0.29166666666666669</v>
      </c>
      <c r="N503" t="s">
        <v>74</v>
      </c>
      <c r="O503" s="3">
        <v>0.27083333333333331</v>
      </c>
      <c r="P503" t="s">
        <v>74</v>
      </c>
      <c r="Q503" s="3">
        <v>0.29166666666666669</v>
      </c>
      <c r="R503" t="b">
        <v>1</v>
      </c>
      <c r="S503" t="s">
        <v>2165</v>
      </c>
    </row>
    <row r="504" spans="1:19" x14ac:dyDescent="0.2">
      <c r="A504">
        <v>496</v>
      </c>
      <c r="B504" t="s">
        <v>1255</v>
      </c>
      <c r="C504" t="s">
        <v>1300</v>
      </c>
      <c r="D504">
        <v>90065</v>
      </c>
      <c r="E504">
        <v>35</v>
      </c>
      <c r="F504">
        <v>10366519</v>
      </c>
      <c r="G504" t="s">
        <v>914</v>
      </c>
      <c r="H504" t="s">
        <v>113</v>
      </c>
      <c r="I504" s="3">
        <v>0.33333333333333331</v>
      </c>
      <c r="J504" t="s">
        <v>933</v>
      </c>
      <c r="K504" s="3">
        <v>0.35416666666666669</v>
      </c>
      <c r="L504" t="s">
        <v>933</v>
      </c>
      <c r="M504" s="3">
        <v>0.35416666666666669</v>
      </c>
      <c r="N504" t="s">
        <v>113</v>
      </c>
      <c r="O504" s="3">
        <v>0.33333333333333331</v>
      </c>
      <c r="P504" t="s">
        <v>103</v>
      </c>
      <c r="Q504" s="3">
        <v>0.33333333333333331</v>
      </c>
      <c r="R504" t="b">
        <v>1</v>
      </c>
      <c r="S504" t="s">
        <v>2166</v>
      </c>
    </row>
    <row r="505" spans="1:19" x14ac:dyDescent="0.2">
      <c r="A505">
        <v>497</v>
      </c>
      <c r="B505" t="s">
        <v>462</v>
      </c>
      <c r="C505" t="s">
        <v>859</v>
      </c>
      <c r="D505">
        <v>91711</v>
      </c>
      <c r="E505">
        <v>2.5</v>
      </c>
      <c r="F505">
        <v>10363007</v>
      </c>
      <c r="G505" t="s">
        <v>914</v>
      </c>
      <c r="H505" t="s">
        <v>113</v>
      </c>
      <c r="I505" s="3">
        <v>0.35416666666666669</v>
      </c>
      <c r="J505" t="s">
        <v>113</v>
      </c>
      <c r="K505" s="3">
        <v>0.35416666666666669</v>
      </c>
      <c r="L505" t="s">
        <v>113</v>
      </c>
      <c r="M505" s="3">
        <v>0.35416666666666669</v>
      </c>
      <c r="N505" t="s">
        <v>113</v>
      </c>
      <c r="O505" s="3">
        <v>0.35416666666666669</v>
      </c>
      <c r="P505" t="s">
        <v>113</v>
      </c>
      <c r="Q505" s="3">
        <v>0.35416666666666669</v>
      </c>
      <c r="R505" t="b">
        <v>1</v>
      </c>
      <c r="S505" t="s">
        <v>2167</v>
      </c>
    </row>
    <row r="506" spans="1:19" x14ac:dyDescent="0.2">
      <c r="A506">
        <v>498</v>
      </c>
      <c r="B506" t="s">
        <v>288</v>
      </c>
      <c r="C506" t="s">
        <v>287</v>
      </c>
      <c r="D506">
        <v>92627</v>
      </c>
      <c r="E506">
        <v>30</v>
      </c>
      <c r="F506" t="s">
        <v>1287</v>
      </c>
      <c r="G506" t="s">
        <v>914</v>
      </c>
      <c r="H506" t="s">
        <v>113</v>
      </c>
      <c r="I506" s="3">
        <v>0.70833333333333337</v>
      </c>
      <c r="J506" t="s">
        <v>113</v>
      </c>
      <c r="K506" s="3">
        <v>0.79166666666666663</v>
      </c>
      <c r="L506" t="s">
        <v>113</v>
      </c>
      <c r="M506" s="3">
        <v>0.66666666666666663</v>
      </c>
      <c r="N506" t="s">
        <v>113</v>
      </c>
      <c r="O506" s="3">
        <v>0.70833333333333337</v>
      </c>
      <c r="P506" t="s">
        <v>113</v>
      </c>
      <c r="Q506" s="3">
        <v>0.625</v>
      </c>
      <c r="R506" t="b">
        <v>0</v>
      </c>
      <c r="S506" t="s">
        <v>2168</v>
      </c>
    </row>
    <row r="507" spans="1:19" x14ac:dyDescent="0.2">
      <c r="A507">
        <v>499</v>
      </c>
      <c r="B507" t="s">
        <v>1107</v>
      </c>
      <c r="C507" t="s">
        <v>1108</v>
      </c>
      <c r="D507">
        <v>91730</v>
      </c>
      <c r="E507">
        <v>8</v>
      </c>
      <c r="F507">
        <v>10289955</v>
      </c>
      <c r="G507" t="s">
        <v>914</v>
      </c>
      <c r="H507" t="s">
        <v>113</v>
      </c>
      <c r="I507" s="3">
        <v>0.25</v>
      </c>
      <c r="J507" t="s">
        <v>113</v>
      </c>
      <c r="K507" s="3">
        <v>0.25</v>
      </c>
      <c r="L507" t="s">
        <v>113</v>
      </c>
      <c r="M507" s="3">
        <v>0.25</v>
      </c>
      <c r="N507" t="s">
        <v>113</v>
      </c>
      <c r="O507" s="3">
        <v>0.47916666666666669</v>
      </c>
      <c r="P507" t="s">
        <v>113</v>
      </c>
      <c r="Q507" s="3">
        <v>0.47916666666666669</v>
      </c>
      <c r="R507" t="b">
        <v>1</v>
      </c>
      <c r="S507" t="s">
        <v>2169</v>
      </c>
    </row>
    <row r="508" spans="1:19" x14ac:dyDescent="0.2">
      <c r="A508">
        <v>500</v>
      </c>
      <c r="B508" t="s">
        <v>271</v>
      </c>
      <c r="C508" t="s">
        <v>1037</v>
      </c>
      <c r="D508">
        <v>91766</v>
      </c>
      <c r="E508">
        <v>4.5999999999999996</v>
      </c>
      <c r="F508">
        <v>103735811</v>
      </c>
      <c r="G508" t="s">
        <v>914</v>
      </c>
      <c r="H508" t="s">
        <v>113</v>
      </c>
      <c r="I508" s="3">
        <v>0.29166666666666669</v>
      </c>
      <c r="J508" t="s">
        <v>113</v>
      </c>
      <c r="K508" s="3">
        <v>0.29166666666666669</v>
      </c>
      <c r="L508" t="s">
        <v>113</v>
      </c>
      <c r="M508" s="3">
        <v>0.29166666666666669</v>
      </c>
      <c r="N508" t="s">
        <v>103</v>
      </c>
      <c r="O508" s="3">
        <v>0.29166666666666669</v>
      </c>
      <c r="P508" t="s">
        <v>103</v>
      </c>
      <c r="Q508" s="3">
        <v>0.29166666666666669</v>
      </c>
      <c r="R508" t="b">
        <v>1</v>
      </c>
      <c r="S508" t="s">
        <v>2170</v>
      </c>
    </row>
    <row r="509" spans="1:19" x14ac:dyDescent="0.2">
      <c r="A509">
        <v>501</v>
      </c>
      <c r="B509" t="s">
        <v>2171</v>
      </c>
      <c r="C509" t="s">
        <v>540</v>
      </c>
      <c r="D509">
        <v>91711</v>
      </c>
      <c r="E509">
        <v>1</v>
      </c>
      <c r="F509">
        <v>10120163</v>
      </c>
      <c r="G509" t="s">
        <v>1495</v>
      </c>
      <c r="H509" t="s">
        <v>933</v>
      </c>
      <c r="I509" s="3">
        <v>0.33333333333333331</v>
      </c>
      <c r="J509" t="s">
        <v>933</v>
      </c>
      <c r="K509" s="3">
        <v>0.33333333333333331</v>
      </c>
      <c r="L509" t="s">
        <v>933</v>
      </c>
      <c r="M509" s="3">
        <v>0.33333333333333331</v>
      </c>
      <c r="N509" t="s">
        <v>933</v>
      </c>
      <c r="O509" s="3">
        <v>0.33333333333333331</v>
      </c>
      <c r="P509" t="s">
        <v>933</v>
      </c>
      <c r="Q509" s="3">
        <v>0.33333333333333331</v>
      </c>
      <c r="R509" t="b">
        <v>1</v>
      </c>
      <c r="S509" t="s">
        <v>2172</v>
      </c>
    </row>
    <row r="510" spans="1:19" x14ac:dyDescent="0.2">
      <c r="A510">
        <v>502</v>
      </c>
      <c r="B510" t="s">
        <v>2173</v>
      </c>
      <c r="C510" t="s">
        <v>2174</v>
      </c>
      <c r="D510">
        <v>94040</v>
      </c>
      <c r="E510">
        <v>0.5</v>
      </c>
      <c r="F510">
        <v>50452644</v>
      </c>
      <c r="G510" t="s">
        <v>1638</v>
      </c>
      <c r="H510" t="s">
        <v>202</v>
      </c>
      <c r="I510" s="3">
        <v>0.45833333333333331</v>
      </c>
      <c r="J510" t="s">
        <v>202</v>
      </c>
      <c r="K510" s="3">
        <v>0.45833333333333331</v>
      </c>
      <c r="L510" t="s">
        <v>113</v>
      </c>
      <c r="M510" s="3">
        <v>0.77083333333333337</v>
      </c>
      <c r="N510" t="s">
        <v>202</v>
      </c>
      <c r="O510" s="3">
        <v>0.45833333333333331</v>
      </c>
      <c r="P510" t="s">
        <v>202</v>
      </c>
      <c r="Q510" s="3">
        <v>0.45833333333333331</v>
      </c>
      <c r="R510" t="b">
        <v>0</v>
      </c>
      <c r="S510" t="s">
        <v>2175</v>
      </c>
    </row>
    <row r="511" spans="1:19" x14ac:dyDescent="0.2">
      <c r="A511">
        <v>503</v>
      </c>
      <c r="B511" t="s">
        <v>917</v>
      </c>
      <c r="C511" t="s">
        <v>918</v>
      </c>
      <c r="D511">
        <v>91711</v>
      </c>
      <c r="E511">
        <v>0.25</v>
      </c>
      <c r="F511">
        <v>10360779</v>
      </c>
      <c r="G511" t="s">
        <v>919</v>
      </c>
      <c r="H511" t="s">
        <v>92</v>
      </c>
      <c r="I511" s="3">
        <v>0.72916666666666663</v>
      </c>
      <c r="J511" t="s">
        <v>92</v>
      </c>
      <c r="K511" s="3">
        <v>0.72916666666666663</v>
      </c>
      <c r="L511" t="s">
        <v>92</v>
      </c>
      <c r="M511" s="3">
        <v>0.72916666666666663</v>
      </c>
      <c r="N511" t="s">
        <v>92</v>
      </c>
      <c r="O511" s="3">
        <v>0.72916666666666663</v>
      </c>
      <c r="P511" t="s">
        <v>92</v>
      </c>
      <c r="Q511" s="3">
        <v>0.72916666666666663</v>
      </c>
      <c r="R511" t="b">
        <v>0</v>
      </c>
      <c r="S511" t="s">
        <v>2176</v>
      </c>
    </row>
    <row r="512" spans="1:19" x14ac:dyDescent="0.2">
      <c r="A512">
        <v>504</v>
      </c>
      <c r="B512" t="s">
        <v>130</v>
      </c>
      <c r="C512" t="s">
        <v>129</v>
      </c>
      <c r="D512">
        <v>91711</v>
      </c>
      <c r="E512">
        <v>1</v>
      </c>
      <c r="F512">
        <v>103702131</v>
      </c>
      <c r="G512" t="s">
        <v>914</v>
      </c>
      <c r="H512" t="s">
        <v>113</v>
      </c>
      <c r="I512" s="3">
        <v>0.33333333333333331</v>
      </c>
      <c r="J512" t="s">
        <v>191</v>
      </c>
      <c r="K512" s="3">
        <v>0.33333333333333331</v>
      </c>
      <c r="L512" t="s">
        <v>191</v>
      </c>
      <c r="M512" s="3">
        <v>0.33333333333333331</v>
      </c>
      <c r="N512" t="s">
        <v>191</v>
      </c>
      <c r="O512" s="3">
        <v>0.33333333333333331</v>
      </c>
      <c r="P512" t="s">
        <v>191</v>
      </c>
      <c r="Q512" s="3">
        <v>0.33333333333333331</v>
      </c>
      <c r="R512" t="b">
        <v>1</v>
      </c>
      <c r="S512" t="s">
        <v>2177</v>
      </c>
    </row>
    <row r="513" spans="1:19" x14ac:dyDescent="0.2">
      <c r="A513">
        <v>505</v>
      </c>
      <c r="B513" t="s">
        <v>493</v>
      </c>
      <c r="C513" t="s">
        <v>492</v>
      </c>
      <c r="D513">
        <v>91711</v>
      </c>
      <c r="E513">
        <v>1.5</v>
      </c>
      <c r="F513">
        <v>102563492</v>
      </c>
      <c r="G513" t="s">
        <v>914</v>
      </c>
      <c r="H513" t="s">
        <v>113</v>
      </c>
      <c r="I513" s="3">
        <v>0.83333333333333337</v>
      </c>
      <c r="J513" t="s">
        <v>113</v>
      </c>
      <c r="K513" s="3">
        <v>0.83333333333333337</v>
      </c>
      <c r="L513" t="s">
        <v>113</v>
      </c>
      <c r="M513" s="3">
        <v>0.83333333333333337</v>
      </c>
      <c r="N513" t="s">
        <v>113</v>
      </c>
      <c r="O513" s="3">
        <v>0.83333333333333337</v>
      </c>
      <c r="P513" t="s">
        <v>113</v>
      </c>
      <c r="Q513" s="3">
        <v>0.83333333333333337</v>
      </c>
      <c r="R513" t="b">
        <v>0</v>
      </c>
      <c r="S513" t="s">
        <v>2178</v>
      </c>
    </row>
    <row r="514" spans="1:19" x14ac:dyDescent="0.2">
      <c r="A514">
        <v>506</v>
      </c>
      <c r="B514" t="s">
        <v>409</v>
      </c>
      <c r="C514" t="s">
        <v>929</v>
      </c>
      <c r="D514">
        <v>91711</v>
      </c>
      <c r="E514">
        <v>0.9</v>
      </c>
      <c r="F514">
        <v>101025</v>
      </c>
      <c r="G514" t="s">
        <v>914</v>
      </c>
      <c r="H514" t="s">
        <v>113</v>
      </c>
      <c r="I514" s="3">
        <v>0.35416666666666669</v>
      </c>
      <c r="J514" t="s">
        <v>113</v>
      </c>
      <c r="K514" s="3">
        <v>0.35416666666666669</v>
      </c>
      <c r="L514" t="s">
        <v>113</v>
      </c>
      <c r="M514" s="3">
        <v>0.35416666666666669</v>
      </c>
      <c r="N514" t="s">
        <v>113</v>
      </c>
      <c r="O514" s="3">
        <v>0.35416666666666669</v>
      </c>
      <c r="P514" t="s">
        <v>113</v>
      </c>
      <c r="Q514" s="3">
        <v>0.35416666666666669</v>
      </c>
      <c r="R514" t="b">
        <v>1</v>
      </c>
      <c r="S514" t="s">
        <v>2179</v>
      </c>
    </row>
    <row r="515" spans="1:19" x14ac:dyDescent="0.2">
      <c r="A515">
        <v>507</v>
      </c>
      <c r="B515" t="s">
        <v>233</v>
      </c>
      <c r="C515" t="s">
        <v>232</v>
      </c>
      <c r="D515">
        <v>91711</v>
      </c>
      <c r="E515">
        <v>1.25</v>
      </c>
      <c r="F515">
        <v>10109674</v>
      </c>
      <c r="G515" t="s">
        <v>914</v>
      </c>
      <c r="H515" t="s">
        <v>113</v>
      </c>
      <c r="I515" s="3">
        <v>0.33333333333333331</v>
      </c>
      <c r="J515" t="s">
        <v>98</v>
      </c>
      <c r="K515" s="3">
        <v>0.33333333333333331</v>
      </c>
      <c r="L515" t="s">
        <v>113</v>
      </c>
      <c r="M515" s="3">
        <v>0.33333333333333331</v>
      </c>
      <c r="N515" t="s">
        <v>92</v>
      </c>
      <c r="O515" s="3">
        <v>0.33333333333333331</v>
      </c>
      <c r="P515" t="s">
        <v>92</v>
      </c>
      <c r="Q515" s="3">
        <v>0.33333333333333331</v>
      </c>
      <c r="R515" t="b">
        <v>1</v>
      </c>
      <c r="S515" t="s">
        <v>2180</v>
      </c>
    </row>
    <row r="516" spans="1:19" x14ac:dyDescent="0.2">
      <c r="A516">
        <v>508</v>
      </c>
      <c r="B516" t="s">
        <v>946</v>
      </c>
      <c r="C516" t="s">
        <v>947</v>
      </c>
      <c r="D516">
        <v>91711</v>
      </c>
      <c r="E516">
        <v>1</v>
      </c>
      <c r="F516">
        <v>10042947</v>
      </c>
      <c r="G516" t="s">
        <v>914</v>
      </c>
      <c r="H516" t="s">
        <v>113</v>
      </c>
      <c r="I516" s="3">
        <v>0.83333333333333337</v>
      </c>
      <c r="J516" t="s">
        <v>113</v>
      </c>
      <c r="K516" s="3">
        <v>0.83333333333333337</v>
      </c>
      <c r="L516" t="s">
        <v>113</v>
      </c>
      <c r="M516" s="3">
        <v>0.83333333333333337</v>
      </c>
      <c r="N516" t="s">
        <v>113</v>
      </c>
      <c r="O516" s="3">
        <v>0.83333333333333337</v>
      </c>
      <c r="P516" t="s">
        <v>113</v>
      </c>
      <c r="Q516" s="3">
        <v>0.83333333333333337</v>
      </c>
      <c r="R516" t="b">
        <v>0</v>
      </c>
      <c r="S516" t="s">
        <v>2181</v>
      </c>
    </row>
    <row r="517" spans="1:19" x14ac:dyDescent="0.2">
      <c r="A517">
        <v>509</v>
      </c>
      <c r="B517" t="s">
        <v>609</v>
      </c>
      <c r="C517" t="s">
        <v>608</v>
      </c>
      <c r="D517">
        <v>91104</v>
      </c>
      <c r="E517">
        <v>25</v>
      </c>
      <c r="F517">
        <v>102487991</v>
      </c>
      <c r="G517" t="s">
        <v>914</v>
      </c>
      <c r="H517" t="s">
        <v>113</v>
      </c>
      <c r="I517" s="3">
        <v>0.375</v>
      </c>
      <c r="J517" t="s">
        <v>113</v>
      </c>
      <c r="K517" s="3">
        <v>0.375</v>
      </c>
      <c r="L517" t="s">
        <v>113</v>
      </c>
      <c r="M517" s="3">
        <v>0.375</v>
      </c>
      <c r="N517" t="s">
        <v>113</v>
      </c>
      <c r="O517" s="3">
        <v>0.375</v>
      </c>
      <c r="P517" t="s">
        <v>113</v>
      </c>
      <c r="Q517" s="3">
        <v>0.375</v>
      </c>
      <c r="R517" t="b">
        <v>1</v>
      </c>
      <c r="S517" t="s">
        <v>2182</v>
      </c>
    </row>
    <row r="518" spans="1:19" x14ac:dyDescent="0.2">
      <c r="A518">
        <v>510</v>
      </c>
      <c r="B518" t="s">
        <v>535</v>
      </c>
      <c r="C518" t="s">
        <v>534</v>
      </c>
      <c r="D518">
        <v>91722</v>
      </c>
      <c r="E518">
        <v>15</v>
      </c>
      <c r="F518">
        <v>10266238</v>
      </c>
      <c r="G518" t="s">
        <v>914</v>
      </c>
      <c r="H518" t="s">
        <v>113</v>
      </c>
      <c r="I518" s="3">
        <v>0.66666666666666663</v>
      </c>
      <c r="J518" t="s">
        <v>103</v>
      </c>
      <c r="K518" s="3">
        <v>0.41666666666666669</v>
      </c>
      <c r="L518" t="s">
        <v>202</v>
      </c>
      <c r="M518" s="3">
        <v>0.25</v>
      </c>
      <c r="N518" t="s">
        <v>113</v>
      </c>
      <c r="O518" s="3">
        <v>0.5625</v>
      </c>
      <c r="P518" t="s">
        <v>202</v>
      </c>
      <c r="Q518" s="3">
        <v>0.25</v>
      </c>
      <c r="R518" t="b">
        <v>1</v>
      </c>
      <c r="S518" t="s">
        <v>2183</v>
      </c>
    </row>
    <row r="519" spans="1:19" x14ac:dyDescent="0.2">
      <c r="A519">
        <v>511</v>
      </c>
      <c r="B519" t="s">
        <v>144</v>
      </c>
      <c r="C519" t="s">
        <v>556</v>
      </c>
      <c r="D519">
        <v>91784</v>
      </c>
      <c r="E519">
        <v>6</v>
      </c>
      <c r="F519">
        <v>100870641</v>
      </c>
      <c r="G519" t="s">
        <v>914</v>
      </c>
      <c r="H519" t="s">
        <v>113</v>
      </c>
      <c r="I519" s="3">
        <v>0.33333333333333331</v>
      </c>
      <c r="J519" t="s">
        <v>113</v>
      </c>
      <c r="K519" s="3">
        <v>0.33333333333333331</v>
      </c>
      <c r="L519" t="s">
        <v>113</v>
      </c>
      <c r="M519" s="3">
        <v>0.33333333333333331</v>
      </c>
      <c r="N519" t="s">
        <v>113</v>
      </c>
      <c r="O519" s="3">
        <v>0.33333333333333331</v>
      </c>
      <c r="P519" t="s">
        <v>113</v>
      </c>
      <c r="Q519" s="3">
        <v>0.33333333333333331</v>
      </c>
      <c r="R519" t="b">
        <v>1</v>
      </c>
      <c r="S519" t="s">
        <v>2184</v>
      </c>
    </row>
    <row r="520" spans="1:19" x14ac:dyDescent="0.2">
      <c r="A520">
        <v>512</v>
      </c>
      <c r="B520" t="s">
        <v>759</v>
      </c>
      <c r="C520" t="s">
        <v>1109</v>
      </c>
      <c r="D520">
        <v>91764</v>
      </c>
      <c r="E520">
        <v>8</v>
      </c>
      <c r="F520" t="s">
        <v>1110</v>
      </c>
      <c r="G520" t="s">
        <v>914</v>
      </c>
      <c r="H520" t="s">
        <v>191</v>
      </c>
      <c r="I520" s="3">
        <v>0.20833333333333334</v>
      </c>
      <c r="J520" t="s">
        <v>191</v>
      </c>
      <c r="K520" s="3">
        <v>0.20833333333333334</v>
      </c>
      <c r="L520" t="s">
        <v>191</v>
      </c>
      <c r="M520" s="3">
        <v>0.20833333333333334</v>
      </c>
      <c r="N520" t="s">
        <v>191</v>
      </c>
      <c r="O520" s="3">
        <v>0.20833333333333334</v>
      </c>
      <c r="P520" t="s">
        <v>191</v>
      </c>
      <c r="Q520" s="3">
        <v>0.20833333333333334</v>
      </c>
      <c r="R520" t="b">
        <v>0</v>
      </c>
      <c r="S520" t="s">
        <v>2185</v>
      </c>
    </row>
    <row r="521" spans="1:19" x14ac:dyDescent="0.2">
      <c r="A521">
        <v>513</v>
      </c>
      <c r="B521" t="s">
        <v>501</v>
      </c>
      <c r="C521" t="s">
        <v>1230</v>
      </c>
      <c r="D521">
        <v>91767</v>
      </c>
      <c r="E521">
        <v>20</v>
      </c>
      <c r="F521">
        <v>10090700</v>
      </c>
      <c r="G521" t="s">
        <v>914</v>
      </c>
      <c r="H521" t="s">
        <v>113</v>
      </c>
      <c r="I521" s="3">
        <v>0.25</v>
      </c>
      <c r="J521" t="s">
        <v>113</v>
      </c>
      <c r="K521" s="3">
        <v>0.25</v>
      </c>
      <c r="L521" t="s">
        <v>113</v>
      </c>
      <c r="M521" s="3">
        <v>0.25</v>
      </c>
      <c r="N521" t="s">
        <v>113</v>
      </c>
      <c r="O521" s="3">
        <v>0.25</v>
      </c>
      <c r="P521" t="s">
        <v>113</v>
      </c>
      <c r="Q521" s="3">
        <v>0.25</v>
      </c>
      <c r="R521" t="b">
        <v>1</v>
      </c>
      <c r="S521" t="s">
        <v>2186</v>
      </c>
    </row>
    <row r="522" spans="1:19" x14ac:dyDescent="0.2">
      <c r="A522">
        <v>514</v>
      </c>
      <c r="B522" t="s">
        <v>988</v>
      </c>
      <c r="C522" t="s">
        <v>1120</v>
      </c>
      <c r="D522">
        <v>91761</v>
      </c>
      <c r="E522">
        <v>9.4</v>
      </c>
      <c r="F522">
        <v>10370205</v>
      </c>
      <c r="G522" t="s">
        <v>914</v>
      </c>
      <c r="H522" t="s">
        <v>103</v>
      </c>
      <c r="I522" s="3">
        <v>0.33333333333333331</v>
      </c>
      <c r="J522" t="s">
        <v>103</v>
      </c>
      <c r="K522" s="3">
        <v>0.33333333333333331</v>
      </c>
      <c r="L522" t="s">
        <v>103</v>
      </c>
      <c r="M522" s="3">
        <v>0.33333333333333331</v>
      </c>
      <c r="N522" t="s">
        <v>103</v>
      </c>
      <c r="O522" s="3">
        <v>0.33333333333333331</v>
      </c>
      <c r="P522" t="s">
        <v>103</v>
      </c>
      <c r="Q522" s="3">
        <v>0.33333333333333331</v>
      </c>
      <c r="R522" t="b">
        <v>1</v>
      </c>
      <c r="S522" t="s">
        <v>2187</v>
      </c>
    </row>
    <row r="523" spans="1:19" x14ac:dyDescent="0.2">
      <c r="A523">
        <v>515</v>
      </c>
      <c r="B523" t="s">
        <v>275</v>
      </c>
      <c r="C523" t="s">
        <v>1055</v>
      </c>
      <c r="D523">
        <v>91762</v>
      </c>
      <c r="E523">
        <v>5</v>
      </c>
      <c r="F523">
        <v>10361257</v>
      </c>
      <c r="G523" t="s">
        <v>914</v>
      </c>
      <c r="H523" t="s">
        <v>113</v>
      </c>
      <c r="I523" s="3">
        <v>0.20833333333333334</v>
      </c>
      <c r="J523" t="s">
        <v>113</v>
      </c>
      <c r="K523" s="3">
        <v>0.20833333333333334</v>
      </c>
      <c r="L523" t="s">
        <v>92</v>
      </c>
      <c r="M523" s="3">
        <v>0.20833333333333334</v>
      </c>
      <c r="N523" t="s">
        <v>113</v>
      </c>
      <c r="O523" s="3">
        <v>0.20833333333333334</v>
      </c>
      <c r="P523" t="s">
        <v>92</v>
      </c>
      <c r="Q523" s="3">
        <v>0.20833333333333334</v>
      </c>
      <c r="R523" t="b">
        <v>0</v>
      </c>
      <c r="S523" t="s">
        <v>2188</v>
      </c>
    </row>
    <row r="524" spans="1:19" x14ac:dyDescent="0.2">
      <c r="A524">
        <v>516</v>
      </c>
      <c r="B524" t="s">
        <v>915</v>
      </c>
      <c r="C524" t="s">
        <v>916</v>
      </c>
      <c r="D524">
        <v>91711</v>
      </c>
      <c r="E524">
        <v>0.1</v>
      </c>
      <c r="F524">
        <v>10042380</v>
      </c>
      <c r="G524" t="s">
        <v>914</v>
      </c>
      <c r="H524" t="s">
        <v>92</v>
      </c>
      <c r="I524" s="3">
        <v>0.33333333333333331</v>
      </c>
      <c r="J524" t="s">
        <v>92</v>
      </c>
      <c r="K524" s="3">
        <v>0.33333333333333331</v>
      </c>
      <c r="L524" t="s">
        <v>92</v>
      </c>
      <c r="M524" s="3">
        <v>0.33333333333333331</v>
      </c>
      <c r="N524" t="s">
        <v>92</v>
      </c>
      <c r="O524" s="3">
        <v>0.33333333333333331</v>
      </c>
      <c r="P524" t="s">
        <v>92</v>
      </c>
      <c r="Q524" s="3">
        <v>0.33333333333333331</v>
      </c>
      <c r="R524" t="b">
        <v>1</v>
      </c>
      <c r="S524" t="s">
        <v>2189</v>
      </c>
    </row>
    <row r="525" spans="1:19" x14ac:dyDescent="0.2">
      <c r="A525">
        <v>517</v>
      </c>
      <c r="B525" t="s">
        <v>948</v>
      </c>
      <c r="C525" t="s">
        <v>949</v>
      </c>
      <c r="D525">
        <v>91763</v>
      </c>
      <c r="E525">
        <v>1</v>
      </c>
      <c r="F525">
        <v>10042609</v>
      </c>
      <c r="G525" t="s">
        <v>914</v>
      </c>
      <c r="H525" t="s">
        <v>113</v>
      </c>
      <c r="I525" s="3">
        <v>0.25</v>
      </c>
      <c r="J525" t="s">
        <v>113</v>
      </c>
      <c r="K525" s="3">
        <v>0.25</v>
      </c>
      <c r="L525" t="s">
        <v>113</v>
      </c>
      <c r="M525" s="3">
        <v>0.25</v>
      </c>
      <c r="N525" t="s">
        <v>113</v>
      </c>
      <c r="O525" s="3">
        <v>0.25</v>
      </c>
      <c r="P525" t="s">
        <v>113</v>
      </c>
      <c r="Q525" s="3">
        <v>0.25</v>
      </c>
      <c r="R525" t="b">
        <v>1</v>
      </c>
      <c r="S525" t="s">
        <v>2190</v>
      </c>
    </row>
    <row r="526" spans="1:19" x14ac:dyDescent="0.2">
      <c r="A526">
        <v>518</v>
      </c>
      <c r="B526" t="s">
        <v>811</v>
      </c>
      <c r="C526" t="s">
        <v>810</v>
      </c>
      <c r="D526">
        <v>91711</v>
      </c>
      <c r="E526">
        <v>3</v>
      </c>
      <c r="F526">
        <v>10372216</v>
      </c>
      <c r="G526" t="s">
        <v>919</v>
      </c>
      <c r="H526" t="s">
        <v>202</v>
      </c>
      <c r="I526" s="3">
        <v>0.25</v>
      </c>
      <c r="J526" t="s">
        <v>202</v>
      </c>
      <c r="K526" s="3">
        <v>0.25</v>
      </c>
      <c r="L526" t="s">
        <v>113</v>
      </c>
      <c r="M526" s="3">
        <v>0.41666666666666669</v>
      </c>
      <c r="N526" t="s">
        <v>113</v>
      </c>
      <c r="O526" s="3">
        <v>0.41666666666666669</v>
      </c>
      <c r="P526" t="s">
        <v>113</v>
      </c>
      <c r="Q526" s="3">
        <v>0.41666666666666669</v>
      </c>
      <c r="R526" t="b">
        <v>1</v>
      </c>
      <c r="S526" t="s">
        <v>2191</v>
      </c>
    </row>
    <row r="527" spans="1:19" x14ac:dyDescent="0.2">
      <c r="A527">
        <v>519</v>
      </c>
      <c r="B527" t="s">
        <v>219</v>
      </c>
      <c r="C527" t="s">
        <v>218</v>
      </c>
      <c r="D527">
        <v>91750</v>
      </c>
      <c r="E527">
        <v>1</v>
      </c>
      <c r="F527">
        <v>10370581</v>
      </c>
      <c r="G527" t="s">
        <v>914</v>
      </c>
      <c r="H527" t="s">
        <v>113</v>
      </c>
      <c r="I527" s="3">
        <v>0.54166666666666663</v>
      </c>
      <c r="J527" t="s">
        <v>113</v>
      </c>
      <c r="K527" s="3">
        <v>0.54166666666666663</v>
      </c>
      <c r="L527" t="s">
        <v>113</v>
      </c>
      <c r="M527" s="3">
        <v>0.54166666666666663</v>
      </c>
      <c r="N527" t="s">
        <v>113</v>
      </c>
      <c r="O527" s="3">
        <v>0.54166666666666663</v>
      </c>
      <c r="P527" t="s">
        <v>113</v>
      </c>
      <c r="Q527" s="3">
        <v>0.54166666666666663</v>
      </c>
      <c r="R527" t="b">
        <v>0</v>
      </c>
      <c r="S527" t="s">
        <v>2192</v>
      </c>
    </row>
    <row r="528" spans="1:19" x14ac:dyDescent="0.2">
      <c r="A528">
        <v>520</v>
      </c>
      <c r="B528" t="s">
        <v>978</v>
      </c>
      <c r="C528" t="s">
        <v>2193</v>
      </c>
      <c r="D528">
        <v>91001</v>
      </c>
      <c r="E528">
        <v>25</v>
      </c>
      <c r="F528" t="s">
        <v>2194</v>
      </c>
      <c r="G528" t="s">
        <v>1495</v>
      </c>
      <c r="H528" t="s">
        <v>202</v>
      </c>
      <c r="I528" s="3">
        <v>0.45833333333333331</v>
      </c>
      <c r="J528" t="s">
        <v>202</v>
      </c>
      <c r="K528" s="3">
        <v>0.45833333333333331</v>
      </c>
      <c r="L528" t="s">
        <v>202</v>
      </c>
      <c r="M528" s="3">
        <v>0.45833333333333331</v>
      </c>
      <c r="N528" t="s">
        <v>202</v>
      </c>
      <c r="O528" s="3">
        <v>0.45833333333333331</v>
      </c>
      <c r="P528" t="s">
        <v>202</v>
      </c>
      <c r="Q528" s="3">
        <v>0.45833333333333331</v>
      </c>
      <c r="R528" t="b">
        <v>0</v>
      </c>
      <c r="S528" t="s">
        <v>2195</v>
      </c>
    </row>
    <row r="529" spans="1:19" x14ac:dyDescent="0.2">
      <c r="A529">
        <v>521</v>
      </c>
      <c r="B529" t="s">
        <v>763</v>
      </c>
      <c r="C529" t="s">
        <v>762</v>
      </c>
      <c r="D529">
        <v>91767</v>
      </c>
      <c r="E529">
        <v>2.5</v>
      </c>
      <c r="F529">
        <v>1037048011</v>
      </c>
      <c r="G529" t="s">
        <v>914</v>
      </c>
      <c r="H529" t="s">
        <v>113</v>
      </c>
      <c r="I529" s="3">
        <v>0.33333333333333331</v>
      </c>
      <c r="J529" t="s">
        <v>74</v>
      </c>
      <c r="K529" s="3">
        <v>0.33333333333333331</v>
      </c>
      <c r="L529" t="s">
        <v>74</v>
      </c>
      <c r="M529" s="3">
        <v>0.33333333333333331</v>
      </c>
      <c r="N529" t="s">
        <v>74</v>
      </c>
      <c r="O529" s="3">
        <v>0.33333333333333331</v>
      </c>
      <c r="P529" t="s">
        <v>74</v>
      </c>
      <c r="Q529" s="3">
        <v>0.33333333333333331</v>
      </c>
      <c r="R529" t="b">
        <v>1</v>
      </c>
      <c r="S529" t="s">
        <v>2196</v>
      </c>
    </row>
    <row r="530" spans="1:19" x14ac:dyDescent="0.2">
      <c r="A530">
        <v>522</v>
      </c>
      <c r="B530" t="s">
        <v>1135</v>
      </c>
      <c r="C530" t="s">
        <v>594</v>
      </c>
      <c r="D530">
        <v>91701</v>
      </c>
      <c r="E530">
        <v>10</v>
      </c>
      <c r="F530">
        <v>10044764</v>
      </c>
      <c r="G530" t="s">
        <v>914</v>
      </c>
      <c r="H530" t="s">
        <v>74</v>
      </c>
      <c r="I530" s="3">
        <v>0.35416666666666669</v>
      </c>
      <c r="J530" t="s">
        <v>74</v>
      </c>
      <c r="K530" s="3">
        <v>0.35416666666666669</v>
      </c>
      <c r="L530" t="s">
        <v>74</v>
      </c>
      <c r="M530" s="3">
        <v>0.35416666666666669</v>
      </c>
      <c r="N530" t="s">
        <v>74</v>
      </c>
      <c r="O530" s="3">
        <v>0.35416666666666669</v>
      </c>
      <c r="P530" t="s">
        <v>74</v>
      </c>
      <c r="Q530" s="3">
        <v>0.35416666666666669</v>
      </c>
      <c r="R530" t="b">
        <v>1</v>
      </c>
      <c r="S530" t="s">
        <v>2197</v>
      </c>
    </row>
    <row r="531" spans="1:19" x14ac:dyDescent="0.2">
      <c r="A531">
        <v>523</v>
      </c>
      <c r="B531" t="s">
        <v>333</v>
      </c>
      <c r="C531" t="s">
        <v>332</v>
      </c>
      <c r="D531">
        <v>92337</v>
      </c>
      <c r="E531">
        <v>24</v>
      </c>
      <c r="F531">
        <v>10349685</v>
      </c>
      <c r="G531" t="s">
        <v>914</v>
      </c>
      <c r="H531" t="s">
        <v>74</v>
      </c>
      <c r="I531" s="3">
        <v>0.33333333333333331</v>
      </c>
      <c r="J531" t="s">
        <v>103</v>
      </c>
      <c r="K531" s="3">
        <v>0.33333333333333331</v>
      </c>
      <c r="L531" t="s">
        <v>74</v>
      </c>
      <c r="M531" s="3">
        <v>0.33333333333333331</v>
      </c>
      <c r="N531" t="s">
        <v>103</v>
      </c>
      <c r="O531" s="3">
        <v>0.33333333333333331</v>
      </c>
      <c r="P531" t="s">
        <v>74</v>
      </c>
      <c r="Q531" s="3">
        <v>0.33333333333333331</v>
      </c>
      <c r="R531" t="b">
        <v>1</v>
      </c>
      <c r="S531" t="s">
        <v>2198</v>
      </c>
    </row>
    <row r="532" spans="1:19" x14ac:dyDescent="0.2">
      <c r="A532">
        <v>524</v>
      </c>
      <c r="B532" t="s">
        <v>517</v>
      </c>
      <c r="C532" t="s">
        <v>516</v>
      </c>
      <c r="D532">
        <v>91711</v>
      </c>
      <c r="E532">
        <v>1</v>
      </c>
      <c r="F532">
        <v>10351831</v>
      </c>
      <c r="G532" t="s">
        <v>914</v>
      </c>
      <c r="H532" t="s">
        <v>98</v>
      </c>
      <c r="I532" s="3">
        <v>0.89583333333333337</v>
      </c>
      <c r="J532" t="s">
        <v>98</v>
      </c>
      <c r="K532" s="3">
        <v>0.89583333333333337</v>
      </c>
      <c r="L532" t="s">
        <v>98</v>
      </c>
      <c r="M532" s="3">
        <v>0.89583333333333337</v>
      </c>
      <c r="N532" t="s">
        <v>98</v>
      </c>
      <c r="O532" s="3">
        <v>0.89583333333333337</v>
      </c>
      <c r="P532" t="s">
        <v>98</v>
      </c>
      <c r="Q532" s="3">
        <v>0.89583333333333337</v>
      </c>
      <c r="R532" t="b">
        <v>0</v>
      </c>
      <c r="S532" t="s">
        <v>2199</v>
      </c>
    </row>
    <row r="533" spans="1:19" x14ac:dyDescent="0.2">
      <c r="A533">
        <v>525</v>
      </c>
      <c r="B533" t="s">
        <v>1056</v>
      </c>
      <c r="C533" t="s">
        <v>715</v>
      </c>
      <c r="D533">
        <v>91673</v>
      </c>
      <c r="E533">
        <v>5</v>
      </c>
      <c r="F533" t="s">
        <v>1057</v>
      </c>
      <c r="G533" t="s">
        <v>914</v>
      </c>
      <c r="H533" t="s">
        <v>113</v>
      </c>
      <c r="I533" s="3">
        <v>0.47916666666666669</v>
      </c>
      <c r="J533" t="s">
        <v>113</v>
      </c>
      <c r="K533" s="3">
        <v>0.47916666666666669</v>
      </c>
      <c r="L533" t="s">
        <v>113</v>
      </c>
      <c r="M533" s="3">
        <v>0.47916666666666669</v>
      </c>
      <c r="N533" t="s">
        <v>113</v>
      </c>
      <c r="O533" s="3">
        <v>0.47916666666666669</v>
      </c>
      <c r="P533" t="s">
        <v>113</v>
      </c>
      <c r="Q533" s="3">
        <v>0.47916666666666669</v>
      </c>
      <c r="R533" t="b">
        <v>0</v>
      </c>
      <c r="S533" t="s">
        <v>2200</v>
      </c>
    </row>
    <row r="534" spans="1:19" x14ac:dyDescent="0.2">
      <c r="A534">
        <v>526</v>
      </c>
      <c r="B534" t="s">
        <v>1342</v>
      </c>
      <c r="C534" t="s">
        <v>872</v>
      </c>
      <c r="D534">
        <v>75115</v>
      </c>
      <c r="E534">
        <v>0.5</v>
      </c>
      <c r="F534">
        <v>10369471</v>
      </c>
      <c r="G534" t="s">
        <v>1632</v>
      </c>
      <c r="H534" t="s">
        <v>98</v>
      </c>
      <c r="I534" s="3">
        <v>0.8125</v>
      </c>
      <c r="J534" t="s">
        <v>103</v>
      </c>
      <c r="K534" s="3">
        <v>0.83333333333333337</v>
      </c>
      <c r="L534" t="s">
        <v>92</v>
      </c>
      <c r="M534" s="3">
        <v>0.3125</v>
      </c>
      <c r="N534" t="s">
        <v>92</v>
      </c>
      <c r="O534" s="3">
        <v>0.33333333333333331</v>
      </c>
      <c r="P534" t="s">
        <v>103</v>
      </c>
      <c r="Q534" s="3">
        <v>0.75</v>
      </c>
      <c r="R534" t="b">
        <v>1</v>
      </c>
      <c r="S534" t="s">
        <v>2201</v>
      </c>
    </row>
    <row r="535" spans="1:19" x14ac:dyDescent="0.2">
      <c r="A535">
        <v>527</v>
      </c>
      <c r="B535" t="s">
        <v>953</v>
      </c>
      <c r="C535" t="s">
        <v>715</v>
      </c>
      <c r="D535">
        <v>91763</v>
      </c>
      <c r="E535">
        <v>1.5</v>
      </c>
      <c r="F535">
        <v>10285299</v>
      </c>
      <c r="G535" t="s">
        <v>914</v>
      </c>
      <c r="H535" t="s">
        <v>113</v>
      </c>
      <c r="I535" s="3">
        <v>0.25</v>
      </c>
      <c r="J535" t="s">
        <v>113</v>
      </c>
      <c r="K535" s="3">
        <v>0.25</v>
      </c>
      <c r="L535" t="s">
        <v>113</v>
      </c>
      <c r="M535" s="3">
        <v>0.25</v>
      </c>
      <c r="N535" t="s">
        <v>113</v>
      </c>
      <c r="O535" s="3">
        <v>0.25</v>
      </c>
      <c r="P535" t="s">
        <v>113</v>
      </c>
      <c r="Q535" s="3">
        <v>0.25</v>
      </c>
      <c r="R535" t="b">
        <v>1</v>
      </c>
      <c r="S535" t="s">
        <v>2202</v>
      </c>
    </row>
    <row r="536" spans="1:19" x14ac:dyDescent="0.2">
      <c r="A536">
        <v>528</v>
      </c>
      <c r="B536" t="s">
        <v>878</v>
      </c>
      <c r="C536" t="s">
        <v>1219</v>
      </c>
      <c r="D536">
        <v>92335</v>
      </c>
      <c r="E536">
        <v>18</v>
      </c>
      <c r="F536" t="s">
        <v>1220</v>
      </c>
      <c r="G536" t="s">
        <v>914</v>
      </c>
      <c r="H536" t="s">
        <v>113</v>
      </c>
      <c r="I536" s="3">
        <v>0.29166666666666669</v>
      </c>
      <c r="J536" t="s">
        <v>113</v>
      </c>
      <c r="K536" s="3">
        <v>0.29166666666666669</v>
      </c>
      <c r="L536" t="s">
        <v>113</v>
      </c>
      <c r="M536" s="3">
        <v>0.29166666666666669</v>
      </c>
      <c r="N536" t="s">
        <v>113</v>
      </c>
      <c r="O536" s="3">
        <v>0.29166666666666669</v>
      </c>
      <c r="P536" t="s">
        <v>113</v>
      </c>
      <c r="Q536" s="3">
        <v>0.29166666666666669</v>
      </c>
      <c r="R536" t="b">
        <v>1</v>
      </c>
      <c r="S536" t="s">
        <v>2203</v>
      </c>
    </row>
    <row r="537" spans="1:19" x14ac:dyDescent="0.2">
      <c r="A537">
        <v>529</v>
      </c>
      <c r="B537" t="s">
        <v>1029</v>
      </c>
      <c r="C537" t="s">
        <v>1030</v>
      </c>
      <c r="D537">
        <v>91730</v>
      </c>
      <c r="E537">
        <v>4</v>
      </c>
      <c r="F537">
        <v>103713837</v>
      </c>
      <c r="G537" t="s">
        <v>914</v>
      </c>
      <c r="H537" t="s">
        <v>113</v>
      </c>
      <c r="I537" s="3">
        <v>0.33333333333333331</v>
      </c>
      <c r="J537" t="s">
        <v>113</v>
      </c>
      <c r="K537" s="3">
        <v>0.33333333333333331</v>
      </c>
      <c r="L537" t="s">
        <v>113</v>
      </c>
      <c r="M537" s="3">
        <v>0.33333333333333331</v>
      </c>
      <c r="N537" t="s">
        <v>113</v>
      </c>
      <c r="O537" s="3">
        <v>0.33333333333333331</v>
      </c>
      <c r="P537" t="s">
        <v>113</v>
      </c>
      <c r="Q537" s="3">
        <v>0.33333333333333331</v>
      </c>
      <c r="R537" t="b">
        <v>1</v>
      </c>
      <c r="S537" t="s">
        <v>2204</v>
      </c>
    </row>
    <row r="538" spans="1:19" x14ac:dyDescent="0.2">
      <c r="A538">
        <v>530</v>
      </c>
      <c r="B538" t="s">
        <v>497</v>
      </c>
      <c r="C538" t="s">
        <v>2205</v>
      </c>
      <c r="D538">
        <v>75013</v>
      </c>
      <c r="E538">
        <v>0</v>
      </c>
      <c r="F538">
        <v>10371603</v>
      </c>
      <c r="G538" t="s">
        <v>1632</v>
      </c>
      <c r="H538" t="s">
        <v>92</v>
      </c>
      <c r="I538" s="3">
        <v>0.47916666666666669</v>
      </c>
      <c r="J538" t="s">
        <v>92</v>
      </c>
      <c r="K538" s="3">
        <v>0.45833333333333331</v>
      </c>
      <c r="L538" t="s">
        <v>92</v>
      </c>
      <c r="M538" s="3">
        <v>0.4375</v>
      </c>
      <c r="N538" t="s">
        <v>92</v>
      </c>
      <c r="O538" s="3">
        <v>0.60416666666666663</v>
      </c>
      <c r="P538" t="s">
        <v>92</v>
      </c>
      <c r="Q538" s="3">
        <v>0.64583333333333337</v>
      </c>
      <c r="R538" t="b">
        <v>0</v>
      </c>
      <c r="S538" t="s">
        <v>2206</v>
      </c>
    </row>
    <row r="539" spans="1:19" x14ac:dyDescent="0.2">
      <c r="A539">
        <v>531</v>
      </c>
      <c r="B539" t="s">
        <v>524</v>
      </c>
      <c r="C539" t="s">
        <v>523</v>
      </c>
      <c r="D539">
        <v>91764</v>
      </c>
      <c r="E539">
        <v>10</v>
      </c>
      <c r="F539">
        <v>10370665</v>
      </c>
      <c r="G539" t="s">
        <v>914</v>
      </c>
      <c r="H539" t="s">
        <v>113</v>
      </c>
      <c r="I539" s="3">
        <v>0.3125</v>
      </c>
      <c r="J539" t="s">
        <v>113</v>
      </c>
      <c r="K539" s="3">
        <v>0.3125</v>
      </c>
      <c r="L539" t="s">
        <v>113</v>
      </c>
      <c r="M539" s="3">
        <v>0.3125</v>
      </c>
      <c r="N539" t="s">
        <v>113</v>
      </c>
      <c r="O539" s="3">
        <v>0.3125</v>
      </c>
      <c r="P539" t="s">
        <v>113</v>
      </c>
      <c r="Q539" s="3">
        <v>0.3125</v>
      </c>
      <c r="R539" t="b">
        <v>1</v>
      </c>
      <c r="S539" t="s">
        <v>2207</v>
      </c>
    </row>
    <row r="540" spans="1:19" x14ac:dyDescent="0.2">
      <c r="A540">
        <v>532</v>
      </c>
      <c r="B540" t="s">
        <v>49</v>
      </c>
      <c r="C540" t="s">
        <v>48</v>
      </c>
      <c r="D540">
        <v>92337</v>
      </c>
      <c r="E540">
        <v>12</v>
      </c>
      <c r="F540">
        <v>10351475</v>
      </c>
      <c r="G540" t="s">
        <v>914</v>
      </c>
      <c r="H540" t="s">
        <v>113</v>
      </c>
      <c r="I540" s="3">
        <v>0.25</v>
      </c>
      <c r="J540" t="s">
        <v>113</v>
      </c>
      <c r="K540" s="3">
        <v>0.29166666666666669</v>
      </c>
      <c r="L540" t="s">
        <v>113</v>
      </c>
      <c r="M540" s="3">
        <v>0.29166666666666669</v>
      </c>
      <c r="N540" t="s">
        <v>113</v>
      </c>
      <c r="O540" s="3">
        <v>0.29166666666666669</v>
      </c>
      <c r="P540" t="s">
        <v>113</v>
      </c>
      <c r="Q540" s="3">
        <v>0.29166666666666669</v>
      </c>
      <c r="R540" t="b">
        <v>1</v>
      </c>
      <c r="S540" t="s">
        <v>2208</v>
      </c>
    </row>
    <row r="541" spans="1:19" x14ac:dyDescent="0.2">
      <c r="A541">
        <v>533</v>
      </c>
      <c r="B541" t="s">
        <v>449</v>
      </c>
      <c r="C541" t="s">
        <v>448</v>
      </c>
      <c r="D541">
        <v>92337</v>
      </c>
      <c r="E541">
        <v>16</v>
      </c>
      <c r="F541">
        <v>10303075</v>
      </c>
      <c r="G541" t="s">
        <v>919</v>
      </c>
      <c r="H541" t="s">
        <v>113</v>
      </c>
      <c r="I541" s="3">
        <v>0.29166666666666669</v>
      </c>
      <c r="J541" t="s">
        <v>113</v>
      </c>
      <c r="K541" s="3">
        <v>0.29166666666666669</v>
      </c>
      <c r="L541" t="s">
        <v>113</v>
      </c>
      <c r="M541" s="3">
        <v>0.29166666666666669</v>
      </c>
      <c r="N541" t="s">
        <v>113</v>
      </c>
      <c r="O541" s="3">
        <v>0.29166666666666669</v>
      </c>
      <c r="P541" t="s">
        <v>113</v>
      </c>
      <c r="Q541" s="3">
        <v>0.29166666666666669</v>
      </c>
      <c r="R541" t="b">
        <v>1</v>
      </c>
      <c r="S541" t="s">
        <v>2209</v>
      </c>
    </row>
    <row r="542" spans="1:19" x14ac:dyDescent="0.2">
      <c r="A542">
        <v>534</v>
      </c>
      <c r="B542" t="s">
        <v>1272</v>
      </c>
      <c r="C542" t="s">
        <v>1273</v>
      </c>
      <c r="D542">
        <v>92405</v>
      </c>
      <c r="E542">
        <v>28</v>
      </c>
      <c r="F542">
        <v>10354791</v>
      </c>
      <c r="G542" t="s">
        <v>914</v>
      </c>
      <c r="H542" t="s">
        <v>113</v>
      </c>
      <c r="I542" s="3">
        <v>0.25</v>
      </c>
      <c r="J542" t="s">
        <v>113</v>
      </c>
      <c r="K542" s="3">
        <v>0.29166666666666669</v>
      </c>
      <c r="L542" t="s">
        <v>113</v>
      </c>
      <c r="M542" s="3">
        <v>0.29166666666666669</v>
      </c>
      <c r="N542" t="s">
        <v>113</v>
      </c>
      <c r="O542" s="3">
        <v>0.29166666666666669</v>
      </c>
      <c r="P542" t="s">
        <v>113</v>
      </c>
      <c r="Q542" s="3">
        <v>0.29166666666666669</v>
      </c>
      <c r="R542" t="b">
        <v>1</v>
      </c>
      <c r="S542" t="s">
        <v>2210</v>
      </c>
    </row>
    <row r="543" spans="1:19" x14ac:dyDescent="0.2">
      <c r="A543">
        <v>535</v>
      </c>
      <c r="B543" t="s">
        <v>28</v>
      </c>
      <c r="C543" t="s">
        <v>675</v>
      </c>
      <c r="D543">
        <v>91761</v>
      </c>
      <c r="E543">
        <v>13</v>
      </c>
      <c r="F543" t="s">
        <v>1156</v>
      </c>
      <c r="G543" t="s">
        <v>914</v>
      </c>
      <c r="H543" t="s">
        <v>98</v>
      </c>
      <c r="I543" s="3">
        <v>0.29166666666666669</v>
      </c>
      <c r="J543" t="s">
        <v>98</v>
      </c>
      <c r="K543" s="3">
        <v>0.29166666666666669</v>
      </c>
      <c r="L543" t="s">
        <v>98</v>
      </c>
      <c r="M543" s="3">
        <v>0.29166666666666669</v>
      </c>
      <c r="N543" t="s">
        <v>98</v>
      </c>
      <c r="O543" s="3">
        <v>0.29166666666666669</v>
      </c>
      <c r="P543" t="s">
        <v>98</v>
      </c>
      <c r="Q543" s="3">
        <v>0.29166666666666669</v>
      </c>
      <c r="R543" t="b">
        <v>1</v>
      </c>
      <c r="S543" t="s">
        <v>2211</v>
      </c>
    </row>
    <row r="544" spans="1:19" x14ac:dyDescent="0.2">
      <c r="A544">
        <v>536</v>
      </c>
      <c r="B544" t="s">
        <v>893</v>
      </c>
      <c r="C544" t="s">
        <v>1233</v>
      </c>
      <c r="D544">
        <v>92376</v>
      </c>
      <c r="E544">
        <v>21</v>
      </c>
      <c r="F544">
        <v>10292177</v>
      </c>
      <c r="G544" t="s">
        <v>914</v>
      </c>
      <c r="H544" t="s">
        <v>113</v>
      </c>
      <c r="I544" s="3">
        <v>0.25</v>
      </c>
      <c r="J544" t="s">
        <v>113</v>
      </c>
      <c r="K544" s="3">
        <v>0.25</v>
      </c>
      <c r="L544" t="s">
        <v>113</v>
      </c>
      <c r="M544" s="3">
        <v>0.25</v>
      </c>
      <c r="N544" t="s">
        <v>113</v>
      </c>
      <c r="O544" s="3">
        <v>0.25</v>
      </c>
      <c r="P544" t="s">
        <v>113</v>
      </c>
      <c r="Q544" s="3">
        <v>0.25</v>
      </c>
      <c r="R544" t="b">
        <v>1</v>
      </c>
      <c r="S544" t="s">
        <v>2212</v>
      </c>
    </row>
    <row r="545" spans="1:19" x14ac:dyDescent="0.2">
      <c r="A545">
        <v>537</v>
      </c>
      <c r="B545" t="s">
        <v>780</v>
      </c>
      <c r="C545" t="s">
        <v>1189</v>
      </c>
      <c r="D545">
        <v>91765</v>
      </c>
      <c r="E545">
        <v>15</v>
      </c>
      <c r="F545">
        <v>10373041</v>
      </c>
      <c r="G545" t="s">
        <v>914</v>
      </c>
      <c r="H545" t="s">
        <v>113</v>
      </c>
      <c r="I545" s="3">
        <v>0.3125</v>
      </c>
      <c r="J545" t="s">
        <v>113</v>
      </c>
      <c r="K545" s="3">
        <v>0.3125</v>
      </c>
      <c r="L545" t="s">
        <v>113</v>
      </c>
      <c r="M545" s="3">
        <v>0.3125</v>
      </c>
      <c r="N545" t="s">
        <v>113</v>
      </c>
      <c r="O545" s="3">
        <v>0.3125</v>
      </c>
      <c r="P545" t="s">
        <v>113</v>
      </c>
      <c r="Q545" s="3">
        <v>0.3125</v>
      </c>
      <c r="R545" t="b">
        <v>1</v>
      </c>
      <c r="S545" t="s">
        <v>2213</v>
      </c>
    </row>
    <row r="546" spans="1:19" x14ac:dyDescent="0.2">
      <c r="A546">
        <v>538</v>
      </c>
      <c r="B546" t="s">
        <v>1003</v>
      </c>
      <c r="C546" t="s">
        <v>1004</v>
      </c>
      <c r="D546">
        <v>91763</v>
      </c>
      <c r="E546">
        <v>3</v>
      </c>
      <c r="F546">
        <v>10366752</v>
      </c>
      <c r="G546" t="s">
        <v>914</v>
      </c>
      <c r="H546" t="s">
        <v>113</v>
      </c>
      <c r="I546" s="3">
        <v>0.25</v>
      </c>
      <c r="J546" t="s">
        <v>98</v>
      </c>
      <c r="K546" s="3">
        <v>0.25</v>
      </c>
      <c r="L546" t="s">
        <v>113</v>
      </c>
      <c r="M546" s="3">
        <v>0.25</v>
      </c>
      <c r="N546" t="s">
        <v>113</v>
      </c>
      <c r="O546" s="3">
        <v>0.27083333333333331</v>
      </c>
      <c r="P546" t="s">
        <v>113</v>
      </c>
      <c r="Q546" s="3">
        <v>0.25</v>
      </c>
      <c r="R546" t="b">
        <v>1</v>
      </c>
      <c r="S546" t="s">
        <v>2214</v>
      </c>
    </row>
    <row r="547" spans="1:19" x14ac:dyDescent="0.2">
      <c r="A547">
        <v>539</v>
      </c>
      <c r="B547" t="s">
        <v>983</v>
      </c>
      <c r="C547" t="s">
        <v>1000</v>
      </c>
      <c r="D547">
        <v>91709</v>
      </c>
      <c r="E547">
        <v>20</v>
      </c>
      <c r="F547">
        <v>10366710</v>
      </c>
      <c r="G547" t="s">
        <v>1495</v>
      </c>
      <c r="H547" t="s">
        <v>103</v>
      </c>
      <c r="I547" s="3">
        <v>0.20833333333333334</v>
      </c>
      <c r="J547" t="s">
        <v>103</v>
      </c>
      <c r="K547" s="3">
        <v>0.20833333333333334</v>
      </c>
      <c r="L547" t="s">
        <v>103</v>
      </c>
      <c r="M547" s="3">
        <v>0.20833333333333334</v>
      </c>
      <c r="N547" t="s">
        <v>103</v>
      </c>
      <c r="O547" s="3">
        <v>0.20833333333333334</v>
      </c>
      <c r="P547" t="s">
        <v>103</v>
      </c>
      <c r="Q547" s="3">
        <v>0.20833333333333334</v>
      </c>
      <c r="R547" t="b">
        <v>0</v>
      </c>
      <c r="S547" t="s">
        <v>2215</v>
      </c>
    </row>
    <row r="548" spans="1:19" x14ac:dyDescent="0.2">
      <c r="A548">
        <v>540</v>
      </c>
      <c r="B548" t="s">
        <v>1136</v>
      </c>
      <c r="C548" t="s">
        <v>40</v>
      </c>
      <c r="D548">
        <v>91784</v>
      </c>
      <c r="E548">
        <v>10</v>
      </c>
      <c r="F548">
        <v>10375312</v>
      </c>
      <c r="G548" t="s">
        <v>914</v>
      </c>
      <c r="H548" t="s">
        <v>113</v>
      </c>
      <c r="I548" s="3">
        <v>0.3125</v>
      </c>
      <c r="J548" t="s">
        <v>113</v>
      </c>
      <c r="K548" s="3">
        <v>0.3125</v>
      </c>
      <c r="L548" t="s">
        <v>113</v>
      </c>
      <c r="M548" s="3">
        <v>0.3125</v>
      </c>
      <c r="N548" t="s">
        <v>113</v>
      </c>
      <c r="O548" s="3">
        <v>0.33333333333333331</v>
      </c>
      <c r="P548" t="s">
        <v>113</v>
      </c>
      <c r="Q548" s="3">
        <v>0.33333333333333331</v>
      </c>
      <c r="R548" t="b">
        <v>1</v>
      </c>
      <c r="S548" t="s">
        <v>2216</v>
      </c>
    </row>
    <row r="549" spans="1:19" x14ac:dyDescent="0.2">
      <c r="A549">
        <v>541</v>
      </c>
      <c r="B549" t="s">
        <v>731</v>
      </c>
      <c r="C549" t="s">
        <v>467</v>
      </c>
      <c r="D549">
        <v>91786</v>
      </c>
      <c r="E549">
        <v>1.5</v>
      </c>
      <c r="F549">
        <v>10358577</v>
      </c>
      <c r="G549" t="s">
        <v>919</v>
      </c>
      <c r="H549" t="s">
        <v>92</v>
      </c>
      <c r="I549" s="3">
        <v>0.35416666666666669</v>
      </c>
      <c r="J549" t="s">
        <v>92</v>
      </c>
      <c r="K549" s="3">
        <v>0.35416666666666669</v>
      </c>
      <c r="L549" t="s">
        <v>92</v>
      </c>
      <c r="M549" s="3">
        <v>0.35416666666666669</v>
      </c>
      <c r="N549" t="s">
        <v>92</v>
      </c>
      <c r="O549" s="3">
        <v>0.35416666666666669</v>
      </c>
      <c r="P549" t="s">
        <v>92</v>
      </c>
      <c r="Q549" s="3">
        <v>0.35416666666666669</v>
      </c>
      <c r="R549" t="b">
        <v>1</v>
      </c>
      <c r="S549" t="s">
        <v>2217</v>
      </c>
    </row>
    <row r="550" spans="1:19" x14ac:dyDescent="0.2">
      <c r="A550">
        <v>542</v>
      </c>
      <c r="B550" t="s">
        <v>406</v>
      </c>
      <c r="C550" t="s">
        <v>896</v>
      </c>
      <c r="D550">
        <v>92880</v>
      </c>
      <c r="E550">
        <v>21.3</v>
      </c>
      <c r="F550">
        <v>103722532</v>
      </c>
      <c r="G550" t="s">
        <v>914</v>
      </c>
      <c r="H550" t="s">
        <v>113</v>
      </c>
      <c r="I550" s="3">
        <v>0.33333333333333331</v>
      </c>
      <c r="J550" t="s">
        <v>113</v>
      </c>
      <c r="K550" s="3">
        <v>0.33333333333333331</v>
      </c>
      <c r="L550" t="s">
        <v>113</v>
      </c>
      <c r="M550" s="3">
        <v>0.33333333333333331</v>
      </c>
      <c r="N550" t="s">
        <v>103</v>
      </c>
      <c r="O550" s="3">
        <v>0.33333333333333331</v>
      </c>
      <c r="P550" t="s">
        <v>113</v>
      </c>
      <c r="Q550" s="3">
        <v>0.33333333333333331</v>
      </c>
      <c r="R550" t="b">
        <v>1</v>
      </c>
      <c r="S550" t="s">
        <v>2218</v>
      </c>
    </row>
    <row r="551" spans="1:19" x14ac:dyDescent="0.2">
      <c r="A551">
        <v>543</v>
      </c>
      <c r="B551" t="s">
        <v>1190</v>
      </c>
      <c r="C551" t="s">
        <v>1191</v>
      </c>
      <c r="D551">
        <v>92336</v>
      </c>
      <c r="E551">
        <v>15</v>
      </c>
      <c r="F551" t="s">
        <v>1192</v>
      </c>
      <c r="G551" t="s">
        <v>914</v>
      </c>
      <c r="H551" t="s">
        <v>113</v>
      </c>
      <c r="I551" s="3">
        <v>0.29166666666666669</v>
      </c>
      <c r="J551" t="s">
        <v>113</v>
      </c>
      <c r="K551" s="3">
        <v>0.29166666666666669</v>
      </c>
      <c r="L551" t="s">
        <v>113</v>
      </c>
      <c r="M551" s="3">
        <v>0.29166666666666669</v>
      </c>
      <c r="N551" t="s">
        <v>113</v>
      </c>
      <c r="O551" s="3">
        <v>0.29166666666666669</v>
      </c>
      <c r="P551" t="s">
        <v>113</v>
      </c>
      <c r="Q551" s="3">
        <v>0.29166666666666669</v>
      </c>
      <c r="R551" t="b">
        <v>1</v>
      </c>
      <c r="S551" t="s">
        <v>2219</v>
      </c>
    </row>
    <row r="552" spans="1:19" x14ac:dyDescent="0.2">
      <c r="A552">
        <v>544</v>
      </c>
      <c r="B552" t="s">
        <v>1137</v>
      </c>
      <c r="C552" t="s">
        <v>1138</v>
      </c>
      <c r="D552">
        <v>91762</v>
      </c>
      <c r="E552">
        <v>10</v>
      </c>
      <c r="F552">
        <v>10368502</v>
      </c>
      <c r="G552" t="s">
        <v>914</v>
      </c>
      <c r="H552" t="s">
        <v>113</v>
      </c>
      <c r="I552" s="3">
        <v>0.33333333333333331</v>
      </c>
      <c r="J552" t="s">
        <v>199</v>
      </c>
      <c r="K552" s="3">
        <v>0.25</v>
      </c>
      <c r="L552" t="s">
        <v>113</v>
      </c>
      <c r="M552" s="3">
        <v>0.33333333333333331</v>
      </c>
      <c r="N552" t="s">
        <v>199</v>
      </c>
      <c r="O552" s="3">
        <v>0.25</v>
      </c>
      <c r="P552" t="s">
        <v>113</v>
      </c>
      <c r="Q552" s="3">
        <v>0.33333333333333331</v>
      </c>
      <c r="R552" t="b">
        <v>1</v>
      </c>
      <c r="S552" t="s">
        <v>2220</v>
      </c>
    </row>
    <row r="553" spans="1:19" x14ac:dyDescent="0.2">
      <c r="A553">
        <v>545</v>
      </c>
      <c r="B553" t="s">
        <v>1111</v>
      </c>
      <c r="C553" t="s">
        <v>1112</v>
      </c>
      <c r="D553">
        <v>91764</v>
      </c>
      <c r="E553">
        <v>8</v>
      </c>
      <c r="F553" t="s">
        <v>1113</v>
      </c>
      <c r="G553" t="s">
        <v>914</v>
      </c>
      <c r="H553" t="s">
        <v>113</v>
      </c>
      <c r="I553" s="3">
        <v>0.33333333333333331</v>
      </c>
      <c r="J553" t="s">
        <v>113</v>
      </c>
      <c r="K553" s="3">
        <v>0.33333333333333331</v>
      </c>
      <c r="L553" t="s">
        <v>113</v>
      </c>
      <c r="M553" s="3">
        <v>0.33333333333333331</v>
      </c>
      <c r="N553" t="s">
        <v>113</v>
      </c>
      <c r="O553" s="3">
        <v>0.33333333333333331</v>
      </c>
      <c r="P553" t="s">
        <v>113</v>
      </c>
      <c r="Q553" s="3">
        <v>0.33333333333333331</v>
      </c>
      <c r="R553" t="b">
        <v>1</v>
      </c>
      <c r="S553" t="s">
        <v>2221</v>
      </c>
    </row>
    <row r="554" spans="1:19" x14ac:dyDescent="0.2">
      <c r="A554">
        <v>546</v>
      </c>
      <c r="B554" t="s">
        <v>1312</v>
      </c>
      <c r="C554" t="s">
        <v>467</v>
      </c>
      <c r="D554">
        <v>90302</v>
      </c>
      <c r="E554">
        <v>42</v>
      </c>
      <c r="F554">
        <v>120997</v>
      </c>
      <c r="G554" t="s">
        <v>914</v>
      </c>
      <c r="H554" t="s">
        <v>113</v>
      </c>
      <c r="I554" s="3">
        <v>0.35416666666666669</v>
      </c>
      <c r="J554" t="s">
        <v>113</v>
      </c>
      <c r="K554" s="3">
        <v>0.35416666666666669</v>
      </c>
      <c r="L554" t="s">
        <v>113</v>
      </c>
      <c r="M554" s="3">
        <v>0.35416666666666669</v>
      </c>
      <c r="N554" t="s">
        <v>113</v>
      </c>
      <c r="O554" s="3">
        <v>0.35416666666666669</v>
      </c>
      <c r="P554" t="s">
        <v>113</v>
      </c>
      <c r="Q554" s="3">
        <v>0.35416666666666669</v>
      </c>
      <c r="R554" t="b">
        <v>1</v>
      </c>
      <c r="S554" t="s">
        <v>2222</v>
      </c>
    </row>
    <row r="555" spans="1:19" x14ac:dyDescent="0.2">
      <c r="A555">
        <v>547</v>
      </c>
      <c r="B555" t="s">
        <v>643</v>
      </c>
      <c r="C555" t="s">
        <v>1329</v>
      </c>
      <c r="D555">
        <v>92557</v>
      </c>
      <c r="E555">
        <v>60</v>
      </c>
      <c r="F555" t="s">
        <v>1330</v>
      </c>
      <c r="G555" t="s">
        <v>914</v>
      </c>
      <c r="H555" t="s">
        <v>1176</v>
      </c>
      <c r="I555" s="3">
        <v>0.16666666666666666</v>
      </c>
      <c r="J555" t="s">
        <v>1176</v>
      </c>
      <c r="K555" s="3">
        <v>0.16666666666666666</v>
      </c>
      <c r="L555" t="s">
        <v>1176</v>
      </c>
      <c r="M555" s="3">
        <v>0.16666666666666666</v>
      </c>
      <c r="N555" t="s">
        <v>1176</v>
      </c>
      <c r="O555" s="3">
        <v>0.16666666666666666</v>
      </c>
      <c r="P555" t="s">
        <v>1176</v>
      </c>
      <c r="Q555" s="3">
        <v>0.16666666666666666</v>
      </c>
      <c r="R555" t="b">
        <v>0</v>
      </c>
      <c r="S555" t="s">
        <v>2223</v>
      </c>
    </row>
    <row r="556" spans="1:19" x14ac:dyDescent="0.2">
      <c r="A556">
        <v>548</v>
      </c>
      <c r="B556" t="s">
        <v>437</v>
      </c>
      <c r="C556" t="s">
        <v>436</v>
      </c>
      <c r="D556">
        <v>91744</v>
      </c>
      <c r="E556">
        <v>17</v>
      </c>
      <c r="F556">
        <v>10215439</v>
      </c>
      <c r="G556" t="s">
        <v>914</v>
      </c>
      <c r="H556" t="s">
        <v>113</v>
      </c>
      <c r="I556" s="3">
        <v>0.3125</v>
      </c>
      <c r="J556" t="s">
        <v>113</v>
      </c>
      <c r="K556" s="3">
        <v>0.3125</v>
      </c>
      <c r="L556" t="s">
        <v>113</v>
      </c>
      <c r="M556" s="3">
        <v>0.3125</v>
      </c>
      <c r="N556" t="s">
        <v>113</v>
      </c>
      <c r="O556" s="3">
        <v>0.3125</v>
      </c>
      <c r="P556" t="s">
        <v>113</v>
      </c>
      <c r="Q556" s="3">
        <v>0.3125</v>
      </c>
      <c r="R556" t="b">
        <v>1</v>
      </c>
      <c r="S556" t="s">
        <v>2224</v>
      </c>
    </row>
    <row r="557" spans="1:19" x14ac:dyDescent="0.2">
      <c r="A557">
        <v>549</v>
      </c>
      <c r="B557" t="s">
        <v>1009</v>
      </c>
      <c r="C557" t="s">
        <v>1010</v>
      </c>
      <c r="D557">
        <v>91762</v>
      </c>
      <c r="E557">
        <v>3.3</v>
      </c>
      <c r="F557">
        <v>10373864</v>
      </c>
      <c r="G557" t="s">
        <v>914</v>
      </c>
      <c r="H557" t="s">
        <v>103</v>
      </c>
      <c r="I557" s="3">
        <v>0.27083333333333331</v>
      </c>
      <c r="J557" t="s">
        <v>103</v>
      </c>
      <c r="K557" s="3">
        <v>0.27083333333333331</v>
      </c>
      <c r="L557" t="s">
        <v>103</v>
      </c>
      <c r="M557" s="3">
        <v>0.27083333333333331</v>
      </c>
      <c r="N557" t="s">
        <v>103</v>
      </c>
      <c r="O557" s="3">
        <v>0.27083333333333331</v>
      </c>
      <c r="P557" t="s">
        <v>103</v>
      </c>
      <c r="Q557" s="3">
        <v>0.27083333333333331</v>
      </c>
      <c r="R557" t="b">
        <v>1</v>
      </c>
      <c r="S557" t="s">
        <v>2225</v>
      </c>
    </row>
    <row r="558" spans="1:19" x14ac:dyDescent="0.2">
      <c r="A558">
        <v>550</v>
      </c>
      <c r="B558" t="s">
        <v>602</v>
      </c>
      <c r="C558" t="s">
        <v>601</v>
      </c>
      <c r="D558">
        <v>91710</v>
      </c>
      <c r="E558">
        <v>5.2</v>
      </c>
      <c r="F558">
        <v>10364131</v>
      </c>
      <c r="G558" t="s">
        <v>914</v>
      </c>
      <c r="H558" t="s">
        <v>113</v>
      </c>
      <c r="I558" s="3">
        <v>0.35416666666666669</v>
      </c>
      <c r="J558" t="s">
        <v>103</v>
      </c>
      <c r="K558" s="3">
        <v>0.33333333333333331</v>
      </c>
      <c r="L558" t="s">
        <v>103</v>
      </c>
      <c r="M558" s="3">
        <v>0.33333333333333331</v>
      </c>
      <c r="N558" t="s">
        <v>103</v>
      </c>
      <c r="O558" s="3">
        <v>0.33333333333333331</v>
      </c>
      <c r="P558" t="s">
        <v>103</v>
      </c>
      <c r="Q558" s="3">
        <v>0.33333333333333331</v>
      </c>
      <c r="R558" t="b">
        <v>1</v>
      </c>
      <c r="S558" t="s">
        <v>2226</v>
      </c>
    </row>
    <row r="559" spans="1:19" x14ac:dyDescent="0.2">
      <c r="A559">
        <v>551</v>
      </c>
      <c r="B559" t="s">
        <v>1309</v>
      </c>
      <c r="C559" t="s">
        <v>1310</v>
      </c>
      <c r="D559">
        <v>92879</v>
      </c>
      <c r="E559">
        <v>40</v>
      </c>
      <c r="F559" t="s">
        <v>1311</v>
      </c>
      <c r="G559" t="s">
        <v>919</v>
      </c>
      <c r="H559" t="s">
        <v>113</v>
      </c>
      <c r="I559" s="3">
        <v>0.29166666666666669</v>
      </c>
      <c r="J559" t="s">
        <v>113</v>
      </c>
      <c r="K559" s="3">
        <v>0.29166666666666669</v>
      </c>
      <c r="L559" t="s">
        <v>113</v>
      </c>
      <c r="M559" s="3">
        <v>0.29166666666666669</v>
      </c>
      <c r="N559" t="s">
        <v>113</v>
      </c>
      <c r="O559" s="3">
        <v>0.29166666666666669</v>
      </c>
      <c r="P559" t="s">
        <v>113</v>
      </c>
      <c r="Q559" s="3">
        <v>0.3125</v>
      </c>
      <c r="R559" t="b">
        <v>1</v>
      </c>
      <c r="S559" t="s">
        <v>2227</v>
      </c>
    </row>
    <row r="560" spans="1:19" x14ac:dyDescent="0.2">
      <c r="A560">
        <v>552</v>
      </c>
      <c r="B560" t="s">
        <v>381</v>
      </c>
      <c r="C560" t="s">
        <v>380</v>
      </c>
      <c r="D560">
        <v>91762</v>
      </c>
      <c r="E560">
        <v>3.5</v>
      </c>
      <c r="F560">
        <v>103132011</v>
      </c>
      <c r="G560" t="s">
        <v>914</v>
      </c>
      <c r="H560" t="s">
        <v>113</v>
      </c>
      <c r="I560" s="3">
        <v>0.35416666666666669</v>
      </c>
      <c r="J560" t="s">
        <v>113</v>
      </c>
      <c r="K560" s="3">
        <v>0.35416666666666669</v>
      </c>
      <c r="L560" t="s">
        <v>113</v>
      </c>
      <c r="M560" s="3">
        <v>0.35416666666666669</v>
      </c>
      <c r="N560" t="s">
        <v>113</v>
      </c>
      <c r="O560" s="3">
        <v>0.35416666666666669</v>
      </c>
      <c r="P560" t="s">
        <v>103</v>
      </c>
      <c r="Q560" s="3">
        <v>0.35416666666666669</v>
      </c>
      <c r="R560" t="b">
        <v>1</v>
      </c>
      <c r="S560" t="s">
        <v>2228</v>
      </c>
    </row>
    <row r="561" spans="1:19" x14ac:dyDescent="0.2">
      <c r="A561">
        <v>553</v>
      </c>
      <c r="B561" t="s">
        <v>478</v>
      </c>
      <c r="C561" t="s">
        <v>477</v>
      </c>
      <c r="D561">
        <v>90065</v>
      </c>
      <c r="E561">
        <v>35</v>
      </c>
      <c r="F561">
        <v>10371899</v>
      </c>
      <c r="G561" t="s">
        <v>914</v>
      </c>
      <c r="H561" t="s">
        <v>74</v>
      </c>
      <c r="I561" s="3">
        <v>0.33333333333333331</v>
      </c>
      <c r="J561" t="s">
        <v>74</v>
      </c>
      <c r="K561" s="3">
        <v>0.33333333333333331</v>
      </c>
      <c r="L561" t="s">
        <v>74</v>
      </c>
      <c r="M561" s="3">
        <v>0.33333333333333331</v>
      </c>
      <c r="N561" t="s">
        <v>74</v>
      </c>
      <c r="O561" s="3">
        <v>0.33333333333333331</v>
      </c>
      <c r="P561" t="s">
        <v>74</v>
      </c>
      <c r="Q561" s="3">
        <v>0.33333333333333331</v>
      </c>
      <c r="R561" t="b">
        <v>1</v>
      </c>
      <c r="S561" t="s">
        <v>2229</v>
      </c>
    </row>
    <row r="562" spans="1:19" x14ac:dyDescent="0.2">
      <c r="A562">
        <v>554</v>
      </c>
      <c r="B562" t="s">
        <v>1151</v>
      </c>
      <c r="C562" t="s">
        <v>1152</v>
      </c>
      <c r="D562">
        <v>91791</v>
      </c>
      <c r="E562">
        <v>12</v>
      </c>
      <c r="F562">
        <v>10345366</v>
      </c>
      <c r="G562" t="s">
        <v>914</v>
      </c>
      <c r="H562" t="s">
        <v>113</v>
      </c>
      <c r="I562" s="3">
        <v>0.20833333333333334</v>
      </c>
      <c r="J562" t="s">
        <v>113</v>
      </c>
      <c r="K562" s="3">
        <v>0.20833333333333334</v>
      </c>
      <c r="L562" t="s">
        <v>113</v>
      </c>
      <c r="M562" s="3">
        <v>0.20833333333333334</v>
      </c>
      <c r="N562" t="s">
        <v>113</v>
      </c>
      <c r="O562" s="3">
        <v>0.20833333333333334</v>
      </c>
      <c r="P562" t="s">
        <v>113</v>
      </c>
      <c r="Q562" s="3">
        <v>0.20833333333333334</v>
      </c>
      <c r="R562" t="b">
        <v>0</v>
      </c>
      <c r="S562" t="s">
        <v>2230</v>
      </c>
    </row>
    <row r="563" spans="1:19" x14ac:dyDescent="0.2">
      <c r="A563">
        <v>555</v>
      </c>
      <c r="B563" t="s">
        <v>565</v>
      </c>
      <c r="C563" t="s">
        <v>558</v>
      </c>
      <c r="D563">
        <v>91722</v>
      </c>
      <c r="E563">
        <v>14</v>
      </c>
      <c r="F563">
        <v>10189436</v>
      </c>
      <c r="G563" t="s">
        <v>914</v>
      </c>
      <c r="H563" t="s">
        <v>113</v>
      </c>
      <c r="I563" s="3">
        <v>0.35416666666666669</v>
      </c>
      <c r="J563" t="s">
        <v>113</v>
      </c>
      <c r="K563" s="3">
        <v>0.35416666666666669</v>
      </c>
      <c r="L563" t="s">
        <v>113</v>
      </c>
      <c r="M563" s="3">
        <v>0.35416666666666669</v>
      </c>
      <c r="N563" t="s">
        <v>113</v>
      </c>
      <c r="O563" s="3">
        <v>0.35416666666666669</v>
      </c>
      <c r="P563" t="s">
        <v>113</v>
      </c>
      <c r="Q563" s="3">
        <v>0.35416666666666669</v>
      </c>
      <c r="R563" t="b">
        <v>1</v>
      </c>
      <c r="S563" t="s">
        <v>2231</v>
      </c>
    </row>
    <row r="564" spans="1:19" x14ac:dyDescent="0.2">
      <c r="A564">
        <v>556</v>
      </c>
      <c r="B564" t="s">
        <v>1115</v>
      </c>
      <c r="C564" t="s">
        <v>558</v>
      </c>
      <c r="D564">
        <v>91730</v>
      </c>
      <c r="E564">
        <v>9233</v>
      </c>
      <c r="F564">
        <v>10373069</v>
      </c>
      <c r="G564" t="s">
        <v>914</v>
      </c>
      <c r="H564" t="s">
        <v>113</v>
      </c>
      <c r="I564" s="3">
        <v>0.54166666666666663</v>
      </c>
      <c r="J564" t="s">
        <v>113</v>
      </c>
      <c r="K564" s="3">
        <v>0.54166666666666663</v>
      </c>
      <c r="L564" t="s">
        <v>113</v>
      </c>
      <c r="M564" s="3">
        <v>0.54166666666666663</v>
      </c>
      <c r="N564" t="s">
        <v>113</v>
      </c>
      <c r="O564" s="3">
        <v>0.54166666666666663</v>
      </c>
      <c r="P564" t="s">
        <v>113</v>
      </c>
      <c r="Q564" s="3">
        <v>0.54166666666666663</v>
      </c>
      <c r="R564" t="b">
        <v>0</v>
      </c>
      <c r="S564" t="s">
        <v>2232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E51B-8757-4160-A137-5421B87D25E4}">
  <dimension ref="A1:S558"/>
  <sheetViews>
    <sheetView workbookViewId="0">
      <selection activeCell="E72" sqref="E72"/>
    </sheetView>
  </sheetViews>
  <sheetFormatPr baseColWidth="10" defaultColWidth="8.83203125" defaultRowHeight="15" x14ac:dyDescent="0.2"/>
  <cols>
    <col min="2" max="2" width="16.83203125" bestFit="1" customWidth="1"/>
    <col min="3" max="3" width="19.5" bestFit="1" customWidth="1"/>
    <col min="5" max="5" width="26.1640625" bestFit="1" customWidth="1"/>
    <col min="6" max="6" width="14.5" bestFit="1" customWidth="1"/>
    <col min="7" max="7" width="30.6640625" bestFit="1" customWidth="1"/>
    <col min="8" max="8" width="25.83203125" bestFit="1" customWidth="1"/>
    <col min="9" max="9" width="16.5" bestFit="1" customWidth="1"/>
    <col min="10" max="10" width="25.83203125" bestFit="1" customWidth="1"/>
    <col min="11" max="11" width="15.5" bestFit="1" customWidth="1"/>
    <col min="12" max="12" width="25.83203125" bestFit="1" customWidth="1"/>
    <col min="13" max="13" width="16.5" bestFit="1" customWidth="1"/>
    <col min="14" max="14" width="25.83203125" bestFit="1" customWidth="1"/>
    <col min="15" max="15" width="15.6640625" bestFit="1" customWidth="1"/>
    <col min="16" max="16" width="25.83203125" bestFit="1" customWidth="1"/>
    <col min="17" max="17" width="14.5" bestFit="1" customWidth="1"/>
    <col min="18" max="18" width="13.1640625" bestFit="1" customWidth="1"/>
    <col min="19" max="19" width="23" bestFit="1" customWidth="1"/>
  </cols>
  <sheetData>
    <row r="1" spans="1:19" x14ac:dyDescent="0.2">
      <c r="D1" t="s">
        <v>1480</v>
      </c>
      <c r="H1" t="s">
        <v>1481</v>
      </c>
      <c r="J1" t="s">
        <v>1482</v>
      </c>
      <c r="L1" t="s">
        <v>1483</v>
      </c>
      <c r="N1" t="s">
        <v>1484</v>
      </c>
      <c r="P1" t="s">
        <v>1485</v>
      </c>
    </row>
    <row r="2" spans="1:19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1486</v>
      </c>
      <c r="J2" t="s">
        <v>7</v>
      </c>
      <c r="K2" t="s">
        <v>1487</v>
      </c>
      <c r="L2" t="s">
        <v>8</v>
      </c>
      <c r="M2" t="s">
        <v>1488</v>
      </c>
      <c r="N2" t="s">
        <v>9</v>
      </c>
      <c r="O2" t="s">
        <v>1489</v>
      </c>
      <c r="P2" t="s">
        <v>10</v>
      </c>
      <c r="Q2" t="s">
        <v>1490</v>
      </c>
      <c r="R2" t="s">
        <v>1491</v>
      </c>
      <c r="S2" t="s">
        <v>1492</v>
      </c>
    </row>
    <row r="3" spans="1:19" hidden="1" x14ac:dyDescent="0.2">
      <c r="A3">
        <v>1</v>
      </c>
      <c r="B3" t="s">
        <v>780</v>
      </c>
      <c r="C3" t="s">
        <v>980</v>
      </c>
      <c r="D3">
        <v>91711</v>
      </c>
      <c r="E3">
        <v>3</v>
      </c>
      <c r="F3">
        <v>10358994</v>
      </c>
      <c r="G3" t="s">
        <v>914</v>
      </c>
      <c r="H3" t="s">
        <v>113</v>
      </c>
      <c r="I3" s="3">
        <v>0.33333333333333331</v>
      </c>
      <c r="J3" t="s">
        <v>113</v>
      </c>
      <c r="K3" s="3">
        <v>0.33333333333333331</v>
      </c>
      <c r="L3" t="s">
        <v>113</v>
      </c>
      <c r="M3" s="3">
        <v>0.33333333333333331</v>
      </c>
      <c r="N3" t="s">
        <v>113</v>
      </c>
      <c r="O3" s="3">
        <v>0.33333333333333331</v>
      </c>
      <c r="P3" t="s">
        <v>113</v>
      </c>
      <c r="Q3" s="3">
        <v>0.33333333333333331</v>
      </c>
      <c r="R3" t="b">
        <v>1</v>
      </c>
      <c r="S3" t="s">
        <v>1493</v>
      </c>
    </row>
    <row r="4" spans="1:19" x14ac:dyDescent="0.2">
      <c r="A4">
        <v>2</v>
      </c>
      <c r="B4" t="s">
        <v>1185</v>
      </c>
      <c r="C4" t="s">
        <v>1494</v>
      </c>
      <c r="D4">
        <v>91711</v>
      </c>
      <c r="E4">
        <v>0.5</v>
      </c>
      <c r="F4">
        <v>103713662</v>
      </c>
      <c r="G4" t="s">
        <v>1495</v>
      </c>
      <c r="H4" t="s">
        <v>92</v>
      </c>
      <c r="I4" s="3">
        <v>0.3125</v>
      </c>
      <c r="J4" t="s">
        <v>92</v>
      </c>
      <c r="K4" s="3">
        <v>0.3125</v>
      </c>
      <c r="L4" t="s">
        <v>92</v>
      </c>
      <c r="M4" s="3">
        <v>0.3125</v>
      </c>
      <c r="N4" t="s">
        <v>92</v>
      </c>
      <c r="O4" s="3">
        <v>0.3125</v>
      </c>
      <c r="P4" t="s">
        <v>92</v>
      </c>
      <c r="Q4" s="3">
        <v>0.3125</v>
      </c>
      <c r="R4" t="b">
        <v>1</v>
      </c>
      <c r="S4" t="s">
        <v>1496</v>
      </c>
    </row>
    <row r="5" spans="1:19" hidden="1" x14ac:dyDescent="0.2">
      <c r="A5">
        <v>3</v>
      </c>
      <c r="B5" t="s">
        <v>1011</v>
      </c>
      <c r="C5" t="s">
        <v>1012</v>
      </c>
      <c r="D5">
        <v>91750</v>
      </c>
      <c r="E5">
        <v>3.5</v>
      </c>
      <c r="F5">
        <v>10370551</v>
      </c>
      <c r="G5" t="s">
        <v>919</v>
      </c>
      <c r="H5" t="s">
        <v>202</v>
      </c>
      <c r="I5" s="3">
        <v>0.25</v>
      </c>
      <c r="J5" t="s">
        <v>113</v>
      </c>
      <c r="K5" s="3">
        <v>0.33333333333333331</v>
      </c>
      <c r="L5" t="s">
        <v>113</v>
      </c>
      <c r="M5" s="3">
        <v>0.33333333333333331</v>
      </c>
      <c r="N5" t="s">
        <v>113</v>
      </c>
      <c r="O5" s="3">
        <v>0.33333333333333331</v>
      </c>
      <c r="P5" t="s">
        <v>113</v>
      </c>
      <c r="Q5" s="3">
        <v>0.33333333333333331</v>
      </c>
      <c r="R5" t="b">
        <v>1</v>
      </c>
      <c r="S5" t="s">
        <v>1497</v>
      </c>
    </row>
    <row r="6" spans="1:19" x14ac:dyDescent="0.2">
      <c r="A6">
        <v>4</v>
      </c>
      <c r="B6" t="s">
        <v>792</v>
      </c>
      <c r="C6" t="s">
        <v>1498</v>
      </c>
      <c r="D6">
        <v>91104</v>
      </c>
      <c r="E6">
        <v>27</v>
      </c>
      <c r="F6">
        <v>10213597</v>
      </c>
      <c r="G6" t="s">
        <v>1495</v>
      </c>
      <c r="H6" t="s">
        <v>1016</v>
      </c>
      <c r="I6" s="3">
        <v>0.33333333333333331</v>
      </c>
      <c r="J6" t="s">
        <v>1016</v>
      </c>
      <c r="K6" s="3">
        <v>0.375</v>
      </c>
      <c r="L6" t="s">
        <v>1016</v>
      </c>
      <c r="M6" s="3">
        <v>0.35416666666666669</v>
      </c>
      <c r="N6" t="s">
        <v>933</v>
      </c>
      <c r="O6" s="3">
        <v>0.45833333333333331</v>
      </c>
      <c r="P6" t="s">
        <v>1016</v>
      </c>
      <c r="Q6" s="3">
        <v>0.375</v>
      </c>
      <c r="R6" t="b">
        <v>1</v>
      </c>
      <c r="S6" t="s">
        <v>1499</v>
      </c>
    </row>
    <row r="7" spans="1:19" hidden="1" x14ac:dyDescent="0.2">
      <c r="A7">
        <v>5</v>
      </c>
      <c r="B7" t="s">
        <v>1204</v>
      </c>
      <c r="C7" t="s">
        <v>1205</v>
      </c>
      <c r="D7">
        <v>91761</v>
      </c>
      <c r="E7">
        <v>17</v>
      </c>
      <c r="F7">
        <v>10308283</v>
      </c>
      <c r="G7" t="s">
        <v>914</v>
      </c>
      <c r="H7" t="s">
        <v>113</v>
      </c>
      <c r="I7" s="3">
        <v>0.33333333333333331</v>
      </c>
      <c r="J7" t="s">
        <v>113</v>
      </c>
      <c r="K7" s="3">
        <v>0.33333333333333331</v>
      </c>
      <c r="L7" t="s">
        <v>113</v>
      </c>
      <c r="M7" s="3">
        <v>0.33333333333333331</v>
      </c>
      <c r="N7" t="s">
        <v>113</v>
      </c>
      <c r="O7" s="3">
        <v>0.33333333333333331</v>
      </c>
      <c r="P7" t="s">
        <v>113</v>
      </c>
      <c r="Q7" s="3">
        <v>0.33333333333333331</v>
      </c>
      <c r="R7" t="b">
        <v>1</v>
      </c>
      <c r="S7" t="s">
        <v>1500</v>
      </c>
    </row>
    <row r="8" spans="1:19" hidden="1" x14ac:dyDescent="0.2">
      <c r="A8">
        <v>6</v>
      </c>
      <c r="B8" t="s">
        <v>928</v>
      </c>
      <c r="C8" t="s">
        <v>411</v>
      </c>
      <c r="D8">
        <v>91786</v>
      </c>
      <c r="E8">
        <v>0.9</v>
      </c>
      <c r="F8">
        <v>10357621</v>
      </c>
      <c r="G8" t="s">
        <v>914</v>
      </c>
      <c r="H8" t="s">
        <v>113</v>
      </c>
      <c r="I8" s="3">
        <v>0.35416666666666669</v>
      </c>
      <c r="J8" t="s">
        <v>113</v>
      </c>
      <c r="K8" s="3">
        <v>0.35416666666666669</v>
      </c>
      <c r="L8" t="s">
        <v>113</v>
      </c>
      <c r="M8" s="3">
        <v>0.35416666666666669</v>
      </c>
      <c r="N8" t="s">
        <v>108</v>
      </c>
      <c r="O8" s="3">
        <v>0.35416666666666669</v>
      </c>
      <c r="P8" t="s">
        <v>92</v>
      </c>
      <c r="Q8" s="3">
        <v>0.35416666666666669</v>
      </c>
      <c r="R8" t="b">
        <v>1</v>
      </c>
      <c r="S8" t="s">
        <v>1501</v>
      </c>
    </row>
    <row r="9" spans="1:19" hidden="1" x14ac:dyDescent="0.2">
      <c r="A9">
        <v>7</v>
      </c>
      <c r="B9" t="s">
        <v>514</v>
      </c>
      <c r="C9" t="s">
        <v>513</v>
      </c>
      <c r="D9">
        <v>91767</v>
      </c>
      <c r="E9">
        <v>2</v>
      </c>
      <c r="F9">
        <v>10345269</v>
      </c>
      <c r="G9" t="s">
        <v>914</v>
      </c>
      <c r="H9" t="s">
        <v>113</v>
      </c>
      <c r="I9" s="3">
        <v>0.33333333333333331</v>
      </c>
      <c r="J9" t="s">
        <v>113</v>
      </c>
      <c r="K9" s="3">
        <v>0.33333333333333331</v>
      </c>
      <c r="L9" t="s">
        <v>113</v>
      </c>
      <c r="M9" s="3">
        <v>0.33333333333333331</v>
      </c>
      <c r="N9" t="s">
        <v>113</v>
      </c>
      <c r="O9" s="3">
        <v>0.33333333333333331</v>
      </c>
      <c r="P9" t="s">
        <v>113</v>
      </c>
      <c r="Q9" s="3">
        <v>0.33333333333333331</v>
      </c>
      <c r="R9" t="b">
        <v>1</v>
      </c>
      <c r="S9" t="s">
        <v>1502</v>
      </c>
    </row>
    <row r="10" spans="1:19" x14ac:dyDescent="0.2">
      <c r="A10">
        <v>8</v>
      </c>
      <c r="B10" t="s">
        <v>1503</v>
      </c>
      <c r="C10" t="s">
        <v>1504</v>
      </c>
      <c r="D10">
        <v>91711</v>
      </c>
      <c r="E10">
        <v>1</v>
      </c>
      <c r="F10">
        <v>100131171</v>
      </c>
      <c r="G10" t="s">
        <v>1495</v>
      </c>
      <c r="H10" t="s">
        <v>92</v>
      </c>
      <c r="I10" s="3">
        <v>0.35416666666666669</v>
      </c>
      <c r="J10" t="s">
        <v>92</v>
      </c>
      <c r="K10" s="3">
        <v>0.35416666666666669</v>
      </c>
      <c r="L10" t="s">
        <v>92</v>
      </c>
      <c r="M10" s="3">
        <v>0.35416666666666669</v>
      </c>
      <c r="N10" t="s">
        <v>92</v>
      </c>
      <c r="O10" s="3">
        <v>0.35416666666666669</v>
      </c>
      <c r="P10" t="s">
        <v>92</v>
      </c>
      <c r="Q10" s="3">
        <v>0.35416666666666669</v>
      </c>
      <c r="R10" t="b">
        <v>1</v>
      </c>
      <c r="S10" t="s">
        <v>1505</v>
      </c>
    </row>
    <row r="11" spans="1:19" hidden="1" x14ac:dyDescent="0.2">
      <c r="A11">
        <v>9</v>
      </c>
      <c r="B11" t="s">
        <v>285</v>
      </c>
      <c r="C11" t="s">
        <v>284</v>
      </c>
      <c r="D11">
        <v>91711</v>
      </c>
      <c r="E11">
        <v>3.5</v>
      </c>
      <c r="F11">
        <v>10370204</v>
      </c>
      <c r="G11" t="s">
        <v>914</v>
      </c>
      <c r="H11" t="s">
        <v>74</v>
      </c>
      <c r="I11" s="3">
        <v>0.33333333333333331</v>
      </c>
      <c r="J11" t="s">
        <v>74</v>
      </c>
      <c r="K11" s="3">
        <v>0.33333333333333331</v>
      </c>
      <c r="L11" t="s">
        <v>74</v>
      </c>
      <c r="M11" s="3">
        <v>0.33333333333333331</v>
      </c>
      <c r="N11" t="s">
        <v>74</v>
      </c>
      <c r="O11" s="3">
        <v>0.33333333333333331</v>
      </c>
      <c r="P11" t="s">
        <v>74</v>
      </c>
      <c r="Q11" s="3">
        <v>0.33333333333333331</v>
      </c>
      <c r="R11" t="b">
        <v>1</v>
      </c>
      <c r="S11" t="s">
        <v>1506</v>
      </c>
    </row>
    <row r="12" spans="1:19" hidden="1" x14ac:dyDescent="0.2">
      <c r="A12">
        <v>10</v>
      </c>
      <c r="B12" t="s">
        <v>433</v>
      </c>
      <c r="C12" t="s">
        <v>432</v>
      </c>
      <c r="D12">
        <v>91737</v>
      </c>
      <c r="E12">
        <v>10</v>
      </c>
      <c r="F12" t="s">
        <v>1121</v>
      </c>
      <c r="G12" t="s">
        <v>914</v>
      </c>
      <c r="H12" t="s">
        <v>113</v>
      </c>
      <c r="I12" s="3">
        <v>0.29166666666666669</v>
      </c>
      <c r="J12" t="s">
        <v>108</v>
      </c>
      <c r="K12" s="3">
        <v>0.29166666666666669</v>
      </c>
      <c r="L12" t="s">
        <v>113</v>
      </c>
      <c r="M12" s="3">
        <v>0.29166666666666669</v>
      </c>
      <c r="N12" t="s">
        <v>113</v>
      </c>
      <c r="O12" s="3">
        <v>0.29166666666666669</v>
      </c>
      <c r="P12" t="s">
        <v>108</v>
      </c>
      <c r="Q12" s="3">
        <v>0.29166666666666669</v>
      </c>
      <c r="R12" t="b">
        <v>1</v>
      </c>
      <c r="S12" t="s">
        <v>1507</v>
      </c>
    </row>
    <row r="13" spans="1:19" hidden="1" x14ac:dyDescent="0.2">
      <c r="A13">
        <v>11</v>
      </c>
      <c r="B13" t="s">
        <v>573</v>
      </c>
      <c r="C13" t="s">
        <v>1017</v>
      </c>
      <c r="D13">
        <v>91767</v>
      </c>
      <c r="E13">
        <v>4</v>
      </c>
      <c r="F13">
        <v>103697231</v>
      </c>
      <c r="G13" t="s">
        <v>914</v>
      </c>
      <c r="H13" t="s">
        <v>113</v>
      </c>
      <c r="I13" s="3">
        <v>0.33333333333333331</v>
      </c>
      <c r="J13" t="s">
        <v>113</v>
      </c>
      <c r="K13" s="3">
        <v>0.33333333333333331</v>
      </c>
      <c r="L13" t="s">
        <v>113</v>
      </c>
      <c r="M13" s="3">
        <v>0.33333333333333331</v>
      </c>
      <c r="N13" t="s">
        <v>113</v>
      </c>
      <c r="O13" s="3">
        <v>0.33333333333333331</v>
      </c>
      <c r="P13" t="s">
        <v>113</v>
      </c>
      <c r="Q13" s="3">
        <v>0.33333333333333331</v>
      </c>
      <c r="R13" t="b">
        <v>1</v>
      </c>
      <c r="S13" t="s">
        <v>1508</v>
      </c>
    </row>
    <row r="14" spans="1:19" x14ac:dyDescent="0.2">
      <c r="A14">
        <v>12</v>
      </c>
      <c r="B14" t="s">
        <v>1509</v>
      </c>
      <c r="C14" t="s">
        <v>1510</v>
      </c>
      <c r="D14">
        <v>91711</v>
      </c>
      <c r="E14">
        <v>1.2</v>
      </c>
      <c r="F14">
        <v>10030143</v>
      </c>
      <c r="G14" t="s">
        <v>1495</v>
      </c>
      <c r="H14" t="s">
        <v>92</v>
      </c>
      <c r="I14" s="3">
        <v>0.33333333333333331</v>
      </c>
      <c r="J14" t="s">
        <v>92</v>
      </c>
      <c r="K14" s="3">
        <v>0.33333333333333331</v>
      </c>
      <c r="L14" t="s">
        <v>92</v>
      </c>
      <c r="M14" s="3">
        <v>0.33333333333333331</v>
      </c>
      <c r="N14" t="s">
        <v>92</v>
      </c>
      <c r="O14" s="3">
        <v>0.33333333333333331</v>
      </c>
      <c r="P14" t="s">
        <v>92</v>
      </c>
      <c r="Q14" s="3">
        <v>0.33333333333333331</v>
      </c>
      <c r="R14" t="b">
        <v>1</v>
      </c>
      <c r="S14" t="s">
        <v>1511</v>
      </c>
    </row>
    <row r="15" spans="1:19" hidden="1" x14ac:dyDescent="0.2">
      <c r="A15">
        <v>13</v>
      </c>
      <c r="B15" t="s">
        <v>803</v>
      </c>
      <c r="C15" t="s">
        <v>1143</v>
      </c>
      <c r="D15">
        <v>91737</v>
      </c>
      <c r="E15">
        <v>11.5</v>
      </c>
      <c r="F15">
        <v>10043135</v>
      </c>
      <c r="G15" t="s">
        <v>914</v>
      </c>
      <c r="H15" t="s">
        <v>113</v>
      </c>
      <c r="I15" s="3">
        <v>0.3125</v>
      </c>
      <c r="J15" t="s">
        <v>113</v>
      </c>
      <c r="K15" s="3">
        <v>0.3125</v>
      </c>
      <c r="L15" t="s">
        <v>113</v>
      </c>
      <c r="M15" s="3">
        <v>0.3125</v>
      </c>
      <c r="N15" t="s">
        <v>113</v>
      </c>
      <c r="O15" s="3">
        <v>0.3125</v>
      </c>
      <c r="P15" t="s">
        <v>103</v>
      </c>
      <c r="Q15" s="3">
        <v>0.3125</v>
      </c>
      <c r="R15" t="b">
        <v>1</v>
      </c>
      <c r="S15" t="s">
        <v>1511</v>
      </c>
    </row>
    <row r="16" spans="1:19" hidden="1" x14ac:dyDescent="0.2">
      <c r="A16">
        <v>14</v>
      </c>
      <c r="B16" t="s">
        <v>424</v>
      </c>
      <c r="C16" t="s">
        <v>423</v>
      </c>
      <c r="D16">
        <v>90065</v>
      </c>
      <c r="E16">
        <v>35</v>
      </c>
      <c r="F16">
        <v>10240226</v>
      </c>
      <c r="G16" t="s">
        <v>914</v>
      </c>
      <c r="H16" t="s">
        <v>74</v>
      </c>
      <c r="I16" s="3">
        <v>0.375</v>
      </c>
      <c r="J16" t="s">
        <v>103</v>
      </c>
      <c r="K16" s="3">
        <v>0.375</v>
      </c>
      <c r="L16" t="s">
        <v>74</v>
      </c>
      <c r="M16" s="3">
        <v>0.375</v>
      </c>
      <c r="N16" t="s">
        <v>74</v>
      </c>
      <c r="O16" s="3">
        <v>0.375</v>
      </c>
      <c r="P16" t="s">
        <v>74</v>
      </c>
      <c r="Q16" s="3">
        <v>0.375</v>
      </c>
      <c r="R16" t="b">
        <v>1</v>
      </c>
      <c r="S16" t="s">
        <v>1512</v>
      </c>
    </row>
    <row r="17" spans="1:19" hidden="1" x14ac:dyDescent="0.2">
      <c r="A17">
        <v>15</v>
      </c>
      <c r="B17" t="s">
        <v>339</v>
      </c>
      <c r="C17" t="s">
        <v>336</v>
      </c>
      <c r="D17">
        <v>91739</v>
      </c>
      <c r="E17">
        <v>14.1</v>
      </c>
      <c r="F17">
        <v>103722461</v>
      </c>
      <c r="G17" t="s">
        <v>914</v>
      </c>
      <c r="H17" t="s">
        <v>74</v>
      </c>
      <c r="I17" s="3">
        <v>0.35416666666666669</v>
      </c>
      <c r="J17" t="s">
        <v>103</v>
      </c>
      <c r="K17" s="3">
        <v>0.33333333333333331</v>
      </c>
      <c r="L17" t="s">
        <v>74</v>
      </c>
      <c r="M17" s="3">
        <v>0.35416666666666669</v>
      </c>
      <c r="N17" t="s">
        <v>103</v>
      </c>
      <c r="O17" s="3">
        <v>0.33333333333333331</v>
      </c>
      <c r="P17" t="s">
        <v>74</v>
      </c>
      <c r="Q17" s="3">
        <v>0.35416666666666669</v>
      </c>
      <c r="R17" t="b">
        <v>1</v>
      </c>
      <c r="S17" t="s">
        <v>1513</v>
      </c>
    </row>
    <row r="18" spans="1:19" hidden="1" x14ac:dyDescent="0.2">
      <c r="A18">
        <v>16</v>
      </c>
      <c r="B18" t="s">
        <v>695</v>
      </c>
      <c r="C18" t="s">
        <v>694</v>
      </c>
      <c r="D18">
        <v>91711</v>
      </c>
      <c r="E18">
        <v>2.6</v>
      </c>
      <c r="F18">
        <v>10373100</v>
      </c>
      <c r="G18" t="s">
        <v>914</v>
      </c>
      <c r="H18" t="s">
        <v>103</v>
      </c>
      <c r="I18" s="3">
        <v>0.33333333333333331</v>
      </c>
      <c r="J18" t="s">
        <v>113</v>
      </c>
      <c r="K18" s="3">
        <v>0.33333333333333331</v>
      </c>
      <c r="L18" t="s">
        <v>113</v>
      </c>
      <c r="M18" s="3">
        <v>0.33333333333333331</v>
      </c>
      <c r="N18" t="s">
        <v>103</v>
      </c>
      <c r="O18" s="3">
        <v>0.33333333333333331</v>
      </c>
      <c r="P18" t="s">
        <v>113</v>
      </c>
      <c r="Q18" s="3">
        <v>0.33333333333333331</v>
      </c>
      <c r="R18" t="b">
        <v>1</v>
      </c>
      <c r="S18" t="s">
        <v>1514</v>
      </c>
    </row>
    <row r="19" spans="1:19" hidden="1" x14ac:dyDescent="0.2">
      <c r="A19">
        <v>17</v>
      </c>
      <c r="B19" t="s">
        <v>981</v>
      </c>
      <c r="C19" t="s">
        <v>982</v>
      </c>
      <c r="D19">
        <v>91768</v>
      </c>
      <c r="E19">
        <v>3</v>
      </c>
      <c r="F19">
        <v>10370217</v>
      </c>
      <c r="G19" t="s">
        <v>914</v>
      </c>
      <c r="H19" t="s">
        <v>113</v>
      </c>
      <c r="I19" s="3">
        <v>0.33333333333333331</v>
      </c>
      <c r="J19" t="s">
        <v>113</v>
      </c>
      <c r="K19" s="3">
        <v>0.33333333333333331</v>
      </c>
      <c r="L19" t="s">
        <v>113</v>
      </c>
      <c r="M19" s="3">
        <v>0.33333333333333331</v>
      </c>
      <c r="N19" t="s">
        <v>113</v>
      </c>
      <c r="O19" s="3">
        <v>0.33333333333333331</v>
      </c>
      <c r="P19" t="s">
        <v>103</v>
      </c>
      <c r="Q19" s="3">
        <v>0.33333333333333331</v>
      </c>
      <c r="R19" t="b">
        <v>1</v>
      </c>
      <c r="S19" t="s">
        <v>1515</v>
      </c>
    </row>
    <row r="20" spans="1:19" x14ac:dyDescent="0.2">
      <c r="A20">
        <v>18</v>
      </c>
      <c r="B20" t="s">
        <v>869</v>
      </c>
      <c r="C20" t="s">
        <v>1379</v>
      </c>
      <c r="D20">
        <v>91767</v>
      </c>
      <c r="E20">
        <v>4.25</v>
      </c>
      <c r="F20">
        <v>100980532</v>
      </c>
      <c r="G20" t="s">
        <v>1495</v>
      </c>
      <c r="H20" t="s">
        <v>103</v>
      </c>
      <c r="I20" s="3">
        <v>0.33333333333333331</v>
      </c>
      <c r="J20" t="s">
        <v>113</v>
      </c>
      <c r="K20" s="3">
        <v>0.39583333333333331</v>
      </c>
      <c r="L20" t="s">
        <v>113</v>
      </c>
      <c r="M20" s="3">
        <v>0.375</v>
      </c>
      <c r="N20" t="s">
        <v>103</v>
      </c>
      <c r="O20" s="3">
        <v>0.33333333333333331</v>
      </c>
      <c r="P20" t="s">
        <v>113</v>
      </c>
      <c r="Q20" s="3">
        <v>0.39583333333333331</v>
      </c>
      <c r="R20" t="b">
        <v>1</v>
      </c>
      <c r="S20" t="s">
        <v>1516</v>
      </c>
    </row>
    <row r="21" spans="1:19" hidden="1" x14ac:dyDescent="0.2">
      <c r="A21">
        <v>19</v>
      </c>
      <c r="B21" t="s">
        <v>569</v>
      </c>
      <c r="C21" t="s">
        <v>568</v>
      </c>
      <c r="D21">
        <v>91711</v>
      </c>
      <c r="E21">
        <v>26</v>
      </c>
      <c r="F21">
        <v>10163419</v>
      </c>
      <c r="G21" t="s">
        <v>914</v>
      </c>
      <c r="H21" t="s">
        <v>113</v>
      </c>
      <c r="I21" s="3">
        <v>0.33333333333333331</v>
      </c>
      <c r="J21" t="s">
        <v>113</v>
      </c>
      <c r="K21" s="3">
        <v>0.33333333333333331</v>
      </c>
      <c r="L21" t="s">
        <v>113</v>
      </c>
      <c r="M21" s="3">
        <v>0.33333333333333331</v>
      </c>
      <c r="N21" t="s">
        <v>113</v>
      </c>
      <c r="O21" s="3">
        <v>0.33333333333333331</v>
      </c>
      <c r="P21" t="s">
        <v>113</v>
      </c>
      <c r="Q21" s="3">
        <v>0.33333333333333331</v>
      </c>
      <c r="R21" t="b">
        <v>1</v>
      </c>
      <c r="S21" t="s">
        <v>1517</v>
      </c>
    </row>
    <row r="22" spans="1:19" hidden="1" x14ac:dyDescent="0.2">
      <c r="A22">
        <v>20</v>
      </c>
      <c r="B22" t="s">
        <v>1274</v>
      </c>
      <c r="C22" t="s">
        <v>856</v>
      </c>
      <c r="D22">
        <v>91101</v>
      </c>
      <c r="E22">
        <v>30</v>
      </c>
      <c r="F22">
        <v>10373128</v>
      </c>
      <c r="G22" t="s">
        <v>914</v>
      </c>
      <c r="H22" t="s">
        <v>103</v>
      </c>
      <c r="I22" s="3">
        <v>0.33333333333333331</v>
      </c>
      <c r="J22" t="s">
        <v>74</v>
      </c>
      <c r="K22" s="3">
        <v>0.33333333333333331</v>
      </c>
      <c r="L22" t="s">
        <v>74</v>
      </c>
      <c r="M22" s="3">
        <v>0.33333333333333331</v>
      </c>
      <c r="N22" t="s">
        <v>103</v>
      </c>
      <c r="O22" s="3">
        <v>0.33333333333333331</v>
      </c>
      <c r="P22" t="s">
        <v>74</v>
      </c>
      <c r="Q22" s="3">
        <v>0.33333333333333331</v>
      </c>
      <c r="R22" t="b">
        <v>1</v>
      </c>
      <c r="S22" t="s">
        <v>1518</v>
      </c>
    </row>
    <row r="23" spans="1:19" hidden="1" x14ac:dyDescent="0.2">
      <c r="A23">
        <v>21</v>
      </c>
      <c r="B23" t="s">
        <v>576</v>
      </c>
      <c r="C23" t="s">
        <v>572</v>
      </c>
      <c r="D23">
        <v>93505</v>
      </c>
      <c r="E23">
        <v>120</v>
      </c>
      <c r="F23">
        <v>10043435</v>
      </c>
      <c r="G23" t="s">
        <v>914</v>
      </c>
      <c r="H23" t="s">
        <v>113</v>
      </c>
      <c r="I23" s="3">
        <v>0.33333333333333331</v>
      </c>
      <c r="J23" t="s">
        <v>113</v>
      </c>
      <c r="K23" s="3">
        <v>0.33333333333333331</v>
      </c>
      <c r="L23" t="s">
        <v>113</v>
      </c>
      <c r="M23" s="3">
        <v>0.33333333333333331</v>
      </c>
      <c r="N23" t="s">
        <v>113</v>
      </c>
      <c r="O23" s="3">
        <v>0.33333333333333331</v>
      </c>
      <c r="P23" t="s">
        <v>113</v>
      </c>
      <c r="Q23" s="3">
        <v>0.33333333333333331</v>
      </c>
      <c r="R23" t="b">
        <v>1</v>
      </c>
      <c r="S23" t="s">
        <v>1519</v>
      </c>
    </row>
    <row r="24" spans="1:19" hidden="1" x14ac:dyDescent="0.2">
      <c r="A24">
        <v>22</v>
      </c>
      <c r="B24" t="s">
        <v>1243</v>
      </c>
      <c r="C24" t="s">
        <v>200</v>
      </c>
      <c r="D24">
        <v>90603</v>
      </c>
      <c r="E24">
        <v>24</v>
      </c>
      <c r="F24">
        <v>103492297</v>
      </c>
      <c r="G24" t="s">
        <v>914</v>
      </c>
      <c r="H24" t="s">
        <v>103</v>
      </c>
      <c r="I24" s="3">
        <v>0.33333333333333331</v>
      </c>
      <c r="J24" t="s">
        <v>113</v>
      </c>
      <c r="K24" s="3">
        <v>0.33333333333333331</v>
      </c>
      <c r="L24" t="s">
        <v>103</v>
      </c>
      <c r="M24" s="3">
        <v>0.33333333333333331</v>
      </c>
      <c r="N24" t="s">
        <v>113</v>
      </c>
      <c r="O24" s="3">
        <v>0.33333333333333331</v>
      </c>
      <c r="P24" t="s">
        <v>113</v>
      </c>
      <c r="Q24" s="3">
        <v>0.33333333333333331</v>
      </c>
      <c r="R24" t="b">
        <v>1</v>
      </c>
      <c r="S24" t="s">
        <v>1520</v>
      </c>
    </row>
    <row r="25" spans="1:19" x14ac:dyDescent="0.2">
      <c r="A25">
        <v>23</v>
      </c>
      <c r="B25" t="s">
        <v>88</v>
      </c>
      <c r="C25" t="s">
        <v>1521</v>
      </c>
      <c r="D25">
        <v>91711</v>
      </c>
      <c r="E25">
        <v>2.25</v>
      </c>
      <c r="F25">
        <v>101799741</v>
      </c>
      <c r="G25" t="s">
        <v>1495</v>
      </c>
      <c r="H25" t="s">
        <v>98</v>
      </c>
      <c r="I25" s="3">
        <v>0.3125</v>
      </c>
      <c r="J25" t="s">
        <v>98</v>
      </c>
      <c r="K25" s="3">
        <v>0.3125</v>
      </c>
      <c r="L25" t="s">
        <v>98</v>
      </c>
      <c r="M25" s="3">
        <v>0.3125</v>
      </c>
      <c r="N25" t="s">
        <v>98</v>
      </c>
      <c r="O25" s="3">
        <v>0.3125</v>
      </c>
      <c r="P25" t="s">
        <v>98</v>
      </c>
      <c r="Q25" s="3">
        <v>0.3125</v>
      </c>
      <c r="R25" t="b">
        <v>1</v>
      </c>
      <c r="S25" t="s">
        <v>1522</v>
      </c>
    </row>
    <row r="26" spans="1:19" hidden="1" x14ac:dyDescent="0.2">
      <c r="A26">
        <v>24</v>
      </c>
      <c r="B26" t="s">
        <v>740</v>
      </c>
      <c r="C26" t="s">
        <v>738</v>
      </c>
      <c r="D26">
        <v>91773</v>
      </c>
      <c r="E26">
        <v>8.5</v>
      </c>
      <c r="F26">
        <v>103730571</v>
      </c>
      <c r="G26" t="s">
        <v>914</v>
      </c>
      <c r="H26" t="s">
        <v>113</v>
      </c>
      <c r="I26" s="3">
        <v>0.33333333333333331</v>
      </c>
      <c r="J26" t="s">
        <v>113</v>
      </c>
      <c r="K26" s="3">
        <v>0.33333333333333331</v>
      </c>
      <c r="L26" t="s">
        <v>113</v>
      </c>
      <c r="M26" s="3">
        <v>0.33333333333333331</v>
      </c>
      <c r="N26" t="s">
        <v>113</v>
      </c>
      <c r="O26" s="3">
        <v>0.33333333333333331</v>
      </c>
      <c r="P26" t="s">
        <v>113</v>
      </c>
      <c r="Q26" s="3">
        <v>0.33333333333333331</v>
      </c>
      <c r="R26" t="b">
        <v>1</v>
      </c>
      <c r="S26" t="s">
        <v>1523</v>
      </c>
    </row>
    <row r="27" spans="1:19" x14ac:dyDescent="0.2">
      <c r="A27">
        <v>25</v>
      </c>
      <c r="B27" t="s">
        <v>1350</v>
      </c>
      <c r="C27" t="s">
        <v>1524</v>
      </c>
      <c r="D27">
        <v>91711</v>
      </c>
      <c r="E27">
        <v>1</v>
      </c>
      <c r="F27">
        <v>103544851</v>
      </c>
      <c r="G27" t="s">
        <v>1495</v>
      </c>
      <c r="H27" t="s">
        <v>92</v>
      </c>
      <c r="I27" s="3">
        <v>0.375</v>
      </c>
      <c r="J27" t="s">
        <v>92</v>
      </c>
      <c r="K27" s="3">
        <v>0.375</v>
      </c>
      <c r="L27" t="s">
        <v>92</v>
      </c>
      <c r="M27" s="3">
        <v>0.375</v>
      </c>
      <c r="N27" t="s">
        <v>92</v>
      </c>
      <c r="O27" s="3">
        <v>0.375</v>
      </c>
      <c r="P27" t="s">
        <v>92</v>
      </c>
      <c r="Q27" s="3">
        <v>0.375</v>
      </c>
      <c r="R27" t="b">
        <v>1</v>
      </c>
      <c r="S27" t="s">
        <v>1525</v>
      </c>
    </row>
    <row r="28" spans="1:19" hidden="1" x14ac:dyDescent="0.2">
      <c r="A28">
        <v>26</v>
      </c>
      <c r="B28" t="s">
        <v>1070</v>
      </c>
      <c r="C28" t="s">
        <v>1071</v>
      </c>
      <c r="D28">
        <v>91730</v>
      </c>
      <c r="E28">
        <v>7</v>
      </c>
      <c r="F28">
        <v>10089053</v>
      </c>
      <c r="G28" t="s">
        <v>914</v>
      </c>
      <c r="H28" t="s">
        <v>113</v>
      </c>
      <c r="I28" s="3">
        <v>0.33333333333333331</v>
      </c>
      <c r="J28" t="s">
        <v>113</v>
      </c>
      <c r="K28" s="3">
        <v>0.33333333333333331</v>
      </c>
      <c r="L28" t="s">
        <v>113</v>
      </c>
      <c r="M28" s="3">
        <v>0.33333333333333331</v>
      </c>
      <c r="N28" t="s">
        <v>113</v>
      </c>
      <c r="O28" s="3">
        <v>0.33333333333333331</v>
      </c>
      <c r="P28" t="s">
        <v>113</v>
      </c>
      <c r="Q28" s="3">
        <v>0.33333333333333331</v>
      </c>
      <c r="R28" t="b">
        <v>1</v>
      </c>
      <c r="S28" t="s">
        <v>1526</v>
      </c>
    </row>
    <row r="29" spans="1:19" hidden="1" x14ac:dyDescent="0.2">
      <c r="A29">
        <v>27</v>
      </c>
      <c r="B29" t="s">
        <v>1193</v>
      </c>
      <c r="C29" t="s">
        <v>1194</v>
      </c>
      <c r="D29">
        <v>92336</v>
      </c>
      <c r="E29">
        <v>16</v>
      </c>
      <c r="F29">
        <v>10351444</v>
      </c>
      <c r="G29" t="s">
        <v>914</v>
      </c>
      <c r="H29" t="s">
        <v>113</v>
      </c>
      <c r="I29" s="3">
        <v>0.33333333333333331</v>
      </c>
      <c r="J29" t="s">
        <v>113</v>
      </c>
      <c r="K29" s="3">
        <v>0.33333333333333331</v>
      </c>
      <c r="L29" t="s">
        <v>113</v>
      </c>
      <c r="M29" s="3">
        <v>0.33333333333333331</v>
      </c>
      <c r="N29" t="s">
        <v>113</v>
      </c>
      <c r="O29" s="3">
        <v>0.33333333333333331</v>
      </c>
      <c r="P29" t="s">
        <v>113</v>
      </c>
      <c r="Q29" s="3">
        <v>0.33333333333333331</v>
      </c>
      <c r="R29" t="b">
        <v>1</v>
      </c>
      <c r="S29" t="s">
        <v>1527</v>
      </c>
    </row>
    <row r="30" spans="1:19" hidden="1" x14ac:dyDescent="0.2">
      <c r="A30">
        <v>28</v>
      </c>
      <c r="B30" t="s">
        <v>951</v>
      </c>
      <c r="C30" t="s">
        <v>952</v>
      </c>
      <c r="D30">
        <v>91711</v>
      </c>
      <c r="E30">
        <v>1.5</v>
      </c>
      <c r="F30">
        <v>102039821</v>
      </c>
      <c r="G30" t="s">
        <v>914</v>
      </c>
      <c r="H30" t="s">
        <v>92</v>
      </c>
      <c r="I30" s="3">
        <v>0.39583333333333331</v>
      </c>
      <c r="J30" t="s">
        <v>113</v>
      </c>
      <c r="K30" s="3">
        <v>0.39583333333333331</v>
      </c>
      <c r="L30" t="s">
        <v>92</v>
      </c>
      <c r="M30" s="3">
        <v>0.39583333333333331</v>
      </c>
      <c r="N30" t="s">
        <v>113</v>
      </c>
      <c r="O30" s="3">
        <v>0.39583333333333331</v>
      </c>
      <c r="P30" t="s">
        <v>113</v>
      </c>
      <c r="Q30" s="3">
        <v>0.39583333333333331</v>
      </c>
      <c r="R30" t="b">
        <v>1</v>
      </c>
      <c r="S30" t="s">
        <v>1528</v>
      </c>
    </row>
    <row r="31" spans="1:19" hidden="1" x14ac:dyDescent="0.2">
      <c r="A31">
        <v>29</v>
      </c>
      <c r="B31" t="s">
        <v>1293</v>
      </c>
      <c r="C31" t="s">
        <v>1294</v>
      </c>
      <c r="D31">
        <v>91001</v>
      </c>
      <c r="E31">
        <v>35</v>
      </c>
      <c r="F31">
        <v>10366423</v>
      </c>
      <c r="G31" t="s">
        <v>914</v>
      </c>
      <c r="H31" t="s">
        <v>74</v>
      </c>
      <c r="I31" s="3">
        <v>0.375</v>
      </c>
      <c r="J31" t="s">
        <v>74</v>
      </c>
      <c r="K31" s="3">
        <v>0.375</v>
      </c>
      <c r="L31" t="s">
        <v>74</v>
      </c>
      <c r="M31" s="3">
        <v>0.375</v>
      </c>
      <c r="N31" t="s">
        <v>103</v>
      </c>
      <c r="O31" s="3">
        <v>0.35416666666666669</v>
      </c>
      <c r="P31" t="s">
        <v>74</v>
      </c>
      <c r="Q31" s="3">
        <v>0.375</v>
      </c>
      <c r="R31" t="b">
        <v>1</v>
      </c>
      <c r="S31" t="s">
        <v>1529</v>
      </c>
    </row>
    <row r="32" spans="1:19" hidden="1" x14ac:dyDescent="0.2">
      <c r="A32">
        <v>30</v>
      </c>
      <c r="B32" t="s">
        <v>690</v>
      </c>
      <c r="C32" t="s">
        <v>689</v>
      </c>
      <c r="D32">
        <v>91767</v>
      </c>
      <c r="E32">
        <v>3.5</v>
      </c>
      <c r="F32">
        <v>10346409</v>
      </c>
      <c r="G32" t="s">
        <v>914</v>
      </c>
      <c r="H32" t="s">
        <v>74</v>
      </c>
      <c r="I32" s="3">
        <v>0.33333333333333331</v>
      </c>
      <c r="J32" t="s">
        <v>74</v>
      </c>
      <c r="K32" s="3">
        <v>0.33333333333333331</v>
      </c>
      <c r="L32" t="s">
        <v>74</v>
      </c>
      <c r="M32" s="3">
        <v>0.33333333333333331</v>
      </c>
      <c r="N32" t="s">
        <v>74</v>
      </c>
      <c r="O32" s="3">
        <v>0.33333333333333331</v>
      </c>
      <c r="P32" t="s">
        <v>74</v>
      </c>
      <c r="Q32" s="3">
        <v>0.33333333333333331</v>
      </c>
      <c r="R32" t="b">
        <v>1</v>
      </c>
      <c r="S32" t="s">
        <v>1530</v>
      </c>
    </row>
    <row r="33" spans="1:19" hidden="1" x14ac:dyDescent="0.2">
      <c r="A33">
        <v>31</v>
      </c>
      <c r="B33" t="s">
        <v>775</v>
      </c>
      <c r="C33" t="s">
        <v>774</v>
      </c>
      <c r="D33">
        <v>91723</v>
      </c>
      <c r="E33">
        <v>12</v>
      </c>
      <c r="F33">
        <v>103708681</v>
      </c>
      <c r="G33" t="s">
        <v>914</v>
      </c>
      <c r="H33" t="s">
        <v>113</v>
      </c>
      <c r="I33" s="3">
        <v>0.33333333333333331</v>
      </c>
      <c r="J33" t="s">
        <v>113</v>
      </c>
      <c r="K33" s="3">
        <v>0.33333333333333331</v>
      </c>
      <c r="L33" t="s">
        <v>113</v>
      </c>
      <c r="M33" s="3">
        <v>0.33333333333333331</v>
      </c>
      <c r="N33" t="s">
        <v>113</v>
      </c>
      <c r="O33" s="3">
        <v>0.33333333333333331</v>
      </c>
      <c r="P33" t="s">
        <v>113</v>
      </c>
      <c r="Q33" s="3">
        <v>0.33333333333333331</v>
      </c>
      <c r="R33" t="b">
        <v>1</v>
      </c>
      <c r="S33" t="s">
        <v>1531</v>
      </c>
    </row>
    <row r="34" spans="1:19" hidden="1" x14ac:dyDescent="0.2">
      <c r="A34">
        <v>32</v>
      </c>
      <c r="B34" t="s">
        <v>1144</v>
      </c>
      <c r="C34" t="s">
        <v>430</v>
      </c>
      <c r="D34">
        <v>91739</v>
      </c>
      <c r="E34">
        <v>12</v>
      </c>
      <c r="F34">
        <v>10334736</v>
      </c>
      <c r="G34" t="s">
        <v>914</v>
      </c>
      <c r="H34" t="s">
        <v>98</v>
      </c>
      <c r="I34" s="3">
        <v>0.33333333333333331</v>
      </c>
      <c r="J34" t="s">
        <v>98</v>
      </c>
      <c r="K34" s="3">
        <v>0.33333333333333331</v>
      </c>
      <c r="L34" t="s">
        <v>98</v>
      </c>
      <c r="M34" s="3">
        <v>0.33333333333333331</v>
      </c>
      <c r="N34" t="s">
        <v>103</v>
      </c>
      <c r="O34" s="3">
        <v>0.33333333333333331</v>
      </c>
      <c r="P34" t="s">
        <v>103</v>
      </c>
      <c r="Q34" s="3">
        <v>0.33333333333333331</v>
      </c>
      <c r="R34" t="b">
        <v>1</v>
      </c>
      <c r="S34" t="s">
        <v>1532</v>
      </c>
    </row>
    <row r="35" spans="1:19" hidden="1" x14ac:dyDescent="0.2">
      <c r="A35">
        <v>33</v>
      </c>
      <c r="B35" t="s">
        <v>1033</v>
      </c>
      <c r="C35" t="s">
        <v>881</v>
      </c>
      <c r="D35">
        <v>91784</v>
      </c>
      <c r="E35">
        <v>4.5</v>
      </c>
      <c r="F35">
        <v>102488281</v>
      </c>
      <c r="G35" t="s">
        <v>914</v>
      </c>
      <c r="H35" t="s">
        <v>113</v>
      </c>
      <c r="I35" s="3">
        <v>0.33333333333333331</v>
      </c>
      <c r="J35" t="s">
        <v>113</v>
      </c>
      <c r="K35" s="3">
        <v>0.33333333333333331</v>
      </c>
      <c r="L35" t="s">
        <v>113</v>
      </c>
      <c r="M35" s="3">
        <v>0.33333333333333331</v>
      </c>
      <c r="N35" t="s">
        <v>113</v>
      </c>
      <c r="O35" s="3">
        <v>0.33333333333333331</v>
      </c>
      <c r="P35" t="s">
        <v>113</v>
      </c>
      <c r="Q35" s="3">
        <v>0.33333333333333331</v>
      </c>
      <c r="R35" t="b">
        <v>1</v>
      </c>
      <c r="S35" t="s">
        <v>1533</v>
      </c>
    </row>
    <row r="36" spans="1:19" hidden="1" x14ac:dyDescent="0.2">
      <c r="A36">
        <v>34</v>
      </c>
      <c r="B36" t="s">
        <v>95</v>
      </c>
      <c r="C36" t="s">
        <v>94</v>
      </c>
      <c r="D36">
        <v>92373</v>
      </c>
      <c r="E36">
        <v>32</v>
      </c>
      <c r="F36">
        <v>10346405</v>
      </c>
      <c r="G36" t="s">
        <v>914</v>
      </c>
      <c r="H36" t="s">
        <v>85</v>
      </c>
      <c r="I36" s="3">
        <v>0.3125</v>
      </c>
      <c r="J36" t="s">
        <v>85</v>
      </c>
      <c r="K36" s="3">
        <v>0.3125</v>
      </c>
      <c r="L36" t="s">
        <v>85</v>
      </c>
      <c r="M36" s="3">
        <v>0.3125</v>
      </c>
      <c r="N36" t="s">
        <v>85</v>
      </c>
      <c r="O36" s="3">
        <v>0.3125</v>
      </c>
      <c r="P36" t="s">
        <v>103</v>
      </c>
      <c r="Q36" s="3">
        <v>0.3125</v>
      </c>
      <c r="R36" t="b">
        <v>1</v>
      </c>
      <c r="S36" t="s">
        <v>1534</v>
      </c>
    </row>
    <row r="37" spans="1:19" hidden="1" x14ac:dyDescent="0.2">
      <c r="A37">
        <v>35</v>
      </c>
      <c r="B37" t="s">
        <v>266</v>
      </c>
      <c r="C37" t="s">
        <v>265</v>
      </c>
      <c r="D37">
        <v>91711</v>
      </c>
      <c r="E37">
        <v>1</v>
      </c>
      <c r="F37">
        <v>10341303</v>
      </c>
      <c r="G37" t="s">
        <v>914</v>
      </c>
      <c r="H37" t="s">
        <v>113</v>
      </c>
      <c r="I37" s="3">
        <v>0.33333333333333331</v>
      </c>
      <c r="J37" t="s">
        <v>103</v>
      </c>
      <c r="K37" s="3">
        <v>0.33333333333333331</v>
      </c>
      <c r="L37" t="s">
        <v>92</v>
      </c>
      <c r="M37" s="3">
        <v>0.33333333333333331</v>
      </c>
      <c r="N37" t="s">
        <v>113</v>
      </c>
      <c r="O37" s="3">
        <v>0.33333333333333331</v>
      </c>
      <c r="P37" t="s">
        <v>85</v>
      </c>
      <c r="Q37" s="3">
        <v>0.33333333333333331</v>
      </c>
      <c r="R37" t="b">
        <v>1</v>
      </c>
      <c r="S37" t="s">
        <v>1535</v>
      </c>
    </row>
    <row r="38" spans="1:19" hidden="1" x14ac:dyDescent="0.2">
      <c r="A38">
        <v>36</v>
      </c>
      <c r="B38" t="s">
        <v>255</v>
      </c>
      <c r="C38" t="s">
        <v>254</v>
      </c>
      <c r="D38">
        <v>91711</v>
      </c>
      <c r="E38">
        <v>0.5</v>
      </c>
      <c r="F38" t="s">
        <v>920</v>
      </c>
      <c r="G38" t="s">
        <v>914</v>
      </c>
      <c r="H38" t="s">
        <v>92</v>
      </c>
      <c r="I38" s="3">
        <v>0.33333333333333331</v>
      </c>
      <c r="J38" t="s">
        <v>92</v>
      </c>
      <c r="K38" s="3">
        <v>0.33333333333333331</v>
      </c>
      <c r="L38" t="s">
        <v>92</v>
      </c>
      <c r="M38" s="3">
        <v>0.33333333333333331</v>
      </c>
      <c r="N38" t="s">
        <v>92</v>
      </c>
      <c r="O38" s="3">
        <v>0.33333333333333331</v>
      </c>
      <c r="P38" t="s">
        <v>92</v>
      </c>
      <c r="Q38" s="3">
        <v>0.33333333333333331</v>
      </c>
      <c r="R38" t="b">
        <v>1</v>
      </c>
      <c r="S38" t="s">
        <v>1536</v>
      </c>
    </row>
    <row r="39" spans="1:19" hidden="1" x14ac:dyDescent="0.2">
      <c r="A39">
        <v>37</v>
      </c>
      <c r="B39" t="s">
        <v>1018</v>
      </c>
      <c r="C39" t="s">
        <v>1019</v>
      </c>
      <c r="D39">
        <v>91711</v>
      </c>
      <c r="E39">
        <v>4</v>
      </c>
      <c r="F39">
        <v>102897691</v>
      </c>
      <c r="G39" t="s">
        <v>914</v>
      </c>
      <c r="H39" t="s">
        <v>933</v>
      </c>
      <c r="I39" s="3">
        <v>0.35416666666666669</v>
      </c>
      <c r="J39" t="s">
        <v>103</v>
      </c>
      <c r="K39" s="3">
        <v>0.33333333333333331</v>
      </c>
      <c r="L39" t="s">
        <v>74</v>
      </c>
      <c r="M39" s="3">
        <v>0.35416666666666669</v>
      </c>
      <c r="N39" t="s">
        <v>74</v>
      </c>
      <c r="O39" s="3">
        <v>0.35416666666666669</v>
      </c>
      <c r="P39" t="s">
        <v>933</v>
      </c>
      <c r="Q39" s="3">
        <v>0.35416666666666669</v>
      </c>
      <c r="R39" t="b">
        <v>1</v>
      </c>
      <c r="S39" t="s">
        <v>1537</v>
      </c>
    </row>
    <row r="40" spans="1:19" hidden="1" x14ac:dyDescent="0.2">
      <c r="A40">
        <v>38</v>
      </c>
      <c r="B40" t="s">
        <v>609</v>
      </c>
      <c r="C40" t="s">
        <v>394</v>
      </c>
      <c r="D40">
        <v>91709</v>
      </c>
      <c r="E40">
        <v>13</v>
      </c>
      <c r="F40">
        <v>10368544</v>
      </c>
      <c r="G40" t="s">
        <v>914</v>
      </c>
      <c r="H40" t="s">
        <v>113</v>
      </c>
      <c r="I40" s="3">
        <v>0.3125</v>
      </c>
      <c r="J40" t="s">
        <v>113</v>
      </c>
      <c r="K40" s="3">
        <v>0.3125</v>
      </c>
      <c r="L40" t="s">
        <v>113</v>
      </c>
      <c r="M40" s="3">
        <v>0.3125</v>
      </c>
      <c r="N40" t="s">
        <v>113</v>
      </c>
      <c r="O40" s="3">
        <v>0.3125</v>
      </c>
      <c r="P40" t="s">
        <v>113</v>
      </c>
      <c r="Q40" s="3">
        <v>0.3125</v>
      </c>
      <c r="R40" t="b">
        <v>1</v>
      </c>
      <c r="S40" t="s">
        <v>1538</v>
      </c>
    </row>
    <row r="41" spans="1:19" hidden="1" x14ac:dyDescent="0.2">
      <c r="A41">
        <v>39</v>
      </c>
      <c r="B41" t="s">
        <v>342</v>
      </c>
      <c r="C41" t="s">
        <v>341</v>
      </c>
      <c r="D41">
        <v>91105</v>
      </c>
      <c r="E41">
        <v>17</v>
      </c>
      <c r="F41" t="s">
        <v>344</v>
      </c>
      <c r="G41" t="s">
        <v>914</v>
      </c>
      <c r="H41" t="s">
        <v>113</v>
      </c>
      <c r="I41" s="3">
        <v>0.35416666666666669</v>
      </c>
      <c r="J41" t="s">
        <v>113</v>
      </c>
      <c r="K41" s="3">
        <v>0.35416666666666669</v>
      </c>
      <c r="L41" t="s">
        <v>113</v>
      </c>
      <c r="M41" s="3">
        <v>0.35416666666666669</v>
      </c>
      <c r="N41" t="s">
        <v>113</v>
      </c>
      <c r="O41" s="3">
        <v>0.35416666666666669</v>
      </c>
      <c r="P41" t="s">
        <v>113</v>
      </c>
      <c r="Q41" s="3">
        <v>0.35416666666666669</v>
      </c>
      <c r="R41" t="b">
        <v>1</v>
      </c>
      <c r="S41" t="s">
        <v>1539</v>
      </c>
    </row>
    <row r="42" spans="1:19" hidden="1" x14ac:dyDescent="0.2">
      <c r="A42">
        <v>40</v>
      </c>
      <c r="B42" t="s">
        <v>372</v>
      </c>
      <c r="C42" t="s">
        <v>371</v>
      </c>
      <c r="D42">
        <v>91762</v>
      </c>
      <c r="E42">
        <v>5</v>
      </c>
      <c r="F42">
        <v>10358767</v>
      </c>
      <c r="G42" t="s">
        <v>914</v>
      </c>
      <c r="H42" t="s">
        <v>113</v>
      </c>
      <c r="I42" s="3">
        <v>0.41666666666666669</v>
      </c>
      <c r="J42" t="s">
        <v>113</v>
      </c>
      <c r="K42" s="3">
        <v>0.35416666666666669</v>
      </c>
      <c r="L42" t="s">
        <v>103</v>
      </c>
      <c r="M42" s="3">
        <v>0.33333333333333331</v>
      </c>
      <c r="N42" t="s">
        <v>113</v>
      </c>
      <c r="O42" s="3">
        <v>0.35416666666666669</v>
      </c>
      <c r="P42" t="s">
        <v>113</v>
      </c>
      <c r="Q42" s="3">
        <v>0.35416666666666669</v>
      </c>
      <c r="R42" t="b">
        <v>1</v>
      </c>
      <c r="S42" t="s">
        <v>1540</v>
      </c>
    </row>
    <row r="43" spans="1:19" x14ac:dyDescent="0.2">
      <c r="A43">
        <v>41</v>
      </c>
      <c r="B43" t="s">
        <v>1541</v>
      </c>
      <c r="C43" t="s">
        <v>1343</v>
      </c>
      <c r="D43">
        <v>91711</v>
      </c>
      <c r="E43">
        <v>3</v>
      </c>
      <c r="F43">
        <v>100205141</v>
      </c>
      <c r="G43" t="s">
        <v>1495</v>
      </c>
      <c r="H43" t="s">
        <v>113</v>
      </c>
      <c r="I43" s="3">
        <v>0.375</v>
      </c>
      <c r="J43" t="s">
        <v>113</v>
      </c>
      <c r="K43" s="3">
        <v>0.375</v>
      </c>
      <c r="L43" t="s">
        <v>113</v>
      </c>
      <c r="M43" s="3">
        <v>0.35416666666666669</v>
      </c>
      <c r="N43" t="s">
        <v>113</v>
      </c>
      <c r="O43" s="3">
        <v>0.39583333333333331</v>
      </c>
      <c r="P43" t="s">
        <v>113</v>
      </c>
      <c r="Q43" s="3">
        <v>0.375</v>
      </c>
      <c r="R43" t="b">
        <v>1</v>
      </c>
      <c r="S43" t="s">
        <v>1542</v>
      </c>
    </row>
    <row r="44" spans="1:19" hidden="1" x14ac:dyDescent="0.2">
      <c r="A44">
        <v>42</v>
      </c>
      <c r="B44" t="s">
        <v>627</v>
      </c>
      <c r="C44" t="s">
        <v>626</v>
      </c>
      <c r="D44">
        <v>91762</v>
      </c>
      <c r="E44">
        <v>5</v>
      </c>
      <c r="F44">
        <v>103454181</v>
      </c>
      <c r="G44" t="s">
        <v>914</v>
      </c>
      <c r="H44" t="s">
        <v>113</v>
      </c>
      <c r="I44" s="3">
        <v>0.375</v>
      </c>
      <c r="J44" t="s">
        <v>113</v>
      </c>
      <c r="K44" s="3">
        <v>0.375</v>
      </c>
      <c r="L44" t="s">
        <v>113</v>
      </c>
      <c r="M44" s="3">
        <v>0.375</v>
      </c>
      <c r="N44" t="s">
        <v>113</v>
      </c>
      <c r="O44" s="3">
        <v>0.375</v>
      </c>
      <c r="P44" t="s">
        <v>113</v>
      </c>
      <c r="Q44" s="3">
        <v>0.375</v>
      </c>
      <c r="R44" t="b">
        <v>1</v>
      </c>
      <c r="S44" t="s">
        <v>1543</v>
      </c>
    </row>
    <row r="45" spans="1:19" hidden="1" x14ac:dyDescent="0.2">
      <c r="A45">
        <v>43</v>
      </c>
      <c r="B45" t="s">
        <v>658</v>
      </c>
      <c r="C45" t="s">
        <v>657</v>
      </c>
      <c r="D45">
        <v>91701</v>
      </c>
      <c r="E45">
        <v>12</v>
      </c>
      <c r="F45">
        <v>102031651</v>
      </c>
      <c r="G45" t="s">
        <v>914</v>
      </c>
      <c r="H45" t="s">
        <v>103</v>
      </c>
      <c r="I45" s="3">
        <v>0.3125</v>
      </c>
      <c r="J45" t="s">
        <v>113</v>
      </c>
      <c r="K45" s="3">
        <v>0.3125</v>
      </c>
      <c r="L45" t="s">
        <v>113</v>
      </c>
      <c r="M45" s="3">
        <v>0.3125</v>
      </c>
      <c r="N45" t="s">
        <v>113</v>
      </c>
      <c r="O45" s="3">
        <v>0.3125</v>
      </c>
      <c r="P45" t="s">
        <v>103</v>
      </c>
      <c r="Q45" s="3">
        <v>0.3125</v>
      </c>
      <c r="R45" t="b">
        <v>1</v>
      </c>
      <c r="S45" t="s">
        <v>1544</v>
      </c>
    </row>
    <row r="46" spans="1:19" x14ac:dyDescent="0.2">
      <c r="A46">
        <v>44</v>
      </c>
      <c r="B46" t="s">
        <v>33</v>
      </c>
      <c r="C46" t="s">
        <v>1545</v>
      </c>
      <c r="D46">
        <v>91711</v>
      </c>
      <c r="E46">
        <v>2.5</v>
      </c>
      <c r="F46">
        <v>101198231</v>
      </c>
      <c r="G46" t="s">
        <v>1495</v>
      </c>
      <c r="H46" t="s">
        <v>74</v>
      </c>
      <c r="I46" s="3">
        <v>0.375</v>
      </c>
      <c r="J46" t="s">
        <v>74</v>
      </c>
      <c r="K46" s="3">
        <v>0.375</v>
      </c>
      <c r="L46" t="s">
        <v>74</v>
      </c>
      <c r="M46" s="3">
        <v>0.375</v>
      </c>
      <c r="N46" t="s">
        <v>74</v>
      </c>
      <c r="O46" s="3">
        <v>0.375</v>
      </c>
      <c r="P46" t="s">
        <v>74</v>
      </c>
      <c r="Q46" s="3">
        <v>0.375</v>
      </c>
      <c r="R46" t="b">
        <v>1</v>
      </c>
      <c r="S46" t="s">
        <v>1546</v>
      </c>
    </row>
    <row r="47" spans="1:19" hidden="1" x14ac:dyDescent="0.2">
      <c r="A47">
        <v>45</v>
      </c>
      <c r="B47" t="s">
        <v>749</v>
      </c>
      <c r="C47" t="s">
        <v>748</v>
      </c>
      <c r="D47">
        <v>90004</v>
      </c>
      <c r="E47">
        <v>33</v>
      </c>
      <c r="F47" t="s">
        <v>1288</v>
      </c>
      <c r="G47" t="s">
        <v>914</v>
      </c>
      <c r="H47" t="s">
        <v>103</v>
      </c>
      <c r="I47" s="3">
        <v>0.33333333333333331</v>
      </c>
      <c r="J47" t="s">
        <v>74</v>
      </c>
      <c r="K47" s="3">
        <v>0.33333333333333331</v>
      </c>
      <c r="L47" t="s">
        <v>74</v>
      </c>
      <c r="M47" s="3">
        <v>0.33333333333333331</v>
      </c>
      <c r="N47" t="s">
        <v>74</v>
      </c>
      <c r="O47" s="3">
        <v>0.33333333333333331</v>
      </c>
      <c r="P47" t="s">
        <v>74</v>
      </c>
      <c r="Q47" s="3">
        <v>0.33333333333333331</v>
      </c>
      <c r="R47" t="b">
        <v>1</v>
      </c>
      <c r="S47" t="s">
        <v>1547</v>
      </c>
    </row>
    <row r="48" spans="1:19" hidden="1" x14ac:dyDescent="0.2">
      <c r="A48">
        <v>46</v>
      </c>
      <c r="B48" t="s">
        <v>375</v>
      </c>
      <c r="C48" t="s">
        <v>374</v>
      </c>
      <c r="D48">
        <v>91730</v>
      </c>
      <c r="E48">
        <v>10</v>
      </c>
      <c r="F48">
        <v>10183233</v>
      </c>
      <c r="G48" t="s">
        <v>914</v>
      </c>
      <c r="H48" t="s">
        <v>113</v>
      </c>
      <c r="I48" s="3">
        <v>0.33333333333333331</v>
      </c>
      <c r="J48" t="s">
        <v>113</v>
      </c>
      <c r="K48" s="3">
        <v>0.33333333333333331</v>
      </c>
      <c r="L48" t="s">
        <v>113</v>
      </c>
      <c r="M48" s="3">
        <v>0.33333333333333331</v>
      </c>
      <c r="N48" t="s">
        <v>113</v>
      </c>
      <c r="O48" s="3">
        <v>0.33333333333333331</v>
      </c>
      <c r="P48" t="s">
        <v>113</v>
      </c>
      <c r="Q48" s="3">
        <v>0.33333333333333331</v>
      </c>
      <c r="R48" t="b">
        <v>1</v>
      </c>
      <c r="S48" t="s">
        <v>1548</v>
      </c>
    </row>
    <row r="49" spans="1:19" hidden="1" x14ac:dyDescent="0.2">
      <c r="A49">
        <v>47</v>
      </c>
      <c r="B49" t="s">
        <v>746</v>
      </c>
      <c r="C49" t="s">
        <v>745</v>
      </c>
      <c r="D49">
        <v>91763</v>
      </c>
      <c r="E49">
        <v>5</v>
      </c>
      <c r="F49">
        <v>10370556</v>
      </c>
      <c r="G49" t="s">
        <v>914</v>
      </c>
      <c r="H49" t="s">
        <v>108</v>
      </c>
      <c r="I49" s="3">
        <v>0.33333333333333331</v>
      </c>
      <c r="J49" t="s">
        <v>113</v>
      </c>
      <c r="K49" s="3">
        <v>0.33333333333333331</v>
      </c>
      <c r="L49" t="s">
        <v>108</v>
      </c>
      <c r="M49" s="3">
        <v>0.33333333333333331</v>
      </c>
      <c r="N49" t="s">
        <v>113</v>
      </c>
      <c r="O49" s="3">
        <v>0.33333333333333331</v>
      </c>
      <c r="P49" t="s">
        <v>113</v>
      </c>
      <c r="Q49" s="3">
        <v>0.33333333333333331</v>
      </c>
      <c r="R49" t="b">
        <v>1</v>
      </c>
      <c r="S49" t="s">
        <v>1549</v>
      </c>
    </row>
    <row r="50" spans="1:19" hidden="1" x14ac:dyDescent="0.2">
      <c r="A50">
        <v>48</v>
      </c>
      <c r="B50" t="s">
        <v>798</v>
      </c>
      <c r="C50" t="s">
        <v>797</v>
      </c>
      <c r="D50">
        <v>91709</v>
      </c>
      <c r="E50">
        <v>12</v>
      </c>
      <c r="F50">
        <v>103702141</v>
      </c>
      <c r="G50" t="s">
        <v>914</v>
      </c>
      <c r="H50" t="s">
        <v>74</v>
      </c>
      <c r="I50" s="3">
        <v>0.33333333333333331</v>
      </c>
      <c r="J50" t="s">
        <v>74</v>
      </c>
      <c r="K50" s="3">
        <v>0.33333333333333331</v>
      </c>
      <c r="L50" t="s">
        <v>74</v>
      </c>
      <c r="M50" s="3">
        <v>0.33333333333333331</v>
      </c>
      <c r="N50" t="s">
        <v>74</v>
      </c>
      <c r="O50" s="3">
        <v>0.33333333333333331</v>
      </c>
      <c r="P50" t="s">
        <v>74</v>
      </c>
      <c r="Q50" s="3">
        <v>0.33333333333333331</v>
      </c>
      <c r="R50" t="b">
        <v>1</v>
      </c>
      <c r="S50" t="s">
        <v>1550</v>
      </c>
    </row>
    <row r="51" spans="1:19" hidden="1" x14ac:dyDescent="0.2">
      <c r="A51">
        <v>49</v>
      </c>
      <c r="B51" t="s">
        <v>731</v>
      </c>
      <c r="C51" t="s">
        <v>730</v>
      </c>
      <c r="D51">
        <v>91764</v>
      </c>
      <c r="E51">
        <v>12</v>
      </c>
      <c r="F51">
        <v>10369586</v>
      </c>
      <c r="G51" t="s">
        <v>914</v>
      </c>
      <c r="H51" t="s">
        <v>933</v>
      </c>
      <c r="I51" s="3">
        <v>0.33333333333333331</v>
      </c>
      <c r="J51" t="s">
        <v>933</v>
      </c>
      <c r="K51" s="3">
        <v>0.33333333333333331</v>
      </c>
      <c r="L51" t="s">
        <v>933</v>
      </c>
      <c r="M51" s="3">
        <v>0.33333333333333331</v>
      </c>
      <c r="N51" t="s">
        <v>933</v>
      </c>
      <c r="O51" s="3">
        <v>0.33333333333333331</v>
      </c>
      <c r="P51" t="s">
        <v>933</v>
      </c>
      <c r="Q51" s="3">
        <v>0.33333333333333331</v>
      </c>
      <c r="R51" t="b">
        <v>1</v>
      </c>
      <c r="S51" t="s">
        <v>1551</v>
      </c>
    </row>
    <row r="52" spans="1:19" hidden="1" x14ac:dyDescent="0.2">
      <c r="A52">
        <v>50</v>
      </c>
      <c r="B52" t="s">
        <v>788</v>
      </c>
      <c r="C52" t="s">
        <v>787</v>
      </c>
      <c r="D52">
        <v>91711</v>
      </c>
      <c r="E52">
        <v>2</v>
      </c>
      <c r="F52">
        <v>10044199</v>
      </c>
      <c r="G52" t="s">
        <v>914</v>
      </c>
      <c r="H52" t="s">
        <v>98</v>
      </c>
      <c r="I52" s="3">
        <v>0.33333333333333331</v>
      </c>
      <c r="J52" t="s">
        <v>98</v>
      </c>
      <c r="K52" s="3">
        <v>0.33333333333333331</v>
      </c>
      <c r="L52" t="s">
        <v>98</v>
      </c>
      <c r="M52" s="3">
        <v>0.33333333333333331</v>
      </c>
      <c r="N52" t="s">
        <v>113</v>
      </c>
      <c r="O52" s="3">
        <v>0.33333333333333331</v>
      </c>
      <c r="P52" t="s">
        <v>202</v>
      </c>
      <c r="Q52" s="3">
        <v>0.25</v>
      </c>
      <c r="R52" t="b">
        <v>1</v>
      </c>
      <c r="S52" t="s">
        <v>1552</v>
      </c>
    </row>
    <row r="53" spans="1:19" hidden="1" x14ac:dyDescent="0.2">
      <c r="A53">
        <v>51</v>
      </c>
      <c r="B53" t="s">
        <v>239</v>
      </c>
      <c r="C53" t="s">
        <v>1020</v>
      </c>
      <c r="D53">
        <v>91750</v>
      </c>
      <c r="E53">
        <v>4</v>
      </c>
      <c r="F53">
        <v>10193210</v>
      </c>
      <c r="G53" t="s">
        <v>914</v>
      </c>
      <c r="H53" t="s">
        <v>113</v>
      </c>
      <c r="I53" s="3">
        <v>0.33333333333333331</v>
      </c>
      <c r="J53" t="s">
        <v>113</v>
      </c>
      <c r="K53" s="3">
        <v>0.33333333333333331</v>
      </c>
      <c r="L53" t="s">
        <v>113</v>
      </c>
      <c r="M53" s="3">
        <v>0.33333333333333331</v>
      </c>
      <c r="N53" t="s">
        <v>113</v>
      </c>
      <c r="O53" s="3">
        <v>0.33333333333333331</v>
      </c>
      <c r="P53" t="s">
        <v>113</v>
      </c>
      <c r="Q53" s="3">
        <v>0.375</v>
      </c>
      <c r="R53" t="b">
        <v>1</v>
      </c>
      <c r="S53" t="s">
        <v>1553</v>
      </c>
    </row>
    <row r="54" spans="1:19" hidden="1" x14ac:dyDescent="0.2">
      <c r="A54">
        <v>52</v>
      </c>
      <c r="B54" t="s">
        <v>538</v>
      </c>
      <c r="C54" t="s">
        <v>537</v>
      </c>
      <c r="D54">
        <v>92880</v>
      </c>
      <c r="E54">
        <v>23</v>
      </c>
      <c r="F54">
        <v>100750</v>
      </c>
      <c r="G54" t="s">
        <v>914</v>
      </c>
      <c r="H54" t="s">
        <v>103</v>
      </c>
      <c r="I54" s="3">
        <v>0.33333333333333331</v>
      </c>
      <c r="J54" t="s">
        <v>103</v>
      </c>
      <c r="K54" s="3">
        <v>0.33333333333333331</v>
      </c>
      <c r="L54" t="s">
        <v>103</v>
      </c>
      <c r="M54" s="3">
        <v>0.33333333333333331</v>
      </c>
      <c r="N54" t="s">
        <v>103</v>
      </c>
      <c r="O54" s="3">
        <v>0.33333333333333331</v>
      </c>
      <c r="P54" t="s">
        <v>103</v>
      </c>
      <c r="Q54" s="3">
        <v>0.33333333333333331</v>
      </c>
      <c r="R54" t="b">
        <v>1</v>
      </c>
      <c r="S54" t="s">
        <v>1554</v>
      </c>
    </row>
    <row r="55" spans="1:19" hidden="1" x14ac:dyDescent="0.2">
      <c r="A55">
        <v>53</v>
      </c>
      <c r="B55" t="s">
        <v>353</v>
      </c>
      <c r="C55" t="s">
        <v>352</v>
      </c>
      <c r="D55">
        <v>91711</v>
      </c>
      <c r="E55">
        <v>0.5</v>
      </c>
      <c r="F55">
        <v>121158</v>
      </c>
      <c r="G55" t="s">
        <v>914</v>
      </c>
      <c r="H55" t="s">
        <v>98</v>
      </c>
      <c r="I55" s="3">
        <v>0.375</v>
      </c>
      <c r="J55" t="s">
        <v>98</v>
      </c>
      <c r="K55" s="3">
        <v>0.375</v>
      </c>
      <c r="L55" t="s">
        <v>98</v>
      </c>
      <c r="M55" s="3">
        <v>0.375</v>
      </c>
      <c r="N55" t="s">
        <v>98</v>
      </c>
      <c r="O55" s="3">
        <v>0.375</v>
      </c>
      <c r="P55" t="s">
        <v>103</v>
      </c>
      <c r="Q55" s="3">
        <v>0.375</v>
      </c>
      <c r="R55" t="b">
        <v>1</v>
      </c>
      <c r="S55" t="s">
        <v>1555</v>
      </c>
    </row>
    <row r="56" spans="1:19" x14ac:dyDescent="0.2">
      <c r="A56">
        <v>54</v>
      </c>
      <c r="B56" t="s">
        <v>1556</v>
      </c>
      <c r="C56" t="s">
        <v>1557</v>
      </c>
      <c r="D56">
        <v>91711</v>
      </c>
      <c r="E56">
        <v>2</v>
      </c>
      <c r="F56">
        <v>101575751</v>
      </c>
      <c r="G56" t="s">
        <v>1495</v>
      </c>
      <c r="H56" t="s">
        <v>74</v>
      </c>
      <c r="I56" s="3">
        <v>0.33333333333333331</v>
      </c>
      <c r="J56" t="s">
        <v>933</v>
      </c>
      <c r="K56" s="3">
        <v>0.33333333333333331</v>
      </c>
      <c r="L56" t="s">
        <v>933</v>
      </c>
      <c r="M56" s="3">
        <v>0.33333333333333331</v>
      </c>
      <c r="N56" t="s">
        <v>103</v>
      </c>
      <c r="O56" s="3">
        <v>0.33333333333333331</v>
      </c>
      <c r="P56" t="s">
        <v>74</v>
      </c>
      <c r="Q56" s="3">
        <v>0.33333333333333331</v>
      </c>
      <c r="R56" t="b">
        <v>1</v>
      </c>
      <c r="S56" t="s">
        <v>1558</v>
      </c>
    </row>
    <row r="57" spans="1:19" x14ac:dyDescent="0.2">
      <c r="A57">
        <v>55</v>
      </c>
      <c r="B57" t="s">
        <v>1559</v>
      </c>
      <c r="C57" t="s">
        <v>1560</v>
      </c>
      <c r="D57">
        <v>92374</v>
      </c>
      <c r="E57">
        <v>34</v>
      </c>
      <c r="F57">
        <v>103566031</v>
      </c>
      <c r="G57" t="s">
        <v>1495</v>
      </c>
      <c r="H57" t="s">
        <v>103</v>
      </c>
      <c r="I57" s="3">
        <v>0.375</v>
      </c>
      <c r="J57" t="s">
        <v>113</v>
      </c>
      <c r="K57" s="3">
        <v>0.35416666666666669</v>
      </c>
      <c r="L57" t="s">
        <v>113</v>
      </c>
      <c r="M57" s="3">
        <v>0.52083333333333337</v>
      </c>
      <c r="N57" t="s">
        <v>113</v>
      </c>
      <c r="O57" s="3">
        <v>0.375</v>
      </c>
      <c r="P57" t="s">
        <v>103</v>
      </c>
      <c r="Q57" s="3">
        <v>0.375</v>
      </c>
      <c r="R57" t="b">
        <v>1</v>
      </c>
      <c r="S57" t="s">
        <v>1561</v>
      </c>
    </row>
    <row r="58" spans="1:19" hidden="1" x14ac:dyDescent="0.2">
      <c r="A58">
        <v>56</v>
      </c>
      <c r="B58" t="s">
        <v>1157</v>
      </c>
      <c r="C58" t="s">
        <v>1158</v>
      </c>
      <c r="D58">
        <v>91739</v>
      </c>
      <c r="E58">
        <v>14</v>
      </c>
      <c r="F58">
        <v>102040351</v>
      </c>
      <c r="G58" t="s">
        <v>914</v>
      </c>
      <c r="H58" t="s">
        <v>113</v>
      </c>
      <c r="I58" s="3">
        <v>0.35416666666666669</v>
      </c>
      <c r="J58" t="s">
        <v>113</v>
      </c>
      <c r="K58" s="3">
        <v>0.35416666666666669</v>
      </c>
      <c r="L58" t="s">
        <v>113</v>
      </c>
      <c r="M58" s="3">
        <v>0.35416666666666669</v>
      </c>
      <c r="N58" t="s">
        <v>113</v>
      </c>
      <c r="O58" s="3">
        <v>0.35416666666666669</v>
      </c>
      <c r="P58" t="s">
        <v>113</v>
      </c>
      <c r="Q58" s="3">
        <v>0.35416666666666669</v>
      </c>
      <c r="R58" t="b">
        <v>1</v>
      </c>
      <c r="S58" t="s">
        <v>1562</v>
      </c>
    </row>
    <row r="59" spans="1:19" hidden="1" x14ac:dyDescent="0.2">
      <c r="A59">
        <v>57</v>
      </c>
      <c r="B59" t="s">
        <v>1086</v>
      </c>
      <c r="C59" t="s">
        <v>1087</v>
      </c>
      <c r="D59">
        <v>91763</v>
      </c>
      <c r="E59">
        <v>8</v>
      </c>
      <c r="F59">
        <v>10346026</v>
      </c>
      <c r="G59" t="s">
        <v>914</v>
      </c>
      <c r="H59" t="s">
        <v>113</v>
      </c>
      <c r="I59" s="3">
        <v>0.33333333333333331</v>
      </c>
      <c r="J59" t="s">
        <v>113</v>
      </c>
      <c r="K59" s="3">
        <v>0.33333333333333331</v>
      </c>
      <c r="L59" t="s">
        <v>113</v>
      </c>
      <c r="M59" s="3">
        <v>0.33333333333333331</v>
      </c>
      <c r="N59" t="s">
        <v>113</v>
      </c>
      <c r="O59" s="3">
        <v>0.33333333333333331</v>
      </c>
      <c r="P59" t="s">
        <v>113</v>
      </c>
      <c r="Q59" s="3">
        <v>0.33333333333333331</v>
      </c>
      <c r="R59" t="b">
        <v>1</v>
      </c>
      <c r="S59" t="s">
        <v>1563</v>
      </c>
    </row>
    <row r="60" spans="1:19" hidden="1" x14ac:dyDescent="0.2">
      <c r="A60">
        <v>58</v>
      </c>
      <c r="B60" t="s">
        <v>263</v>
      </c>
      <c r="C60" t="s">
        <v>262</v>
      </c>
      <c r="D60">
        <v>91786</v>
      </c>
      <c r="E60">
        <v>1</v>
      </c>
      <c r="F60">
        <v>10366859</v>
      </c>
      <c r="G60" t="s">
        <v>914</v>
      </c>
      <c r="H60" t="s">
        <v>92</v>
      </c>
      <c r="I60" s="3">
        <v>0.33333333333333331</v>
      </c>
      <c r="J60" t="s">
        <v>92</v>
      </c>
      <c r="K60" s="3">
        <v>0.33333333333333331</v>
      </c>
      <c r="L60" t="s">
        <v>74</v>
      </c>
      <c r="M60" s="3">
        <v>0.33333333333333331</v>
      </c>
      <c r="N60" t="s">
        <v>74</v>
      </c>
      <c r="O60" s="3">
        <v>0.33333333333333331</v>
      </c>
      <c r="P60" t="s">
        <v>74</v>
      </c>
      <c r="Q60" s="3">
        <v>0.33333333333333331</v>
      </c>
      <c r="R60" t="b">
        <v>1</v>
      </c>
      <c r="S60" t="s">
        <v>1564</v>
      </c>
    </row>
    <row r="61" spans="1:19" hidden="1" x14ac:dyDescent="0.2">
      <c r="A61">
        <v>59</v>
      </c>
      <c r="B61" t="s">
        <v>384</v>
      </c>
      <c r="C61" t="s">
        <v>840</v>
      </c>
      <c r="D61">
        <v>91711</v>
      </c>
      <c r="E61">
        <v>1</v>
      </c>
      <c r="F61">
        <v>10042755</v>
      </c>
      <c r="G61" t="s">
        <v>914</v>
      </c>
      <c r="H61" t="s">
        <v>92</v>
      </c>
      <c r="I61" s="3">
        <v>0.35416666666666669</v>
      </c>
      <c r="J61" t="s">
        <v>113</v>
      </c>
      <c r="K61" s="3">
        <v>0.35416666666666669</v>
      </c>
      <c r="L61" t="s">
        <v>92</v>
      </c>
      <c r="M61" s="3">
        <v>0.35416666666666669</v>
      </c>
      <c r="N61" t="s">
        <v>113</v>
      </c>
      <c r="O61" s="3">
        <v>0.35416666666666669</v>
      </c>
      <c r="P61" t="s">
        <v>191</v>
      </c>
      <c r="Q61" s="3">
        <v>0.35416666666666669</v>
      </c>
      <c r="R61" t="b">
        <v>1</v>
      </c>
      <c r="S61" t="s">
        <v>1565</v>
      </c>
    </row>
    <row r="62" spans="1:19" x14ac:dyDescent="0.2">
      <c r="A62">
        <v>60</v>
      </c>
      <c r="B62" t="s">
        <v>1566</v>
      </c>
      <c r="C62" t="s">
        <v>1567</v>
      </c>
      <c r="D62">
        <v>91711</v>
      </c>
      <c r="E62">
        <v>0.5</v>
      </c>
      <c r="F62">
        <v>103713671</v>
      </c>
      <c r="G62" t="s">
        <v>1495</v>
      </c>
      <c r="H62" t="s">
        <v>92</v>
      </c>
      <c r="I62" s="3">
        <v>0.5</v>
      </c>
      <c r="J62" t="s">
        <v>92</v>
      </c>
      <c r="K62" s="3">
        <v>0.4375</v>
      </c>
      <c r="L62" t="s">
        <v>92</v>
      </c>
      <c r="M62" s="3">
        <v>0.5</v>
      </c>
      <c r="N62" t="s">
        <v>92</v>
      </c>
      <c r="O62" s="3">
        <v>0.5</v>
      </c>
      <c r="P62" t="s">
        <v>92</v>
      </c>
      <c r="Q62" s="3">
        <v>0.45833333333333331</v>
      </c>
      <c r="R62" t="b">
        <v>0</v>
      </c>
      <c r="S62" t="s">
        <v>1568</v>
      </c>
    </row>
    <row r="63" spans="1:19" hidden="1" x14ac:dyDescent="0.2">
      <c r="A63">
        <v>61</v>
      </c>
      <c r="B63" t="s">
        <v>956</v>
      </c>
      <c r="C63" t="s">
        <v>957</v>
      </c>
      <c r="D63">
        <v>91711</v>
      </c>
      <c r="E63">
        <v>2</v>
      </c>
      <c r="F63">
        <v>103706336</v>
      </c>
      <c r="G63" t="s">
        <v>919</v>
      </c>
      <c r="H63" t="s">
        <v>113</v>
      </c>
      <c r="I63" s="3">
        <v>0.33333333333333331</v>
      </c>
      <c r="J63" t="s">
        <v>113</v>
      </c>
      <c r="K63" s="3">
        <v>0.33333333333333331</v>
      </c>
      <c r="L63" t="s">
        <v>113</v>
      </c>
      <c r="M63" s="3">
        <v>0.33333333333333331</v>
      </c>
      <c r="N63" t="s">
        <v>113</v>
      </c>
      <c r="O63" s="3">
        <v>0.33333333333333331</v>
      </c>
      <c r="P63" t="s">
        <v>113</v>
      </c>
      <c r="Q63" s="3">
        <v>0.33333333333333331</v>
      </c>
      <c r="R63" t="b">
        <v>1</v>
      </c>
      <c r="S63" t="s">
        <v>1569</v>
      </c>
    </row>
    <row r="64" spans="1:19" x14ac:dyDescent="0.2">
      <c r="A64">
        <v>62</v>
      </c>
      <c r="B64" t="s">
        <v>1570</v>
      </c>
      <c r="C64" t="s">
        <v>1571</v>
      </c>
      <c r="D64">
        <v>91786</v>
      </c>
      <c r="E64">
        <v>1</v>
      </c>
      <c r="F64">
        <v>101966613</v>
      </c>
      <c r="G64" t="s">
        <v>1495</v>
      </c>
      <c r="H64" t="s">
        <v>202</v>
      </c>
      <c r="I64" s="3">
        <v>0.25</v>
      </c>
      <c r="J64" t="s">
        <v>92</v>
      </c>
      <c r="K64" s="3">
        <v>0.35416666666666669</v>
      </c>
      <c r="L64" t="s">
        <v>92</v>
      </c>
      <c r="M64" s="3">
        <v>0.58333333333333337</v>
      </c>
      <c r="N64" t="s">
        <v>113</v>
      </c>
      <c r="O64" s="3">
        <v>0.35416666666666669</v>
      </c>
      <c r="P64" t="s">
        <v>199</v>
      </c>
      <c r="Q64" s="3">
        <v>0.25</v>
      </c>
      <c r="R64" t="b">
        <v>1</v>
      </c>
      <c r="S64" t="s">
        <v>1572</v>
      </c>
    </row>
    <row r="65" spans="1:19" hidden="1" x14ac:dyDescent="0.2">
      <c r="A65">
        <v>63</v>
      </c>
      <c r="B65" t="s">
        <v>931</v>
      </c>
      <c r="C65" t="s">
        <v>932</v>
      </c>
      <c r="D65">
        <v>91711</v>
      </c>
      <c r="E65">
        <v>1</v>
      </c>
      <c r="F65">
        <v>10348203</v>
      </c>
      <c r="G65" t="s">
        <v>914</v>
      </c>
      <c r="H65" t="s">
        <v>933</v>
      </c>
      <c r="I65" s="3">
        <v>0.33333333333333331</v>
      </c>
      <c r="J65" t="s">
        <v>98</v>
      </c>
      <c r="K65" s="3">
        <v>0.33333333333333331</v>
      </c>
      <c r="L65" t="s">
        <v>98</v>
      </c>
      <c r="M65" s="3">
        <v>0.33333333333333331</v>
      </c>
      <c r="N65" t="s">
        <v>933</v>
      </c>
      <c r="O65" s="3">
        <v>0.33333333333333331</v>
      </c>
      <c r="P65" t="s">
        <v>933</v>
      </c>
      <c r="Q65" s="3">
        <v>0.33333333333333331</v>
      </c>
      <c r="R65" t="b">
        <v>1</v>
      </c>
      <c r="S65" t="s">
        <v>1573</v>
      </c>
    </row>
    <row r="66" spans="1:19" hidden="1" x14ac:dyDescent="0.2">
      <c r="A66">
        <v>64</v>
      </c>
      <c r="B66" t="s">
        <v>144</v>
      </c>
      <c r="C66" t="s">
        <v>582</v>
      </c>
      <c r="D66">
        <v>91750</v>
      </c>
      <c r="E66">
        <v>8</v>
      </c>
      <c r="F66">
        <v>103499721</v>
      </c>
      <c r="G66" t="s">
        <v>914</v>
      </c>
      <c r="H66" t="s">
        <v>113</v>
      </c>
      <c r="I66" s="3">
        <v>0.33333333333333331</v>
      </c>
      <c r="J66" t="s">
        <v>113</v>
      </c>
      <c r="K66" s="3">
        <v>0.33333333333333331</v>
      </c>
      <c r="L66" t="s">
        <v>113</v>
      </c>
      <c r="M66" s="3">
        <v>0.33333333333333331</v>
      </c>
      <c r="N66" t="s">
        <v>103</v>
      </c>
      <c r="O66" s="3">
        <v>0.33333333333333331</v>
      </c>
      <c r="P66" t="s">
        <v>113</v>
      </c>
      <c r="Q66" s="3">
        <v>0.33333333333333331</v>
      </c>
      <c r="R66" t="b">
        <v>1</v>
      </c>
      <c r="S66" t="s">
        <v>1574</v>
      </c>
    </row>
    <row r="67" spans="1:19" hidden="1" x14ac:dyDescent="0.2">
      <c r="A67">
        <v>65</v>
      </c>
      <c r="B67" t="s">
        <v>1195</v>
      </c>
      <c r="C67" t="s">
        <v>380</v>
      </c>
      <c r="D67">
        <v>92336</v>
      </c>
      <c r="E67">
        <v>16</v>
      </c>
      <c r="F67">
        <v>10144676</v>
      </c>
      <c r="G67" t="s">
        <v>914</v>
      </c>
      <c r="H67" t="s">
        <v>113</v>
      </c>
      <c r="I67" s="3">
        <v>0.33333333333333331</v>
      </c>
      <c r="J67" t="s">
        <v>113</v>
      </c>
      <c r="K67" s="3">
        <v>0.33333333333333331</v>
      </c>
      <c r="L67" t="s">
        <v>113</v>
      </c>
      <c r="M67" s="3">
        <v>0.33333333333333331</v>
      </c>
      <c r="N67" t="s">
        <v>113</v>
      </c>
      <c r="O67" s="3">
        <v>0.33333333333333331</v>
      </c>
      <c r="P67" t="s">
        <v>113</v>
      </c>
      <c r="Q67" s="3">
        <v>0.33333333333333331</v>
      </c>
      <c r="R67" t="b">
        <v>1</v>
      </c>
      <c r="S67" t="s">
        <v>1575</v>
      </c>
    </row>
    <row r="68" spans="1:19" hidden="1" x14ac:dyDescent="0.2">
      <c r="A68">
        <v>66</v>
      </c>
      <c r="B68" t="s">
        <v>876</v>
      </c>
      <c r="C68" t="s">
        <v>874</v>
      </c>
      <c r="D68">
        <v>91784</v>
      </c>
      <c r="E68">
        <v>7</v>
      </c>
      <c r="F68">
        <v>10180504</v>
      </c>
      <c r="G68" t="s">
        <v>914</v>
      </c>
      <c r="H68" t="s">
        <v>113</v>
      </c>
      <c r="I68" s="3">
        <v>0.39583333333333331</v>
      </c>
      <c r="J68" t="s">
        <v>113</v>
      </c>
      <c r="K68" s="3">
        <v>0.4375</v>
      </c>
      <c r="L68" t="s">
        <v>113</v>
      </c>
      <c r="M68" s="3">
        <v>0.4375</v>
      </c>
      <c r="N68" t="s">
        <v>113</v>
      </c>
      <c r="O68" s="3">
        <v>0.45833333333333331</v>
      </c>
      <c r="P68" t="s">
        <v>113</v>
      </c>
      <c r="Q68" s="3">
        <v>0.5</v>
      </c>
      <c r="R68" t="b">
        <v>1</v>
      </c>
      <c r="S68" t="s">
        <v>1576</v>
      </c>
    </row>
    <row r="69" spans="1:19" hidden="1" x14ac:dyDescent="0.2">
      <c r="A69">
        <v>67</v>
      </c>
      <c r="B69" t="s">
        <v>1221</v>
      </c>
      <c r="C69" t="s">
        <v>1222</v>
      </c>
      <c r="D69">
        <v>91711</v>
      </c>
      <c r="E69">
        <v>20</v>
      </c>
      <c r="F69">
        <v>10370479</v>
      </c>
      <c r="G69" t="s">
        <v>914</v>
      </c>
      <c r="H69" t="s">
        <v>98</v>
      </c>
      <c r="I69" s="3">
        <v>0.29166666666666669</v>
      </c>
      <c r="J69" t="s">
        <v>98</v>
      </c>
      <c r="K69" s="3">
        <v>0.29166666666666669</v>
      </c>
      <c r="L69" t="s">
        <v>98</v>
      </c>
      <c r="M69" s="3">
        <v>0.29166666666666669</v>
      </c>
      <c r="N69" t="s">
        <v>98</v>
      </c>
      <c r="O69" s="3">
        <v>0.29166666666666669</v>
      </c>
      <c r="P69" t="s">
        <v>98</v>
      </c>
      <c r="Q69" s="3">
        <v>0.29166666666666669</v>
      </c>
      <c r="R69" t="b">
        <v>1</v>
      </c>
      <c r="S69" t="s">
        <v>1577</v>
      </c>
    </row>
    <row r="70" spans="1:19" x14ac:dyDescent="0.2">
      <c r="A70">
        <v>68</v>
      </c>
      <c r="B70" t="s">
        <v>239</v>
      </c>
      <c r="C70" t="s">
        <v>1578</v>
      </c>
      <c r="D70">
        <v>91711</v>
      </c>
      <c r="E70">
        <v>0.7</v>
      </c>
      <c r="F70">
        <v>10323940</v>
      </c>
      <c r="G70" t="s">
        <v>1495</v>
      </c>
      <c r="H70" t="s">
        <v>92</v>
      </c>
      <c r="I70" s="3">
        <v>0.375</v>
      </c>
      <c r="J70" t="s">
        <v>92</v>
      </c>
      <c r="K70" s="3">
        <v>0.33333333333333331</v>
      </c>
      <c r="L70" t="s">
        <v>92</v>
      </c>
      <c r="M70" s="3">
        <v>0.41666666666666669</v>
      </c>
      <c r="N70" t="s">
        <v>92</v>
      </c>
      <c r="O70" s="3">
        <v>0.35416666666666669</v>
      </c>
      <c r="P70" t="s">
        <v>92</v>
      </c>
      <c r="Q70" s="3">
        <v>0.375</v>
      </c>
      <c r="R70" t="b">
        <v>1</v>
      </c>
      <c r="S70" t="s">
        <v>1579</v>
      </c>
    </row>
    <row r="71" spans="1:19" x14ac:dyDescent="0.2">
      <c r="A71">
        <v>69</v>
      </c>
      <c r="B71" t="s">
        <v>1580</v>
      </c>
      <c r="C71" t="s">
        <v>1581</v>
      </c>
      <c r="D71">
        <v>90016</v>
      </c>
      <c r="E71">
        <v>45</v>
      </c>
      <c r="F71" t="s">
        <v>1582</v>
      </c>
      <c r="G71" t="s">
        <v>1495</v>
      </c>
      <c r="H71" t="s">
        <v>108</v>
      </c>
      <c r="I71" s="3">
        <v>0.35416666666666669</v>
      </c>
      <c r="J71" t="s">
        <v>85</v>
      </c>
      <c r="K71" s="3">
        <v>0.27083333333333331</v>
      </c>
      <c r="L71" t="s">
        <v>108</v>
      </c>
      <c r="M71" s="3">
        <v>0.35416666666666669</v>
      </c>
      <c r="N71" t="s">
        <v>85</v>
      </c>
      <c r="O71" s="3">
        <v>0.27083333333333331</v>
      </c>
      <c r="P71" t="s">
        <v>108</v>
      </c>
      <c r="Q71" s="3">
        <v>0.29166666666666669</v>
      </c>
      <c r="R71" t="b">
        <v>1</v>
      </c>
      <c r="S71" t="s">
        <v>1583</v>
      </c>
    </row>
    <row r="72" spans="1:19" x14ac:dyDescent="0.2">
      <c r="A72">
        <v>70</v>
      </c>
      <c r="B72" t="s">
        <v>867</v>
      </c>
      <c r="C72" t="s">
        <v>472</v>
      </c>
      <c r="D72">
        <v>91786</v>
      </c>
      <c r="E72">
        <v>1</v>
      </c>
      <c r="F72">
        <v>101084471</v>
      </c>
      <c r="G72" t="s">
        <v>1495</v>
      </c>
      <c r="H72" t="s">
        <v>92</v>
      </c>
      <c r="I72" s="3">
        <v>0.54166666666666663</v>
      </c>
      <c r="J72" t="s">
        <v>92</v>
      </c>
      <c r="K72" s="3">
        <v>0.45833333333333331</v>
      </c>
      <c r="L72" t="s">
        <v>92</v>
      </c>
      <c r="M72" s="3">
        <v>0.54166666666666663</v>
      </c>
      <c r="N72" t="s">
        <v>103</v>
      </c>
      <c r="O72" s="3">
        <v>0.54166666666666663</v>
      </c>
      <c r="P72" t="s">
        <v>103</v>
      </c>
      <c r="Q72" s="3">
        <v>0.54166666666666663</v>
      </c>
      <c r="R72" t="b">
        <v>0</v>
      </c>
      <c r="S72" t="s">
        <v>1584</v>
      </c>
    </row>
    <row r="73" spans="1:19" x14ac:dyDescent="0.2">
      <c r="A73">
        <v>71</v>
      </c>
      <c r="B73" t="s">
        <v>834</v>
      </c>
      <c r="C73" t="s">
        <v>1585</v>
      </c>
      <c r="D73">
        <v>91711</v>
      </c>
      <c r="E73">
        <v>1.2</v>
      </c>
      <c r="F73" t="s">
        <v>1586</v>
      </c>
      <c r="G73" t="s">
        <v>1495</v>
      </c>
      <c r="H73" t="s">
        <v>202</v>
      </c>
      <c r="I73" s="3">
        <v>0.45833333333333331</v>
      </c>
      <c r="J73" t="s">
        <v>113</v>
      </c>
      <c r="K73" s="3">
        <v>0.54166666666666663</v>
      </c>
      <c r="L73" t="s">
        <v>202</v>
      </c>
      <c r="M73" s="3">
        <v>0.45833333333333331</v>
      </c>
      <c r="N73" t="s">
        <v>113</v>
      </c>
      <c r="O73" s="3">
        <v>0.54166666666666663</v>
      </c>
      <c r="P73" t="s">
        <v>202</v>
      </c>
      <c r="Q73" s="3">
        <v>0.45833333333333331</v>
      </c>
      <c r="R73" t="b">
        <v>0</v>
      </c>
      <c r="S73" t="s">
        <v>1587</v>
      </c>
    </row>
    <row r="74" spans="1:19" hidden="1" x14ac:dyDescent="0.2">
      <c r="A74">
        <v>72</v>
      </c>
      <c r="B74" t="s">
        <v>457</v>
      </c>
      <c r="C74" t="s">
        <v>791</v>
      </c>
      <c r="D74">
        <v>91104</v>
      </c>
      <c r="E74">
        <v>27</v>
      </c>
      <c r="F74">
        <v>10370589</v>
      </c>
      <c r="G74" t="s">
        <v>914</v>
      </c>
      <c r="H74" t="s">
        <v>933</v>
      </c>
      <c r="I74" s="3">
        <v>0.33333333333333331</v>
      </c>
      <c r="J74" t="s">
        <v>74</v>
      </c>
      <c r="K74" s="3">
        <v>0.33333333333333331</v>
      </c>
      <c r="L74" t="s">
        <v>74</v>
      </c>
      <c r="M74" s="3">
        <v>0.375</v>
      </c>
      <c r="N74" t="s">
        <v>74</v>
      </c>
      <c r="O74" s="3">
        <v>0.33333333333333331</v>
      </c>
      <c r="P74" t="s">
        <v>933</v>
      </c>
      <c r="Q74" s="3">
        <v>0.33333333333333331</v>
      </c>
      <c r="R74" t="b">
        <v>1</v>
      </c>
      <c r="S74" t="s">
        <v>1588</v>
      </c>
    </row>
    <row r="75" spans="1:19" x14ac:dyDescent="0.2">
      <c r="A75">
        <v>73</v>
      </c>
      <c r="B75" t="s">
        <v>1589</v>
      </c>
      <c r="C75" t="s">
        <v>1590</v>
      </c>
      <c r="D75">
        <v>91711</v>
      </c>
      <c r="E75">
        <v>1</v>
      </c>
      <c r="F75">
        <v>100421751</v>
      </c>
      <c r="G75" t="s">
        <v>1495</v>
      </c>
      <c r="H75" t="s">
        <v>92</v>
      </c>
      <c r="I75" s="3">
        <v>0.39583333333333331</v>
      </c>
      <c r="J75" t="s">
        <v>92</v>
      </c>
      <c r="K75" s="3">
        <v>0.39583333333333331</v>
      </c>
      <c r="L75" t="s">
        <v>92</v>
      </c>
      <c r="M75" s="3">
        <v>0.39583333333333331</v>
      </c>
      <c r="N75" t="s">
        <v>92</v>
      </c>
      <c r="O75" s="3">
        <v>0.39583333333333331</v>
      </c>
      <c r="P75" t="s">
        <v>92</v>
      </c>
      <c r="Q75" s="3">
        <v>0.39583333333333331</v>
      </c>
      <c r="R75" t="b">
        <v>1</v>
      </c>
      <c r="S75" t="s">
        <v>1591</v>
      </c>
    </row>
    <row r="76" spans="1:19" x14ac:dyDescent="0.2">
      <c r="A76">
        <v>74</v>
      </c>
      <c r="B76" t="s">
        <v>1592</v>
      </c>
      <c r="C76" t="s">
        <v>1593</v>
      </c>
      <c r="D76">
        <v>91711</v>
      </c>
      <c r="E76">
        <v>2</v>
      </c>
      <c r="F76">
        <v>10364482</v>
      </c>
      <c r="G76" t="s">
        <v>1495</v>
      </c>
      <c r="H76" t="s">
        <v>933</v>
      </c>
      <c r="I76" s="3">
        <v>0.375</v>
      </c>
      <c r="J76" t="s">
        <v>933</v>
      </c>
      <c r="K76" s="3">
        <v>0.33333333333333331</v>
      </c>
      <c r="L76" t="s">
        <v>933</v>
      </c>
      <c r="M76" s="3">
        <v>0.375</v>
      </c>
      <c r="N76" t="s">
        <v>933</v>
      </c>
      <c r="O76" s="3">
        <v>0.33333333333333331</v>
      </c>
      <c r="P76" t="s">
        <v>933</v>
      </c>
      <c r="Q76" s="3">
        <v>0.39583333333333331</v>
      </c>
      <c r="R76" t="b">
        <v>1</v>
      </c>
      <c r="S76" t="s">
        <v>1594</v>
      </c>
    </row>
    <row r="77" spans="1:19" hidden="1" x14ac:dyDescent="0.2">
      <c r="A77">
        <v>75</v>
      </c>
      <c r="B77" t="s">
        <v>636</v>
      </c>
      <c r="C77" t="s">
        <v>772</v>
      </c>
      <c r="D77">
        <v>91762</v>
      </c>
      <c r="E77">
        <v>6</v>
      </c>
      <c r="F77">
        <v>10043333</v>
      </c>
      <c r="G77" t="s">
        <v>914</v>
      </c>
      <c r="H77" t="s">
        <v>113</v>
      </c>
      <c r="I77" s="3">
        <v>0.29166666666666669</v>
      </c>
      <c r="J77" t="s">
        <v>113</v>
      </c>
      <c r="K77" s="3">
        <v>0.29166666666666669</v>
      </c>
      <c r="L77" t="s">
        <v>113</v>
      </c>
      <c r="M77" s="3">
        <v>0.29166666666666669</v>
      </c>
      <c r="N77" t="s">
        <v>113</v>
      </c>
      <c r="O77" s="3">
        <v>0.29166666666666669</v>
      </c>
      <c r="P77" t="s">
        <v>113</v>
      </c>
      <c r="Q77" s="3">
        <v>0.29166666666666669</v>
      </c>
      <c r="R77" t="b">
        <v>1</v>
      </c>
      <c r="S77" t="s">
        <v>1595</v>
      </c>
    </row>
    <row r="78" spans="1:19" x14ac:dyDescent="0.2">
      <c r="A78">
        <v>76</v>
      </c>
      <c r="B78" t="s">
        <v>636</v>
      </c>
      <c r="C78" t="s">
        <v>1596</v>
      </c>
      <c r="D78">
        <v>91711</v>
      </c>
      <c r="E78">
        <v>1</v>
      </c>
      <c r="F78">
        <v>101541347</v>
      </c>
      <c r="G78" t="s">
        <v>1495</v>
      </c>
      <c r="H78" t="s">
        <v>92</v>
      </c>
      <c r="I78" s="3">
        <v>0.375</v>
      </c>
      <c r="J78" t="s">
        <v>92</v>
      </c>
      <c r="K78" s="3">
        <v>0.375</v>
      </c>
      <c r="L78" t="s">
        <v>92</v>
      </c>
      <c r="M78" s="3">
        <v>0.375</v>
      </c>
      <c r="N78" t="s">
        <v>92</v>
      </c>
      <c r="O78" s="3">
        <v>0.375</v>
      </c>
      <c r="P78" t="s">
        <v>92</v>
      </c>
      <c r="Q78" s="3">
        <v>0.375</v>
      </c>
      <c r="R78" t="b">
        <v>1</v>
      </c>
      <c r="S78" t="s">
        <v>1597</v>
      </c>
    </row>
    <row r="79" spans="1:19" hidden="1" x14ac:dyDescent="0.2">
      <c r="A79">
        <v>77</v>
      </c>
      <c r="B79" t="s">
        <v>837</v>
      </c>
      <c r="C79" t="s">
        <v>836</v>
      </c>
      <c r="D79">
        <v>91780</v>
      </c>
      <c r="E79">
        <v>25</v>
      </c>
      <c r="F79" t="s">
        <v>1247</v>
      </c>
      <c r="G79" t="s">
        <v>914</v>
      </c>
      <c r="H79" t="s">
        <v>113</v>
      </c>
      <c r="I79" s="3">
        <v>0.3125</v>
      </c>
      <c r="J79" t="s">
        <v>113</v>
      </c>
      <c r="K79" s="3">
        <v>0.3125</v>
      </c>
      <c r="L79" t="s">
        <v>113</v>
      </c>
      <c r="M79" s="3">
        <v>0.3125</v>
      </c>
      <c r="N79" t="s">
        <v>199</v>
      </c>
      <c r="O79" s="3">
        <v>0.25</v>
      </c>
      <c r="P79" t="s">
        <v>199</v>
      </c>
      <c r="Q79" s="3">
        <v>0.25</v>
      </c>
      <c r="R79" t="b">
        <v>1</v>
      </c>
      <c r="S79" t="s">
        <v>1598</v>
      </c>
    </row>
    <row r="80" spans="1:19" hidden="1" x14ac:dyDescent="0.2">
      <c r="A80">
        <v>78</v>
      </c>
      <c r="B80" t="s">
        <v>983</v>
      </c>
      <c r="C80" t="s">
        <v>984</v>
      </c>
      <c r="D80">
        <v>91763</v>
      </c>
      <c r="E80">
        <v>3</v>
      </c>
      <c r="F80" t="s">
        <v>985</v>
      </c>
      <c r="G80" t="s">
        <v>914</v>
      </c>
      <c r="H80" t="s">
        <v>113</v>
      </c>
      <c r="I80" s="3">
        <v>0.20833333333333334</v>
      </c>
      <c r="J80" t="s">
        <v>113</v>
      </c>
      <c r="K80" s="3">
        <v>0.20833333333333334</v>
      </c>
      <c r="L80" t="s">
        <v>113</v>
      </c>
      <c r="M80" s="3">
        <v>0.20833333333333334</v>
      </c>
      <c r="N80" t="s">
        <v>113</v>
      </c>
      <c r="O80" s="3">
        <v>0.20833333333333334</v>
      </c>
      <c r="P80" t="s">
        <v>113</v>
      </c>
      <c r="Q80" s="3">
        <v>0.20833333333333334</v>
      </c>
      <c r="R80" t="b">
        <v>0</v>
      </c>
      <c r="S80" t="s">
        <v>1599</v>
      </c>
    </row>
    <row r="81" spans="1:19" hidden="1" x14ac:dyDescent="0.2">
      <c r="A81">
        <v>79</v>
      </c>
      <c r="B81" t="s">
        <v>388</v>
      </c>
      <c r="C81" t="s">
        <v>387</v>
      </c>
      <c r="D81">
        <v>91786</v>
      </c>
      <c r="E81">
        <v>4</v>
      </c>
      <c r="F81">
        <v>10109481</v>
      </c>
      <c r="G81" t="s">
        <v>914</v>
      </c>
      <c r="H81" t="s">
        <v>113</v>
      </c>
      <c r="I81" s="3">
        <v>0.3125</v>
      </c>
      <c r="J81" t="s">
        <v>113</v>
      </c>
      <c r="K81" s="3">
        <v>0.3125</v>
      </c>
      <c r="L81" t="s">
        <v>113</v>
      </c>
      <c r="M81" s="3">
        <v>0.3125</v>
      </c>
      <c r="N81" t="s">
        <v>113</v>
      </c>
      <c r="O81" s="3">
        <v>0.3125</v>
      </c>
      <c r="P81" t="s">
        <v>113</v>
      </c>
      <c r="Q81" s="3">
        <v>0.3125</v>
      </c>
      <c r="R81" t="b">
        <v>1</v>
      </c>
      <c r="S81" t="s">
        <v>1600</v>
      </c>
    </row>
    <row r="82" spans="1:19" hidden="1" x14ac:dyDescent="0.2">
      <c r="A82">
        <v>80</v>
      </c>
      <c r="B82" t="s">
        <v>243</v>
      </c>
      <c r="C82" t="s">
        <v>242</v>
      </c>
      <c r="D82">
        <v>91786</v>
      </c>
      <c r="E82">
        <v>3</v>
      </c>
      <c r="F82">
        <v>10368847</v>
      </c>
      <c r="G82" t="s">
        <v>914</v>
      </c>
      <c r="H82" t="s">
        <v>113</v>
      </c>
      <c r="I82" s="3">
        <v>0.33333333333333331</v>
      </c>
      <c r="J82" t="s">
        <v>113</v>
      </c>
      <c r="K82" s="3">
        <v>0.33333333333333331</v>
      </c>
      <c r="L82" t="s">
        <v>113</v>
      </c>
      <c r="M82" s="3">
        <v>0.33333333333333331</v>
      </c>
      <c r="N82" t="s">
        <v>113</v>
      </c>
      <c r="O82" s="3">
        <v>0.33333333333333331</v>
      </c>
      <c r="P82" t="s">
        <v>113</v>
      </c>
      <c r="Q82" s="3">
        <v>0.33333333333333331</v>
      </c>
      <c r="R82" t="b">
        <v>1</v>
      </c>
      <c r="S82" t="s">
        <v>1601</v>
      </c>
    </row>
    <row r="83" spans="1:19" hidden="1" x14ac:dyDescent="0.2">
      <c r="A83">
        <v>81</v>
      </c>
      <c r="B83" t="s">
        <v>1210</v>
      </c>
      <c r="C83" t="s">
        <v>1211</v>
      </c>
      <c r="D83">
        <v>92336</v>
      </c>
      <c r="E83">
        <v>17.5</v>
      </c>
      <c r="F83">
        <v>10097957</v>
      </c>
      <c r="G83" t="s">
        <v>914</v>
      </c>
      <c r="H83" t="s">
        <v>103</v>
      </c>
      <c r="I83" s="3">
        <v>0.3125</v>
      </c>
      <c r="J83" t="s">
        <v>103</v>
      </c>
      <c r="K83" s="3">
        <v>0.3125</v>
      </c>
      <c r="L83" t="s">
        <v>103</v>
      </c>
      <c r="M83" s="3">
        <v>0.3125</v>
      </c>
      <c r="N83" t="s">
        <v>103</v>
      </c>
      <c r="O83" s="3">
        <v>0.3125</v>
      </c>
      <c r="P83" t="s">
        <v>103</v>
      </c>
      <c r="Q83" s="3">
        <v>0.3125</v>
      </c>
      <c r="R83" t="b">
        <v>1</v>
      </c>
      <c r="S83" t="s">
        <v>1602</v>
      </c>
    </row>
    <row r="84" spans="1:19" hidden="1" x14ac:dyDescent="0.2">
      <c r="A84">
        <v>82</v>
      </c>
      <c r="B84" t="s">
        <v>543</v>
      </c>
      <c r="C84" t="s">
        <v>542</v>
      </c>
      <c r="D84">
        <v>91701</v>
      </c>
      <c r="E84">
        <v>10</v>
      </c>
      <c r="F84">
        <v>10375228</v>
      </c>
      <c r="G84" t="s">
        <v>914</v>
      </c>
      <c r="H84" t="s">
        <v>98</v>
      </c>
      <c r="I84" s="3">
        <v>0.33333333333333331</v>
      </c>
      <c r="J84" t="s">
        <v>98</v>
      </c>
      <c r="K84" s="3">
        <v>0.33333333333333331</v>
      </c>
      <c r="L84" t="s">
        <v>98</v>
      </c>
      <c r="M84" s="3">
        <v>0.33333333333333331</v>
      </c>
      <c r="N84" t="s">
        <v>98</v>
      </c>
      <c r="O84" s="3">
        <v>0.33333333333333331</v>
      </c>
      <c r="P84" t="s">
        <v>98</v>
      </c>
      <c r="Q84" s="3">
        <v>0.33333333333333331</v>
      </c>
      <c r="R84" t="b">
        <v>1</v>
      </c>
      <c r="S84" t="s">
        <v>1603</v>
      </c>
    </row>
    <row r="85" spans="1:19" x14ac:dyDescent="0.2">
      <c r="A85">
        <v>83</v>
      </c>
      <c r="B85" t="s">
        <v>246</v>
      </c>
      <c r="C85" t="s">
        <v>1604</v>
      </c>
      <c r="D85">
        <v>91711</v>
      </c>
      <c r="E85">
        <v>1</v>
      </c>
      <c r="F85">
        <v>101834102</v>
      </c>
      <c r="G85" t="s">
        <v>1495</v>
      </c>
      <c r="H85" t="s">
        <v>98</v>
      </c>
      <c r="I85" s="3">
        <v>0.33333333333333331</v>
      </c>
      <c r="J85" t="s">
        <v>98</v>
      </c>
      <c r="K85" s="3">
        <v>0.33333333333333331</v>
      </c>
      <c r="L85" t="s">
        <v>98</v>
      </c>
      <c r="M85" s="3">
        <v>0.33333333333333331</v>
      </c>
      <c r="N85" t="s">
        <v>98</v>
      </c>
      <c r="O85" s="3">
        <v>0.33333333333333331</v>
      </c>
      <c r="P85" t="s">
        <v>98</v>
      </c>
      <c r="Q85" s="3">
        <v>0.33333333333333331</v>
      </c>
      <c r="R85" t="b">
        <v>1</v>
      </c>
      <c r="S85" t="s">
        <v>1605</v>
      </c>
    </row>
    <row r="86" spans="1:19" hidden="1" x14ac:dyDescent="0.2">
      <c r="A86">
        <v>84</v>
      </c>
      <c r="B86" t="s">
        <v>1275</v>
      </c>
      <c r="C86" t="s">
        <v>1276</v>
      </c>
      <c r="D86">
        <v>92505</v>
      </c>
      <c r="E86">
        <v>30</v>
      </c>
      <c r="F86">
        <v>103614671</v>
      </c>
      <c r="G86" t="s">
        <v>914</v>
      </c>
      <c r="H86" t="s">
        <v>103</v>
      </c>
      <c r="I86" s="3">
        <v>0.33333333333333331</v>
      </c>
      <c r="J86" t="s">
        <v>113</v>
      </c>
      <c r="K86" s="3">
        <v>0.33333333333333331</v>
      </c>
      <c r="L86" t="s">
        <v>195</v>
      </c>
      <c r="M86" s="3">
        <v>0.33333333333333331</v>
      </c>
      <c r="N86" t="s">
        <v>103</v>
      </c>
      <c r="O86" s="3">
        <v>0.33333333333333331</v>
      </c>
      <c r="P86" t="s">
        <v>103</v>
      </c>
      <c r="Q86" s="3">
        <v>0.33333333333333331</v>
      </c>
      <c r="R86" t="b">
        <v>1</v>
      </c>
      <c r="S86" t="s">
        <v>1606</v>
      </c>
    </row>
    <row r="87" spans="1:19" hidden="1" x14ac:dyDescent="0.2">
      <c r="A87">
        <v>85</v>
      </c>
      <c r="B87" t="s">
        <v>970</v>
      </c>
      <c r="C87" t="s">
        <v>971</v>
      </c>
      <c r="D87">
        <v>91767</v>
      </c>
      <c r="E87">
        <v>2.1</v>
      </c>
      <c r="F87">
        <v>10370542</v>
      </c>
      <c r="G87" t="s">
        <v>914</v>
      </c>
      <c r="H87" t="s">
        <v>195</v>
      </c>
      <c r="I87" s="3">
        <v>0.33333333333333331</v>
      </c>
      <c r="J87" t="s">
        <v>933</v>
      </c>
      <c r="K87" s="3">
        <v>0.33333333333333331</v>
      </c>
      <c r="L87" t="s">
        <v>933</v>
      </c>
      <c r="M87" s="3">
        <v>0.33333333333333331</v>
      </c>
      <c r="N87" t="s">
        <v>191</v>
      </c>
      <c r="O87" s="3">
        <v>0.33333333333333331</v>
      </c>
      <c r="P87" t="s">
        <v>933</v>
      </c>
      <c r="Q87" s="3">
        <v>0.33333333333333331</v>
      </c>
      <c r="R87" t="b">
        <v>1</v>
      </c>
      <c r="S87" t="s">
        <v>1607</v>
      </c>
    </row>
    <row r="88" spans="1:19" hidden="1" x14ac:dyDescent="0.2">
      <c r="A88">
        <v>86</v>
      </c>
      <c r="B88" t="s">
        <v>449</v>
      </c>
      <c r="C88" t="s">
        <v>506</v>
      </c>
      <c r="D88">
        <v>91010</v>
      </c>
      <c r="E88">
        <v>16</v>
      </c>
      <c r="F88">
        <v>103704971</v>
      </c>
      <c r="G88" t="s">
        <v>914</v>
      </c>
      <c r="H88" t="s">
        <v>113</v>
      </c>
      <c r="I88" s="3">
        <v>0.33333333333333331</v>
      </c>
      <c r="J88" t="s">
        <v>113</v>
      </c>
      <c r="K88" s="3">
        <v>0.33333333333333331</v>
      </c>
      <c r="L88" t="s">
        <v>113</v>
      </c>
      <c r="M88" s="3">
        <v>0.33333333333333331</v>
      </c>
      <c r="N88" t="s">
        <v>113</v>
      </c>
      <c r="O88" s="3">
        <v>0.33333333333333331</v>
      </c>
      <c r="P88" t="s">
        <v>103</v>
      </c>
      <c r="Q88" s="3">
        <v>0.33333333333333331</v>
      </c>
      <c r="R88" t="b">
        <v>1</v>
      </c>
      <c r="S88" t="s">
        <v>1608</v>
      </c>
    </row>
    <row r="89" spans="1:19" hidden="1" x14ac:dyDescent="0.2">
      <c r="A89">
        <v>87</v>
      </c>
      <c r="B89" t="s">
        <v>1234</v>
      </c>
      <c r="C89" t="s">
        <v>1235</v>
      </c>
      <c r="D89">
        <v>92377</v>
      </c>
      <c r="E89">
        <v>21.5</v>
      </c>
      <c r="F89">
        <v>103688112</v>
      </c>
      <c r="G89" t="s">
        <v>914</v>
      </c>
      <c r="H89" t="s">
        <v>113</v>
      </c>
      <c r="I89" s="3">
        <v>0.29166666666666669</v>
      </c>
      <c r="J89" t="s">
        <v>113</v>
      </c>
      <c r="K89" s="3">
        <v>0.29166666666666669</v>
      </c>
      <c r="L89" t="s">
        <v>113</v>
      </c>
      <c r="M89" s="3">
        <v>0.29166666666666669</v>
      </c>
      <c r="N89" t="s">
        <v>113</v>
      </c>
      <c r="O89" s="3">
        <v>0.29166666666666669</v>
      </c>
      <c r="P89" t="s">
        <v>113</v>
      </c>
      <c r="Q89" s="3">
        <v>0.29166666666666669</v>
      </c>
      <c r="R89" t="b">
        <v>1</v>
      </c>
      <c r="S89" t="s">
        <v>1609</v>
      </c>
    </row>
    <row r="90" spans="1:19" hidden="1" x14ac:dyDescent="0.2">
      <c r="A90">
        <v>88</v>
      </c>
      <c r="B90" t="s">
        <v>1316</v>
      </c>
      <c r="C90" t="s">
        <v>1317</v>
      </c>
      <c r="D90">
        <v>92612</v>
      </c>
      <c r="E90">
        <v>45</v>
      </c>
      <c r="F90">
        <v>103730673</v>
      </c>
      <c r="G90" t="s">
        <v>914</v>
      </c>
      <c r="H90" t="s">
        <v>103</v>
      </c>
      <c r="I90" s="3">
        <v>0.33333333333333331</v>
      </c>
      <c r="J90" t="s">
        <v>195</v>
      </c>
      <c r="K90" s="3">
        <v>0.33333333333333331</v>
      </c>
      <c r="L90" t="s">
        <v>103</v>
      </c>
      <c r="M90" s="3">
        <v>0.33333333333333331</v>
      </c>
      <c r="N90" t="s">
        <v>195</v>
      </c>
      <c r="O90" s="3">
        <v>0.33333333333333331</v>
      </c>
      <c r="P90" t="s">
        <v>113</v>
      </c>
      <c r="Q90" s="3">
        <v>0.33333333333333331</v>
      </c>
      <c r="R90" t="b">
        <v>1</v>
      </c>
      <c r="S90" t="s">
        <v>1610</v>
      </c>
    </row>
    <row r="91" spans="1:19" hidden="1" x14ac:dyDescent="0.2">
      <c r="A91">
        <v>89</v>
      </c>
      <c r="B91" t="s">
        <v>893</v>
      </c>
      <c r="C91" t="s">
        <v>390</v>
      </c>
      <c r="D91">
        <v>91711</v>
      </c>
      <c r="E91">
        <v>1.5</v>
      </c>
      <c r="F91">
        <v>100132311</v>
      </c>
      <c r="G91" t="s">
        <v>914</v>
      </c>
      <c r="H91" t="s">
        <v>98</v>
      </c>
      <c r="I91" s="3">
        <v>0.33333333333333331</v>
      </c>
      <c r="J91" t="s">
        <v>98</v>
      </c>
      <c r="K91" s="3">
        <v>0.33333333333333331</v>
      </c>
      <c r="L91" t="s">
        <v>98</v>
      </c>
      <c r="M91" s="3">
        <v>0.33333333333333331</v>
      </c>
      <c r="N91" t="s">
        <v>98</v>
      </c>
      <c r="O91" s="3">
        <v>0.33333333333333331</v>
      </c>
      <c r="P91" t="s">
        <v>933</v>
      </c>
      <c r="Q91" s="3">
        <v>0.33333333333333331</v>
      </c>
      <c r="R91" t="b">
        <v>1</v>
      </c>
      <c r="S91" t="s">
        <v>1611</v>
      </c>
    </row>
    <row r="92" spans="1:19" hidden="1" x14ac:dyDescent="0.2">
      <c r="A92">
        <v>90</v>
      </c>
      <c r="B92" t="s">
        <v>978</v>
      </c>
      <c r="C92" t="s">
        <v>979</v>
      </c>
      <c r="D92">
        <v>91767</v>
      </c>
      <c r="E92">
        <v>2.9</v>
      </c>
      <c r="F92">
        <v>10370859</v>
      </c>
      <c r="G92" t="s">
        <v>914</v>
      </c>
      <c r="H92" t="s">
        <v>191</v>
      </c>
      <c r="I92" s="3">
        <v>0.33333333333333331</v>
      </c>
      <c r="J92" t="s">
        <v>191</v>
      </c>
      <c r="K92" s="3">
        <v>0.33333333333333331</v>
      </c>
      <c r="L92" t="s">
        <v>191</v>
      </c>
      <c r="M92" s="3">
        <v>0.33333333333333331</v>
      </c>
      <c r="N92" t="s">
        <v>191</v>
      </c>
      <c r="O92" s="3">
        <v>0.33333333333333331</v>
      </c>
      <c r="P92" t="s">
        <v>113</v>
      </c>
      <c r="Q92" s="3">
        <v>0.3125</v>
      </c>
      <c r="R92" t="b">
        <v>1</v>
      </c>
      <c r="S92" t="s">
        <v>1612</v>
      </c>
    </row>
    <row r="93" spans="1:19" x14ac:dyDescent="0.2">
      <c r="A93">
        <v>91</v>
      </c>
      <c r="B93" t="s">
        <v>1613</v>
      </c>
      <c r="C93" t="s">
        <v>1614</v>
      </c>
      <c r="D93">
        <v>91106</v>
      </c>
      <c r="E93">
        <v>28</v>
      </c>
      <c r="F93">
        <v>100891271</v>
      </c>
      <c r="G93" t="s">
        <v>1495</v>
      </c>
      <c r="H93" t="s">
        <v>113</v>
      </c>
      <c r="I93" s="3">
        <v>0.35416666666666669</v>
      </c>
      <c r="J93" t="s">
        <v>113</v>
      </c>
      <c r="K93" s="3">
        <v>0.35416666666666669</v>
      </c>
      <c r="L93" t="s">
        <v>113</v>
      </c>
      <c r="M93" s="3">
        <v>0.35416666666666669</v>
      </c>
      <c r="N93" t="s">
        <v>113</v>
      </c>
      <c r="O93" s="3">
        <v>0.35416666666666669</v>
      </c>
      <c r="P93" t="s">
        <v>113</v>
      </c>
      <c r="Q93" s="3">
        <v>0.35416666666666669</v>
      </c>
      <c r="R93" t="b">
        <v>1</v>
      </c>
      <c r="S93" t="s">
        <v>1615</v>
      </c>
    </row>
    <row r="94" spans="1:19" hidden="1" x14ac:dyDescent="0.2">
      <c r="A94">
        <v>92</v>
      </c>
      <c r="B94" t="s">
        <v>184</v>
      </c>
      <c r="C94" t="s">
        <v>397</v>
      </c>
      <c r="D94">
        <v>91786</v>
      </c>
      <c r="E94">
        <v>3</v>
      </c>
      <c r="F94">
        <v>10120810</v>
      </c>
      <c r="G94" t="s">
        <v>914</v>
      </c>
      <c r="H94" t="s">
        <v>113</v>
      </c>
      <c r="I94" s="3">
        <v>0.33333333333333331</v>
      </c>
      <c r="J94" t="s">
        <v>113</v>
      </c>
      <c r="K94" s="3">
        <v>0.33333333333333331</v>
      </c>
      <c r="L94" t="s">
        <v>113</v>
      </c>
      <c r="M94" s="3">
        <v>0.33333333333333331</v>
      </c>
      <c r="N94" t="s">
        <v>195</v>
      </c>
      <c r="O94" s="3">
        <v>0.33333333333333331</v>
      </c>
      <c r="P94" t="s">
        <v>195</v>
      </c>
      <c r="Q94" s="3">
        <v>0.33333333333333331</v>
      </c>
      <c r="R94" t="b">
        <v>1</v>
      </c>
      <c r="S94" t="s">
        <v>1616</v>
      </c>
    </row>
    <row r="95" spans="1:19" hidden="1" x14ac:dyDescent="0.2">
      <c r="A95">
        <v>93</v>
      </c>
      <c r="B95" t="s">
        <v>1086</v>
      </c>
      <c r="C95" t="s">
        <v>1203</v>
      </c>
      <c r="D95">
        <v>92336</v>
      </c>
      <c r="E95">
        <v>16.8</v>
      </c>
      <c r="F95">
        <v>10042188</v>
      </c>
      <c r="G95" t="s">
        <v>914</v>
      </c>
      <c r="H95" t="s">
        <v>113</v>
      </c>
      <c r="I95" s="3">
        <v>0.33333333333333331</v>
      </c>
      <c r="J95" t="s">
        <v>113</v>
      </c>
      <c r="K95" s="3">
        <v>0.33333333333333331</v>
      </c>
      <c r="L95" t="s">
        <v>113</v>
      </c>
      <c r="M95" s="3">
        <v>0.33333333333333331</v>
      </c>
      <c r="N95" t="s">
        <v>113</v>
      </c>
      <c r="O95" s="3">
        <v>0.33333333333333331</v>
      </c>
      <c r="P95" t="s">
        <v>113</v>
      </c>
      <c r="Q95" s="3">
        <v>0.33333333333333331</v>
      </c>
      <c r="R95" t="b">
        <v>1</v>
      </c>
      <c r="S95" t="s">
        <v>1617</v>
      </c>
    </row>
    <row r="96" spans="1:19" x14ac:dyDescent="0.2">
      <c r="A96">
        <v>94</v>
      </c>
      <c r="B96" t="s">
        <v>1618</v>
      </c>
      <c r="C96" t="s">
        <v>1619</v>
      </c>
      <c r="D96">
        <v>91711</v>
      </c>
      <c r="E96">
        <v>0.8</v>
      </c>
      <c r="F96">
        <v>10370232</v>
      </c>
      <c r="G96" t="s">
        <v>1495</v>
      </c>
      <c r="H96" t="s">
        <v>92</v>
      </c>
      <c r="I96" s="3">
        <v>0.35416666666666669</v>
      </c>
      <c r="J96" t="s">
        <v>92</v>
      </c>
      <c r="K96" s="3">
        <v>0.35416666666666669</v>
      </c>
      <c r="L96" t="s">
        <v>92</v>
      </c>
      <c r="M96" s="3">
        <v>0.35416666666666669</v>
      </c>
      <c r="N96" t="s">
        <v>92</v>
      </c>
      <c r="O96" s="3">
        <v>0.35416666666666669</v>
      </c>
      <c r="P96" t="s">
        <v>92</v>
      </c>
      <c r="Q96" s="3">
        <v>0.35416666666666669</v>
      </c>
      <c r="R96" t="b">
        <v>1</v>
      </c>
      <c r="S96" t="s">
        <v>1620</v>
      </c>
    </row>
    <row r="97" spans="1:19" x14ac:dyDescent="0.2">
      <c r="A97">
        <v>95</v>
      </c>
      <c r="B97" t="s">
        <v>457</v>
      </c>
      <c r="C97" t="s">
        <v>1621</v>
      </c>
      <c r="D97">
        <v>90808</v>
      </c>
      <c r="E97">
        <v>39</v>
      </c>
      <c r="F97" t="s">
        <v>1622</v>
      </c>
      <c r="G97" t="s">
        <v>1495</v>
      </c>
      <c r="H97" t="s">
        <v>108</v>
      </c>
      <c r="I97" s="3">
        <v>0.4375</v>
      </c>
      <c r="J97" t="s">
        <v>108</v>
      </c>
      <c r="K97" s="3">
        <v>0.41666666666666669</v>
      </c>
      <c r="L97" t="s">
        <v>108</v>
      </c>
      <c r="M97" s="3">
        <v>0.375</v>
      </c>
      <c r="N97" t="s">
        <v>74</v>
      </c>
      <c r="O97" s="3">
        <v>0.4375</v>
      </c>
      <c r="P97" t="s">
        <v>74</v>
      </c>
      <c r="Q97" s="3">
        <v>0.45833333333333331</v>
      </c>
      <c r="R97" t="b">
        <v>1</v>
      </c>
      <c r="S97" t="s">
        <v>1623</v>
      </c>
    </row>
    <row r="98" spans="1:19" hidden="1" x14ac:dyDescent="0.2">
      <c r="A98">
        <v>96</v>
      </c>
      <c r="B98" t="s">
        <v>33</v>
      </c>
      <c r="C98" t="s">
        <v>27</v>
      </c>
      <c r="D98">
        <v>91706</v>
      </c>
      <c r="E98">
        <v>18</v>
      </c>
      <c r="F98">
        <v>103477621</v>
      </c>
      <c r="G98" t="s">
        <v>914</v>
      </c>
      <c r="H98" t="s">
        <v>103</v>
      </c>
      <c r="I98" s="3">
        <v>0.33333333333333331</v>
      </c>
      <c r="J98" t="s">
        <v>113</v>
      </c>
      <c r="K98" s="3">
        <v>0.33333333333333331</v>
      </c>
      <c r="L98" t="s">
        <v>195</v>
      </c>
      <c r="M98" s="3">
        <v>0.33333333333333331</v>
      </c>
      <c r="N98" t="s">
        <v>195</v>
      </c>
      <c r="O98" s="3">
        <v>0.33333333333333331</v>
      </c>
      <c r="P98" t="s">
        <v>103</v>
      </c>
      <c r="Q98" s="3">
        <v>0.33333333333333331</v>
      </c>
      <c r="R98" t="b">
        <v>1</v>
      </c>
      <c r="S98" t="s">
        <v>1624</v>
      </c>
    </row>
    <row r="99" spans="1:19" x14ac:dyDescent="0.2">
      <c r="A99">
        <v>97</v>
      </c>
      <c r="B99" t="s">
        <v>1344</v>
      </c>
      <c r="C99" t="s">
        <v>1625</v>
      </c>
      <c r="D99">
        <v>91711</v>
      </c>
      <c r="E99">
        <v>1</v>
      </c>
      <c r="F99">
        <v>10042428</v>
      </c>
      <c r="G99" t="s">
        <v>1495</v>
      </c>
      <c r="H99" t="s">
        <v>74</v>
      </c>
      <c r="I99" s="3">
        <v>0.75</v>
      </c>
      <c r="J99" t="s">
        <v>202</v>
      </c>
      <c r="K99" s="3">
        <v>0.45833333333333331</v>
      </c>
      <c r="L99" t="s">
        <v>74</v>
      </c>
      <c r="M99" s="3">
        <v>0.75</v>
      </c>
      <c r="N99" t="s">
        <v>202</v>
      </c>
      <c r="O99" s="3">
        <v>0.45833333333333331</v>
      </c>
      <c r="P99" t="s">
        <v>202</v>
      </c>
      <c r="Q99" s="3">
        <v>0.45833333333333331</v>
      </c>
      <c r="R99" t="b">
        <v>0</v>
      </c>
      <c r="S99" t="s">
        <v>1626</v>
      </c>
    </row>
    <row r="100" spans="1:19" hidden="1" x14ac:dyDescent="0.2">
      <c r="A100">
        <v>98</v>
      </c>
      <c r="B100" t="s">
        <v>783</v>
      </c>
      <c r="C100" t="s">
        <v>782</v>
      </c>
      <c r="D100">
        <v>92821</v>
      </c>
      <c r="E100">
        <v>20</v>
      </c>
      <c r="F100" t="s">
        <v>1223</v>
      </c>
      <c r="G100" t="s">
        <v>914</v>
      </c>
      <c r="H100" t="s">
        <v>191</v>
      </c>
      <c r="I100" s="3">
        <v>0.33333333333333331</v>
      </c>
      <c r="J100" t="s">
        <v>113</v>
      </c>
      <c r="K100" s="3">
        <v>0.33333333333333331</v>
      </c>
      <c r="L100" t="s">
        <v>113</v>
      </c>
      <c r="M100" s="3">
        <v>0.33333333333333331</v>
      </c>
      <c r="N100" t="s">
        <v>113</v>
      </c>
      <c r="O100" s="3">
        <v>0.33333333333333331</v>
      </c>
      <c r="P100" t="s">
        <v>103</v>
      </c>
      <c r="Q100" s="3">
        <v>0.33333333333333331</v>
      </c>
      <c r="R100" t="b">
        <v>1</v>
      </c>
      <c r="S100" t="s">
        <v>1627</v>
      </c>
    </row>
    <row r="101" spans="1:19" hidden="1" x14ac:dyDescent="0.2">
      <c r="A101">
        <v>99</v>
      </c>
      <c r="B101" t="s">
        <v>1260</v>
      </c>
      <c r="C101" t="s">
        <v>1261</v>
      </c>
      <c r="D101">
        <v>92501</v>
      </c>
      <c r="E101">
        <v>26</v>
      </c>
      <c r="F101">
        <v>10187804</v>
      </c>
      <c r="G101" t="s">
        <v>914</v>
      </c>
      <c r="H101" t="s">
        <v>113</v>
      </c>
      <c r="I101" s="3">
        <v>0.22916666666666666</v>
      </c>
      <c r="J101" t="s">
        <v>113</v>
      </c>
      <c r="K101" s="3">
        <v>0.22916666666666666</v>
      </c>
      <c r="L101" t="s">
        <v>85</v>
      </c>
      <c r="M101" s="3">
        <v>0.22916666666666666</v>
      </c>
      <c r="N101" t="s">
        <v>85</v>
      </c>
      <c r="O101" s="3">
        <v>0.22916666666666666</v>
      </c>
      <c r="P101" t="s">
        <v>85</v>
      </c>
      <c r="Q101" s="3">
        <v>0.22916666666666666</v>
      </c>
      <c r="R101" t="b">
        <v>0</v>
      </c>
      <c r="S101" t="s">
        <v>1628</v>
      </c>
    </row>
    <row r="102" spans="1:19" hidden="1" x14ac:dyDescent="0.2">
      <c r="A102">
        <v>100</v>
      </c>
      <c r="B102" t="s">
        <v>711</v>
      </c>
      <c r="C102" t="s">
        <v>710</v>
      </c>
      <c r="D102">
        <v>91711</v>
      </c>
      <c r="E102">
        <v>0.1</v>
      </c>
      <c r="F102">
        <v>10355979</v>
      </c>
      <c r="G102" t="s">
        <v>914</v>
      </c>
      <c r="H102" t="s">
        <v>92</v>
      </c>
      <c r="I102" s="3">
        <v>0.33333333333333331</v>
      </c>
      <c r="J102" t="s">
        <v>92</v>
      </c>
      <c r="K102" s="3">
        <v>0.33333333333333331</v>
      </c>
      <c r="L102" t="s">
        <v>92</v>
      </c>
      <c r="M102" s="3">
        <v>0.33333333333333331</v>
      </c>
      <c r="N102" t="s">
        <v>92</v>
      </c>
      <c r="O102" s="3">
        <v>0.33333333333333331</v>
      </c>
      <c r="P102" t="s">
        <v>92</v>
      </c>
      <c r="Q102" s="3">
        <v>0.33333333333333331</v>
      </c>
      <c r="R102" t="b">
        <v>1</v>
      </c>
      <c r="S102" t="s">
        <v>1629</v>
      </c>
    </row>
    <row r="103" spans="1:19" hidden="1" x14ac:dyDescent="0.2">
      <c r="A103">
        <v>101</v>
      </c>
      <c r="B103" t="s">
        <v>565</v>
      </c>
      <c r="C103" t="s">
        <v>715</v>
      </c>
      <c r="D103">
        <v>91763</v>
      </c>
      <c r="E103">
        <v>0.7</v>
      </c>
      <c r="F103">
        <v>10370640</v>
      </c>
      <c r="G103" t="s">
        <v>914</v>
      </c>
      <c r="H103" t="s">
        <v>113</v>
      </c>
      <c r="I103" s="3">
        <v>0.35416666666666669</v>
      </c>
      <c r="J103" t="s">
        <v>113</v>
      </c>
      <c r="K103" s="3">
        <v>0.35416666666666669</v>
      </c>
      <c r="L103" t="s">
        <v>113</v>
      </c>
      <c r="M103" s="3">
        <v>0.35416666666666669</v>
      </c>
      <c r="N103" t="s">
        <v>113</v>
      </c>
      <c r="O103" s="3">
        <v>0.35416666666666669</v>
      </c>
      <c r="P103" t="s">
        <v>113</v>
      </c>
      <c r="Q103" s="3">
        <v>0.35416666666666669</v>
      </c>
      <c r="R103" t="b">
        <v>1</v>
      </c>
      <c r="S103" t="s">
        <v>1630</v>
      </c>
    </row>
    <row r="104" spans="1:19" hidden="1" x14ac:dyDescent="0.2">
      <c r="A104">
        <v>102</v>
      </c>
      <c r="B104" t="s">
        <v>285</v>
      </c>
      <c r="C104" t="s">
        <v>1631</v>
      </c>
      <c r="D104">
        <v>91711</v>
      </c>
      <c r="E104">
        <v>0.5</v>
      </c>
      <c r="F104">
        <v>10371440</v>
      </c>
      <c r="G104" t="s">
        <v>1632</v>
      </c>
      <c r="H104" t="s">
        <v>202</v>
      </c>
      <c r="I104" s="3">
        <v>0.25</v>
      </c>
      <c r="J104" t="s">
        <v>92</v>
      </c>
      <c r="K104" s="3">
        <v>0.4375</v>
      </c>
      <c r="L104" t="s">
        <v>202</v>
      </c>
      <c r="M104" s="3">
        <v>0.25</v>
      </c>
      <c r="N104" t="s">
        <v>92</v>
      </c>
      <c r="O104" s="3">
        <v>0.4375</v>
      </c>
      <c r="P104" t="s">
        <v>92</v>
      </c>
      <c r="Q104" s="3">
        <v>0.35416666666666669</v>
      </c>
      <c r="R104" t="b">
        <v>1</v>
      </c>
      <c r="S104" t="s">
        <v>1633</v>
      </c>
    </row>
    <row r="105" spans="1:19" hidden="1" x14ac:dyDescent="0.2">
      <c r="A105">
        <v>103</v>
      </c>
      <c r="B105" t="s">
        <v>1080</v>
      </c>
      <c r="C105" t="s">
        <v>1081</v>
      </c>
      <c r="D105">
        <v>91761</v>
      </c>
      <c r="E105">
        <v>7.4</v>
      </c>
      <c r="F105">
        <v>10356289</v>
      </c>
      <c r="G105" t="s">
        <v>914</v>
      </c>
      <c r="H105" t="s">
        <v>113</v>
      </c>
      <c r="I105" s="3">
        <v>0.25</v>
      </c>
      <c r="J105" t="s">
        <v>113</v>
      </c>
      <c r="K105" s="3">
        <v>0.25</v>
      </c>
      <c r="L105" t="s">
        <v>113</v>
      </c>
      <c r="M105" s="3">
        <v>0.25</v>
      </c>
      <c r="N105" t="s">
        <v>113</v>
      </c>
      <c r="O105" s="3">
        <v>0.25</v>
      </c>
      <c r="P105" t="s">
        <v>113</v>
      </c>
      <c r="Q105" s="3">
        <v>0.25</v>
      </c>
      <c r="R105" t="b">
        <v>1</v>
      </c>
      <c r="S105" t="s">
        <v>1634</v>
      </c>
    </row>
    <row r="106" spans="1:19" x14ac:dyDescent="0.2">
      <c r="A106">
        <v>104</v>
      </c>
      <c r="B106" t="s">
        <v>148</v>
      </c>
      <c r="C106" t="s">
        <v>1635</v>
      </c>
      <c r="D106">
        <v>91711</v>
      </c>
      <c r="E106">
        <v>2</v>
      </c>
      <c r="F106">
        <v>10180184</v>
      </c>
      <c r="G106" t="s">
        <v>1495</v>
      </c>
      <c r="H106" t="s">
        <v>98</v>
      </c>
      <c r="I106" s="3">
        <v>0.375</v>
      </c>
      <c r="J106" t="s">
        <v>98</v>
      </c>
      <c r="K106" s="3">
        <v>0.375</v>
      </c>
      <c r="L106" t="s">
        <v>98</v>
      </c>
      <c r="M106" s="3">
        <v>0.375</v>
      </c>
      <c r="N106" t="s">
        <v>98</v>
      </c>
      <c r="O106" s="3">
        <v>0.375</v>
      </c>
      <c r="P106" t="s">
        <v>98</v>
      </c>
      <c r="Q106" s="3">
        <v>0.375</v>
      </c>
      <c r="R106" t="b">
        <v>1</v>
      </c>
      <c r="S106" t="s">
        <v>1636</v>
      </c>
    </row>
    <row r="107" spans="1:19" hidden="1" x14ac:dyDescent="0.2">
      <c r="A107">
        <v>105</v>
      </c>
      <c r="B107" t="s">
        <v>966</v>
      </c>
      <c r="C107" t="s">
        <v>1637</v>
      </c>
      <c r="D107">
        <v>91711</v>
      </c>
      <c r="E107">
        <v>0.5</v>
      </c>
      <c r="F107">
        <v>10371018</v>
      </c>
      <c r="G107" t="s">
        <v>1638</v>
      </c>
      <c r="H107" t="s">
        <v>92</v>
      </c>
      <c r="I107" s="3">
        <v>0.54166666666666663</v>
      </c>
      <c r="J107" t="s">
        <v>202</v>
      </c>
      <c r="K107" s="3">
        <v>0.25</v>
      </c>
      <c r="L107" t="s">
        <v>92</v>
      </c>
      <c r="M107" s="3">
        <v>0.45833333333333331</v>
      </c>
      <c r="N107" t="s">
        <v>202</v>
      </c>
      <c r="O107" s="3">
        <v>0.25</v>
      </c>
      <c r="P107" t="s">
        <v>92</v>
      </c>
      <c r="Q107" s="3">
        <v>0.33333333333333331</v>
      </c>
      <c r="R107" t="b">
        <v>1</v>
      </c>
      <c r="S107" t="s">
        <v>1639</v>
      </c>
    </row>
    <row r="108" spans="1:19" hidden="1" x14ac:dyDescent="0.2">
      <c r="A108">
        <v>106</v>
      </c>
      <c r="B108" t="s">
        <v>144</v>
      </c>
      <c r="C108" t="s">
        <v>1038</v>
      </c>
      <c r="D108">
        <v>91784</v>
      </c>
      <c r="E108">
        <v>5</v>
      </c>
      <c r="F108">
        <v>10361237</v>
      </c>
      <c r="G108" t="s">
        <v>914</v>
      </c>
      <c r="H108" t="s">
        <v>113</v>
      </c>
      <c r="I108" s="3">
        <v>0.33333333333333331</v>
      </c>
      <c r="J108" t="s">
        <v>113</v>
      </c>
      <c r="K108" s="3">
        <v>0.33333333333333331</v>
      </c>
      <c r="L108" t="s">
        <v>113</v>
      </c>
      <c r="M108" s="3">
        <v>0.33333333333333331</v>
      </c>
      <c r="N108" t="s">
        <v>113</v>
      </c>
      <c r="O108" s="3">
        <v>0.33333333333333331</v>
      </c>
      <c r="P108" t="s">
        <v>103</v>
      </c>
      <c r="Q108" s="3">
        <v>0.33333333333333331</v>
      </c>
      <c r="R108" t="b">
        <v>1</v>
      </c>
      <c r="S108" t="s">
        <v>1640</v>
      </c>
    </row>
    <row r="109" spans="1:19" hidden="1" x14ac:dyDescent="0.2">
      <c r="A109">
        <v>107</v>
      </c>
      <c r="B109" t="s">
        <v>1641</v>
      </c>
      <c r="C109" t="s">
        <v>1642</v>
      </c>
      <c r="D109">
        <v>91711</v>
      </c>
      <c r="E109">
        <v>0.5</v>
      </c>
      <c r="F109">
        <v>91711</v>
      </c>
      <c r="G109" t="s">
        <v>1632</v>
      </c>
      <c r="H109" t="s">
        <v>92</v>
      </c>
      <c r="I109" s="3">
        <v>0.45833333333333331</v>
      </c>
      <c r="J109" t="s">
        <v>92</v>
      </c>
      <c r="K109" s="3">
        <v>0.45833333333333331</v>
      </c>
      <c r="L109" t="s">
        <v>92</v>
      </c>
      <c r="M109" s="3">
        <v>0.45833333333333331</v>
      </c>
      <c r="N109" t="s">
        <v>92</v>
      </c>
      <c r="O109" s="3">
        <v>0.45833333333333331</v>
      </c>
      <c r="P109" t="s">
        <v>92</v>
      </c>
      <c r="Q109" s="3">
        <v>0.45833333333333331</v>
      </c>
      <c r="R109" t="b">
        <v>0</v>
      </c>
      <c r="S109" t="s">
        <v>1643</v>
      </c>
    </row>
    <row r="110" spans="1:19" hidden="1" x14ac:dyDescent="0.2">
      <c r="A110">
        <v>108</v>
      </c>
      <c r="B110" t="s">
        <v>654</v>
      </c>
      <c r="C110" t="s">
        <v>1039</v>
      </c>
      <c r="D110">
        <v>91750</v>
      </c>
      <c r="E110">
        <v>5</v>
      </c>
      <c r="F110">
        <v>10283454</v>
      </c>
      <c r="G110" t="s">
        <v>914</v>
      </c>
      <c r="H110" t="s">
        <v>113</v>
      </c>
      <c r="I110" s="3">
        <v>0.25</v>
      </c>
      <c r="J110" t="s">
        <v>113</v>
      </c>
      <c r="K110" s="3">
        <v>0.25</v>
      </c>
      <c r="L110" t="s">
        <v>113</v>
      </c>
      <c r="M110" s="3">
        <v>0.25</v>
      </c>
      <c r="N110" t="s">
        <v>113</v>
      </c>
      <c r="O110" s="3">
        <v>0.25</v>
      </c>
      <c r="P110" t="s">
        <v>113</v>
      </c>
      <c r="Q110" s="3">
        <v>0.25</v>
      </c>
      <c r="R110" t="b">
        <v>1</v>
      </c>
      <c r="S110" t="s">
        <v>1644</v>
      </c>
    </row>
    <row r="111" spans="1:19" hidden="1" x14ac:dyDescent="0.2">
      <c r="A111">
        <v>109</v>
      </c>
      <c r="B111" t="s">
        <v>159</v>
      </c>
      <c r="C111" t="s">
        <v>155</v>
      </c>
      <c r="D111">
        <v>91763</v>
      </c>
      <c r="E111">
        <v>3</v>
      </c>
      <c r="F111">
        <v>10043299</v>
      </c>
      <c r="G111" t="s">
        <v>914</v>
      </c>
      <c r="H111" t="s">
        <v>113</v>
      </c>
      <c r="I111" s="3">
        <v>0.27083333333333331</v>
      </c>
      <c r="J111" t="s">
        <v>113</v>
      </c>
      <c r="K111" s="3">
        <v>0.27083333333333331</v>
      </c>
      <c r="L111" t="s">
        <v>113</v>
      </c>
      <c r="M111" s="3">
        <v>0.27083333333333331</v>
      </c>
      <c r="N111" t="s">
        <v>113</v>
      </c>
      <c r="O111" s="3">
        <v>0.27083333333333331</v>
      </c>
      <c r="P111" t="s">
        <v>113</v>
      </c>
      <c r="Q111" s="3">
        <v>0.27083333333333331</v>
      </c>
      <c r="R111" t="b">
        <v>1</v>
      </c>
      <c r="S111" t="s">
        <v>1645</v>
      </c>
    </row>
    <row r="112" spans="1:19" hidden="1" x14ac:dyDescent="0.2">
      <c r="A112">
        <v>110</v>
      </c>
      <c r="B112" t="s">
        <v>56</v>
      </c>
      <c r="C112" t="s">
        <v>55</v>
      </c>
      <c r="D112">
        <v>91761</v>
      </c>
      <c r="E112">
        <v>8.4</v>
      </c>
      <c r="F112" t="s">
        <v>1114</v>
      </c>
      <c r="G112" t="s">
        <v>914</v>
      </c>
      <c r="H112" t="s">
        <v>113</v>
      </c>
      <c r="I112" s="3">
        <v>0.25</v>
      </c>
      <c r="J112" t="s">
        <v>113</v>
      </c>
      <c r="K112" s="3">
        <v>0.25</v>
      </c>
      <c r="L112" t="s">
        <v>113</v>
      </c>
      <c r="M112" s="3">
        <v>0.25</v>
      </c>
      <c r="N112" t="s">
        <v>113</v>
      </c>
      <c r="O112" s="3">
        <v>0.25</v>
      </c>
      <c r="P112" t="s">
        <v>113</v>
      </c>
      <c r="Q112" s="3">
        <v>0.25</v>
      </c>
      <c r="R112" t="b">
        <v>1</v>
      </c>
      <c r="S112" t="s">
        <v>1646</v>
      </c>
    </row>
    <row r="113" spans="1:19" x14ac:dyDescent="0.2">
      <c r="A113">
        <v>111</v>
      </c>
      <c r="B113" t="s">
        <v>1647</v>
      </c>
      <c r="C113" t="s">
        <v>1648</v>
      </c>
      <c r="D113">
        <v>91711</v>
      </c>
      <c r="E113">
        <v>2</v>
      </c>
      <c r="F113">
        <v>100421361</v>
      </c>
      <c r="G113" t="s">
        <v>1495</v>
      </c>
      <c r="H113" t="s">
        <v>113</v>
      </c>
      <c r="I113" s="3">
        <v>0.45833333333333331</v>
      </c>
      <c r="J113" t="s">
        <v>202</v>
      </c>
      <c r="K113" s="3">
        <v>0.45833333333333331</v>
      </c>
      <c r="L113" t="s">
        <v>202</v>
      </c>
      <c r="M113" s="3">
        <v>0.45833333333333331</v>
      </c>
      <c r="N113" t="s">
        <v>202</v>
      </c>
      <c r="O113" s="3">
        <v>0.45833333333333331</v>
      </c>
      <c r="P113" t="s">
        <v>202</v>
      </c>
      <c r="Q113" s="3">
        <v>0.45833333333333331</v>
      </c>
      <c r="R113" t="b">
        <v>0</v>
      </c>
      <c r="S113" t="s">
        <v>1649</v>
      </c>
    </row>
    <row r="114" spans="1:19" x14ac:dyDescent="0.2">
      <c r="A114">
        <v>112</v>
      </c>
      <c r="B114" t="s">
        <v>1650</v>
      </c>
      <c r="C114" t="s">
        <v>1651</v>
      </c>
      <c r="D114">
        <v>92610</v>
      </c>
      <c r="E114">
        <v>40</v>
      </c>
      <c r="F114">
        <v>10042877</v>
      </c>
      <c r="G114" t="s">
        <v>1495</v>
      </c>
      <c r="H114" t="s">
        <v>202</v>
      </c>
      <c r="I114" s="3">
        <v>0.25</v>
      </c>
      <c r="J114" t="s">
        <v>113</v>
      </c>
      <c r="K114" s="3">
        <v>0.35416666666666669</v>
      </c>
      <c r="L114" t="s">
        <v>113</v>
      </c>
      <c r="M114" s="3">
        <v>0.375</v>
      </c>
      <c r="N114" t="s">
        <v>113</v>
      </c>
      <c r="O114" s="3">
        <v>0.35416666666666669</v>
      </c>
      <c r="P114" t="s">
        <v>202</v>
      </c>
      <c r="Q114" s="3">
        <v>0.25</v>
      </c>
      <c r="R114" t="b">
        <v>1</v>
      </c>
      <c r="S114" t="s">
        <v>1652</v>
      </c>
    </row>
    <row r="115" spans="1:19" hidden="1" x14ac:dyDescent="0.2">
      <c r="A115">
        <v>113</v>
      </c>
      <c r="B115" t="s">
        <v>1240</v>
      </c>
      <c r="C115" t="s">
        <v>1241</v>
      </c>
      <c r="D115">
        <v>92376</v>
      </c>
      <c r="E115">
        <v>23</v>
      </c>
      <c r="F115">
        <v>10368812</v>
      </c>
      <c r="G115" t="s">
        <v>914</v>
      </c>
      <c r="H115" t="s">
        <v>933</v>
      </c>
      <c r="I115" s="3">
        <v>0.33333333333333331</v>
      </c>
      <c r="J115" t="s">
        <v>933</v>
      </c>
      <c r="K115" s="3">
        <v>0.33333333333333331</v>
      </c>
      <c r="L115" t="s">
        <v>933</v>
      </c>
      <c r="M115" s="3">
        <v>0.33333333333333331</v>
      </c>
      <c r="N115" t="s">
        <v>933</v>
      </c>
      <c r="O115" s="3">
        <v>0.33333333333333331</v>
      </c>
      <c r="P115" t="s">
        <v>933</v>
      </c>
      <c r="Q115" s="3">
        <v>0.33333333333333331</v>
      </c>
      <c r="R115" t="b">
        <v>1</v>
      </c>
      <c r="S115" t="s">
        <v>1653</v>
      </c>
    </row>
    <row r="116" spans="1:19" x14ac:dyDescent="0.2">
      <c r="A116">
        <v>114</v>
      </c>
      <c r="B116" t="s">
        <v>403</v>
      </c>
      <c r="C116" t="s">
        <v>1654</v>
      </c>
      <c r="D116">
        <v>90065</v>
      </c>
      <c r="E116">
        <v>25</v>
      </c>
      <c r="F116">
        <v>103809</v>
      </c>
      <c r="G116" t="s">
        <v>1495</v>
      </c>
      <c r="H116" t="s">
        <v>202</v>
      </c>
      <c r="I116" s="3">
        <v>0.25</v>
      </c>
      <c r="J116" t="s">
        <v>202</v>
      </c>
      <c r="K116" s="3">
        <v>0.25</v>
      </c>
      <c r="L116" t="s">
        <v>202</v>
      </c>
      <c r="M116" s="3">
        <v>0.25</v>
      </c>
      <c r="N116" t="s">
        <v>202</v>
      </c>
      <c r="O116" s="3">
        <v>0.25</v>
      </c>
      <c r="P116" t="s">
        <v>113</v>
      </c>
      <c r="Q116" s="3">
        <v>0.375</v>
      </c>
      <c r="R116" t="b">
        <v>1</v>
      </c>
      <c r="S116" t="s">
        <v>1655</v>
      </c>
    </row>
    <row r="117" spans="1:19" x14ac:dyDescent="0.2">
      <c r="A117">
        <v>115</v>
      </c>
      <c r="B117" t="s">
        <v>33</v>
      </c>
      <c r="C117" t="s">
        <v>1656</v>
      </c>
      <c r="D117">
        <v>91711</v>
      </c>
      <c r="E117">
        <v>3</v>
      </c>
      <c r="F117">
        <v>100197373</v>
      </c>
      <c r="G117" t="s">
        <v>1495</v>
      </c>
      <c r="H117" t="s">
        <v>113</v>
      </c>
      <c r="I117" s="3">
        <v>0.35416666666666669</v>
      </c>
      <c r="J117" t="s">
        <v>113</v>
      </c>
      <c r="K117" s="3">
        <v>0.41666666666666669</v>
      </c>
      <c r="L117" t="s">
        <v>113</v>
      </c>
      <c r="M117" s="3">
        <v>0.35416666666666669</v>
      </c>
      <c r="N117" t="s">
        <v>113</v>
      </c>
      <c r="O117" s="3">
        <v>0.41666666666666669</v>
      </c>
      <c r="P117" t="s">
        <v>113</v>
      </c>
      <c r="Q117" s="3">
        <v>0.39583333333333331</v>
      </c>
      <c r="R117" t="b">
        <v>1</v>
      </c>
      <c r="S117" t="s">
        <v>1657</v>
      </c>
    </row>
    <row r="118" spans="1:19" x14ac:dyDescent="0.2">
      <c r="A118">
        <v>116</v>
      </c>
      <c r="B118" t="s">
        <v>867</v>
      </c>
      <c r="C118" t="s">
        <v>1658</v>
      </c>
      <c r="D118">
        <v>91711</v>
      </c>
      <c r="E118">
        <v>1</v>
      </c>
      <c r="F118">
        <v>0</v>
      </c>
      <c r="G118" t="s">
        <v>1495</v>
      </c>
      <c r="H118" t="s">
        <v>98</v>
      </c>
      <c r="I118" s="3">
        <v>0.35416666666666669</v>
      </c>
      <c r="J118" t="s">
        <v>98</v>
      </c>
      <c r="K118" s="3">
        <v>0.375</v>
      </c>
      <c r="L118" t="s">
        <v>113</v>
      </c>
      <c r="M118" s="3">
        <v>0.375</v>
      </c>
      <c r="N118" t="s">
        <v>103</v>
      </c>
      <c r="O118" s="3">
        <v>0.375</v>
      </c>
      <c r="P118" t="s">
        <v>103</v>
      </c>
      <c r="Q118" s="3">
        <v>0.375</v>
      </c>
      <c r="R118" t="b">
        <v>1</v>
      </c>
      <c r="S118" t="s">
        <v>1659</v>
      </c>
    </row>
    <row r="119" spans="1:19" x14ac:dyDescent="0.2">
      <c r="A119">
        <v>117</v>
      </c>
      <c r="B119" t="s">
        <v>584</v>
      </c>
      <c r="C119" t="s">
        <v>1660</v>
      </c>
      <c r="D119">
        <v>91711</v>
      </c>
      <c r="E119">
        <v>1</v>
      </c>
      <c r="F119">
        <v>10365571</v>
      </c>
      <c r="G119" t="s">
        <v>1495</v>
      </c>
      <c r="H119" t="s">
        <v>92</v>
      </c>
      <c r="I119" s="3">
        <v>0.375</v>
      </c>
      <c r="J119" t="s">
        <v>92</v>
      </c>
      <c r="K119" s="3">
        <v>0.375</v>
      </c>
      <c r="L119" t="s">
        <v>92</v>
      </c>
      <c r="M119" s="3">
        <v>0.375</v>
      </c>
      <c r="N119" t="s">
        <v>92</v>
      </c>
      <c r="O119" s="3">
        <v>0.375</v>
      </c>
      <c r="P119" t="s">
        <v>92</v>
      </c>
      <c r="Q119" s="3">
        <v>0.375</v>
      </c>
      <c r="R119" t="b">
        <v>1</v>
      </c>
      <c r="S119" t="s">
        <v>1661</v>
      </c>
    </row>
    <row r="120" spans="1:19" hidden="1" x14ac:dyDescent="0.2">
      <c r="A120">
        <v>118</v>
      </c>
      <c r="B120" t="s">
        <v>1248</v>
      </c>
      <c r="C120" t="s">
        <v>1249</v>
      </c>
      <c r="D120">
        <v>92376</v>
      </c>
      <c r="E120">
        <v>25</v>
      </c>
      <c r="F120">
        <v>10364310</v>
      </c>
      <c r="G120" t="s">
        <v>914</v>
      </c>
      <c r="H120" t="s">
        <v>113</v>
      </c>
      <c r="I120" s="3">
        <v>0.25</v>
      </c>
      <c r="J120" t="s">
        <v>113</v>
      </c>
      <c r="K120" s="3">
        <v>0.25</v>
      </c>
      <c r="L120" t="s">
        <v>113</v>
      </c>
      <c r="M120" s="3">
        <v>0.25</v>
      </c>
      <c r="N120" t="s">
        <v>113</v>
      </c>
      <c r="O120" s="3">
        <v>0.25</v>
      </c>
      <c r="P120" t="s">
        <v>113</v>
      </c>
      <c r="Q120" s="3">
        <v>0.25</v>
      </c>
      <c r="R120" t="b">
        <v>1</v>
      </c>
      <c r="S120" t="s">
        <v>1662</v>
      </c>
    </row>
    <row r="121" spans="1:19" hidden="1" x14ac:dyDescent="0.2">
      <c r="A121">
        <v>119</v>
      </c>
      <c r="B121" t="s">
        <v>1040</v>
      </c>
      <c r="C121" t="s">
        <v>1041</v>
      </c>
      <c r="D121">
        <v>91711</v>
      </c>
      <c r="E121">
        <v>5</v>
      </c>
      <c r="F121">
        <v>103393774</v>
      </c>
      <c r="G121" t="s">
        <v>914</v>
      </c>
      <c r="H121" t="s">
        <v>113</v>
      </c>
      <c r="I121" s="3">
        <v>0.33333333333333331</v>
      </c>
      <c r="J121" t="s">
        <v>113</v>
      </c>
      <c r="K121" s="3">
        <v>0.33333333333333331</v>
      </c>
      <c r="L121" t="s">
        <v>113</v>
      </c>
      <c r="M121" s="3">
        <v>0.33333333333333331</v>
      </c>
      <c r="N121" t="s">
        <v>113</v>
      </c>
      <c r="O121" s="3">
        <v>0.33333333333333331</v>
      </c>
      <c r="P121" t="s">
        <v>113</v>
      </c>
      <c r="Q121" s="3">
        <v>0.33333333333333331</v>
      </c>
      <c r="R121" t="b">
        <v>1</v>
      </c>
      <c r="S121" t="s">
        <v>1663</v>
      </c>
    </row>
    <row r="122" spans="1:19" hidden="1" x14ac:dyDescent="0.2">
      <c r="A122">
        <v>120</v>
      </c>
      <c r="B122" t="s">
        <v>1159</v>
      </c>
      <c r="C122" t="s">
        <v>1160</v>
      </c>
      <c r="D122">
        <v>91763</v>
      </c>
      <c r="E122">
        <v>15</v>
      </c>
      <c r="F122" t="s">
        <v>1161</v>
      </c>
      <c r="G122" t="s">
        <v>914</v>
      </c>
      <c r="H122" t="s">
        <v>113</v>
      </c>
      <c r="I122" s="3">
        <v>0.625</v>
      </c>
      <c r="J122" t="s">
        <v>113</v>
      </c>
      <c r="K122" s="3">
        <v>0.625</v>
      </c>
      <c r="L122" t="s">
        <v>113</v>
      </c>
      <c r="M122" s="3">
        <v>0.625</v>
      </c>
      <c r="N122" t="s">
        <v>113</v>
      </c>
      <c r="O122" s="3">
        <v>0.625</v>
      </c>
      <c r="P122" t="s">
        <v>113</v>
      </c>
      <c r="Q122" s="3">
        <v>0.625</v>
      </c>
      <c r="R122" t="b">
        <v>0</v>
      </c>
      <c r="S122" t="s">
        <v>1664</v>
      </c>
    </row>
    <row r="123" spans="1:19" hidden="1" x14ac:dyDescent="0.2">
      <c r="A123">
        <v>121</v>
      </c>
      <c r="B123" t="s">
        <v>1042</v>
      </c>
      <c r="C123" t="s">
        <v>455</v>
      </c>
      <c r="D123">
        <v>91750</v>
      </c>
      <c r="E123">
        <v>5</v>
      </c>
      <c r="F123">
        <v>1035574</v>
      </c>
      <c r="G123" t="s">
        <v>914</v>
      </c>
      <c r="H123" t="s">
        <v>113</v>
      </c>
      <c r="I123" s="3">
        <v>0.3125</v>
      </c>
      <c r="J123" t="s">
        <v>113</v>
      </c>
      <c r="K123" s="3">
        <v>0.3125</v>
      </c>
      <c r="L123" t="s">
        <v>113</v>
      </c>
      <c r="M123" s="3">
        <v>0.3125</v>
      </c>
      <c r="N123" t="s">
        <v>113</v>
      </c>
      <c r="O123" s="3">
        <v>0.3125</v>
      </c>
      <c r="P123" t="s">
        <v>113</v>
      </c>
      <c r="Q123" s="3">
        <v>0.3125</v>
      </c>
      <c r="R123" t="b">
        <v>1</v>
      </c>
      <c r="S123" t="s">
        <v>1665</v>
      </c>
    </row>
    <row r="124" spans="1:19" x14ac:dyDescent="0.2">
      <c r="A124">
        <v>122</v>
      </c>
      <c r="B124" t="s">
        <v>820</v>
      </c>
      <c r="C124" t="s">
        <v>594</v>
      </c>
      <c r="D124">
        <v>91711</v>
      </c>
      <c r="E124">
        <v>0.5</v>
      </c>
      <c r="F124">
        <v>10041967</v>
      </c>
      <c r="G124" t="s">
        <v>1495</v>
      </c>
      <c r="H124" t="s">
        <v>92</v>
      </c>
      <c r="I124" s="3">
        <v>0.33333333333333331</v>
      </c>
      <c r="J124" t="s">
        <v>92</v>
      </c>
      <c r="K124" s="3">
        <v>0.5</v>
      </c>
      <c r="L124" t="s">
        <v>92</v>
      </c>
      <c r="M124" s="3">
        <v>0.33333333333333331</v>
      </c>
      <c r="N124" t="s">
        <v>92</v>
      </c>
      <c r="O124" s="3">
        <v>0.5</v>
      </c>
      <c r="P124" t="s">
        <v>92</v>
      </c>
      <c r="Q124" s="3">
        <v>0.33333333333333331</v>
      </c>
      <c r="R124" t="b">
        <v>1</v>
      </c>
      <c r="S124" t="s">
        <v>1666</v>
      </c>
    </row>
    <row r="125" spans="1:19" hidden="1" x14ac:dyDescent="0.2">
      <c r="A125">
        <v>123</v>
      </c>
      <c r="B125" t="s">
        <v>908</v>
      </c>
      <c r="C125" t="s">
        <v>907</v>
      </c>
      <c r="D125">
        <v>92507</v>
      </c>
      <c r="E125">
        <v>28</v>
      </c>
      <c r="F125">
        <v>10366652</v>
      </c>
      <c r="G125" t="s">
        <v>914</v>
      </c>
      <c r="H125" t="s">
        <v>113</v>
      </c>
      <c r="I125" s="3">
        <v>0.66666666666666663</v>
      </c>
      <c r="J125" t="s">
        <v>113</v>
      </c>
      <c r="K125" s="3">
        <v>0.66666666666666663</v>
      </c>
      <c r="L125" t="s">
        <v>113</v>
      </c>
      <c r="M125" s="3">
        <v>0.66666666666666663</v>
      </c>
      <c r="N125" t="s">
        <v>113</v>
      </c>
      <c r="O125" s="3">
        <v>0.66666666666666663</v>
      </c>
      <c r="P125" t="s">
        <v>113</v>
      </c>
      <c r="Q125" s="3">
        <v>0.66666666666666663</v>
      </c>
      <c r="R125" t="b">
        <v>0</v>
      </c>
      <c r="S125" t="s">
        <v>1667</v>
      </c>
    </row>
    <row r="126" spans="1:19" hidden="1" x14ac:dyDescent="0.2">
      <c r="A126">
        <v>124</v>
      </c>
      <c r="B126" t="s">
        <v>958</v>
      </c>
      <c r="C126" t="s">
        <v>558</v>
      </c>
      <c r="D126">
        <v>91763</v>
      </c>
      <c r="E126">
        <v>2</v>
      </c>
      <c r="F126">
        <v>10373435</v>
      </c>
      <c r="G126" t="s">
        <v>919</v>
      </c>
      <c r="H126" t="s">
        <v>933</v>
      </c>
      <c r="I126" s="3">
        <v>0.64583333333333337</v>
      </c>
      <c r="J126" t="s">
        <v>933</v>
      </c>
      <c r="K126" s="3">
        <v>0.64583333333333337</v>
      </c>
      <c r="L126" t="s">
        <v>933</v>
      </c>
      <c r="M126" s="3">
        <v>0.64583333333333337</v>
      </c>
      <c r="N126" t="s">
        <v>933</v>
      </c>
      <c r="O126" s="3">
        <v>0.64583333333333337</v>
      </c>
      <c r="P126" t="s">
        <v>933</v>
      </c>
      <c r="Q126" s="3">
        <v>0.64583333333333337</v>
      </c>
      <c r="R126" t="b">
        <v>0</v>
      </c>
      <c r="S126" t="s">
        <v>1668</v>
      </c>
    </row>
    <row r="127" spans="1:19" hidden="1" x14ac:dyDescent="0.2">
      <c r="A127">
        <v>125</v>
      </c>
      <c r="B127" t="s">
        <v>986</v>
      </c>
      <c r="C127" t="s">
        <v>987</v>
      </c>
      <c r="D127">
        <v>91786</v>
      </c>
      <c r="E127">
        <v>3</v>
      </c>
      <c r="F127">
        <v>103687571</v>
      </c>
      <c r="G127" t="s">
        <v>914</v>
      </c>
      <c r="H127" t="s">
        <v>113</v>
      </c>
      <c r="I127" s="3">
        <v>0.33333333333333331</v>
      </c>
      <c r="J127" t="s">
        <v>113</v>
      </c>
      <c r="K127" s="3">
        <v>0.33333333333333331</v>
      </c>
      <c r="L127" t="s">
        <v>103</v>
      </c>
      <c r="M127" s="3">
        <v>0.33333333333333331</v>
      </c>
      <c r="N127" t="s">
        <v>103</v>
      </c>
      <c r="O127" s="3">
        <v>0.33333333333333331</v>
      </c>
      <c r="P127" t="s">
        <v>195</v>
      </c>
      <c r="Q127" s="3">
        <v>0.33333333333333331</v>
      </c>
      <c r="R127" t="b">
        <v>1</v>
      </c>
      <c r="S127" t="s">
        <v>1669</v>
      </c>
    </row>
    <row r="128" spans="1:19" hidden="1" x14ac:dyDescent="0.2">
      <c r="A128">
        <v>126</v>
      </c>
      <c r="B128" t="s">
        <v>983</v>
      </c>
      <c r="C128" t="s">
        <v>964</v>
      </c>
      <c r="D128">
        <v>91711</v>
      </c>
      <c r="E128">
        <v>5</v>
      </c>
      <c r="F128">
        <v>10366861</v>
      </c>
      <c r="G128" t="s">
        <v>914</v>
      </c>
      <c r="H128" t="s">
        <v>113</v>
      </c>
      <c r="I128" s="3">
        <v>0.64583333333333337</v>
      </c>
      <c r="J128" t="s">
        <v>113</v>
      </c>
      <c r="K128" s="3">
        <v>0.64583333333333337</v>
      </c>
      <c r="L128" t="s">
        <v>113</v>
      </c>
      <c r="M128" s="3">
        <v>0.64583333333333337</v>
      </c>
      <c r="N128" t="s">
        <v>113</v>
      </c>
      <c r="O128" s="3">
        <v>0.64583333333333337</v>
      </c>
      <c r="P128" t="s">
        <v>113</v>
      </c>
      <c r="Q128" s="3">
        <v>0.64583333333333337</v>
      </c>
      <c r="R128" t="b">
        <v>0</v>
      </c>
      <c r="S128" t="s">
        <v>1670</v>
      </c>
    </row>
    <row r="129" spans="1:19" hidden="1" x14ac:dyDescent="0.2">
      <c r="A129">
        <v>127</v>
      </c>
      <c r="B129" t="s">
        <v>1318</v>
      </c>
      <c r="C129" t="s">
        <v>1319</v>
      </c>
      <c r="D129">
        <v>92392</v>
      </c>
      <c r="E129">
        <v>45</v>
      </c>
      <c r="F129">
        <v>10366590</v>
      </c>
      <c r="G129" t="s">
        <v>914</v>
      </c>
      <c r="H129" t="s">
        <v>113</v>
      </c>
      <c r="I129" s="3">
        <v>0.35416666666666669</v>
      </c>
      <c r="J129" t="s">
        <v>103</v>
      </c>
      <c r="K129" s="3">
        <v>0.35416666666666669</v>
      </c>
      <c r="L129" t="s">
        <v>113</v>
      </c>
      <c r="M129" s="3">
        <v>0.35416666666666669</v>
      </c>
      <c r="N129" t="s">
        <v>113</v>
      </c>
      <c r="O129" s="3">
        <v>0.35416666666666669</v>
      </c>
      <c r="P129" t="s">
        <v>113</v>
      </c>
      <c r="Q129" s="3">
        <v>0.35416666666666669</v>
      </c>
      <c r="R129" t="b">
        <v>1</v>
      </c>
      <c r="S129" t="s">
        <v>1671</v>
      </c>
    </row>
    <row r="130" spans="1:19" hidden="1" x14ac:dyDescent="0.2">
      <c r="A130">
        <v>128</v>
      </c>
      <c r="B130" t="s">
        <v>33</v>
      </c>
      <c r="C130" t="s">
        <v>558</v>
      </c>
      <c r="D130">
        <v>92404</v>
      </c>
      <c r="E130">
        <v>28</v>
      </c>
      <c r="F130">
        <v>10353600</v>
      </c>
      <c r="G130" t="s">
        <v>914</v>
      </c>
      <c r="H130" t="s">
        <v>1176</v>
      </c>
      <c r="I130" s="3">
        <v>0.64583333333333337</v>
      </c>
      <c r="J130" t="s">
        <v>1176</v>
      </c>
      <c r="K130" s="3">
        <v>0.64583333333333337</v>
      </c>
      <c r="L130" t="s">
        <v>1176</v>
      </c>
      <c r="M130" s="3">
        <v>0.64583333333333337</v>
      </c>
      <c r="N130" t="s">
        <v>1176</v>
      </c>
      <c r="O130" s="3">
        <v>0.64583333333333337</v>
      </c>
      <c r="P130" t="s">
        <v>1176</v>
      </c>
      <c r="Q130" s="3">
        <v>0.64583333333333337</v>
      </c>
      <c r="R130" t="b">
        <v>0</v>
      </c>
      <c r="S130" t="s">
        <v>1672</v>
      </c>
    </row>
    <row r="131" spans="1:19" hidden="1" x14ac:dyDescent="0.2">
      <c r="A131">
        <v>129</v>
      </c>
      <c r="B131" t="s">
        <v>1313</v>
      </c>
      <c r="C131" t="s">
        <v>1314</v>
      </c>
      <c r="D131">
        <v>90814</v>
      </c>
      <c r="E131">
        <v>43</v>
      </c>
      <c r="F131">
        <v>10310504</v>
      </c>
      <c r="G131" t="s">
        <v>914</v>
      </c>
      <c r="H131" t="s">
        <v>199</v>
      </c>
      <c r="I131" s="3">
        <v>0.25</v>
      </c>
      <c r="J131" t="s">
        <v>199</v>
      </c>
      <c r="K131" s="3">
        <v>0.25</v>
      </c>
      <c r="L131" t="s">
        <v>199</v>
      </c>
      <c r="M131" s="3">
        <v>0.25</v>
      </c>
      <c r="N131" t="s">
        <v>199</v>
      </c>
      <c r="O131" s="3">
        <v>0.25</v>
      </c>
      <c r="P131" t="s">
        <v>199</v>
      </c>
      <c r="Q131" s="3">
        <v>0.25</v>
      </c>
      <c r="R131" t="b">
        <v>1</v>
      </c>
      <c r="S131" t="s">
        <v>1673</v>
      </c>
    </row>
    <row r="132" spans="1:19" x14ac:dyDescent="0.2">
      <c r="A132">
        <v>130</v>
      </c>
      <c r="B132" t="s">
        <v>850</v>
      </c>
      <c r="C132" t="s">
        <v>1674</v>
      </c>
      <c r="D132">
        <v>91759</v>
      </c>
      <c r="E132">
        <v>1</v>
      </c>
      <c r="F132">
        <v>10282330</v>
      </c>
      <c r="G132" t="s">
        <v>1495</v>
      </c>
      <c r="H132" t="s">
        <v>92</v>
      </c>
      <c r="I132" s="3">
        <v>0.33333333333333331</v>
      </c>
      <c r="J132" t="s">
        <v>92</v>
      </c>
      <c r="K132" s="3">
        <v>0.33333333333333331</v>
      </c>
      <c r="L132" t="s">
        <v>92</v>
      </c>
      <c r="M132" s="3">
        <v>0.33333333333333331</v>
      </c>
      <c r="N132" t="s">
        <v>92</v>
      </c>
      <c r="O132" s="3">
        <v>0.33333333333333331</v>
      </c>
      <c r="P132" t="s">
        <v>92</v>
      </c>
      <c r="Q132" s="3">
        <v>0.33333333333333331</v>
      </c>
      <c r="R132" t="b">
        <v>1</v>
      </c>
      <c r="S132" t="s">
        <v>1675</v>
      </c>
    </row>
    <row r="133" spans="1:19" x14ac:dyDescent="0.2">
      <c r="A133">
        <v>131</v>
      </c>
      <c r="B133" t="s">
        <v>1035</v>
      </c>
      <c r="C133" t="s">
        <v>1676</v>
      </c>
      <c r="D133">
        <v>91750</v>
      </c>
      <c r="E133">
        <v>7</v>
      </c>
      <c r="F133">
        <v>100859224</v>
      </c>
      <c r="G133" t="s">
        <v>1495</v>
      </c>
      <c r="H133" t="s">
        <v>202</v>
      </c>
      <c r="I133" s="3">
        <v>0.25</v>
      </c>
      <c r="J133" t="s">
        <v>202</v>
      </c>
      <c r="K133" s="3">
        <v>0.25</v>
      </c>
      <c r="L133" t="s">
        <v>202</v>
      </c>
      <c r="M133" s="3">
        <v>0.25</v>
      </c>
      <c r="N133" t="s">
        <v>202</v>
      </c>
      <c r="O133" s="3">
        <v>0.25</v>
      </c>
      <c r="P133" t="s">
        <v>113</v>
      </c>
      <c r="Q133" s="3">
        <v>0.375</v>
      </c>
      <c r="R133" t="b">
        <v>1</v>
      </c>
      <c r="S133" t="s">
        <v>1677</v>
      </c>
    </row>
    <row r="134" spans="1:19" hidden="1" x14ac:dyDescent="0.2">
      <c r="A134">
        <v>132</v>
      </c>
      <c r="B134" t="s">
        <v>1678</v>
      </c>
      <c r="C134" t="s">
        <v>1679</v>
      </c>
      <c r="D134">
        <v>91711</v>
      </c>
      <c r="E134">
        <v>1</v>
      </c>
      <c r="F134">
        <v>10368803</v>
      </c>
      <c r="G134" t="s">
        <v>1632</v>
      </c>
      <c r="H134" t="s">
        <v>202</v>
      </c>
      <c r="I134" s="3">
        <v>0.25</v>
      </c>
      <c r="J134" t="s">
        <v>92</v>
      </c>
      <c r="K134" s="3">
        <v>0.625</v>
      </c>
      <c r="L134" t="s">
        <v>202</v>
      </c>
      <c r="M134" s="3">
        <v>0.25</v>
      </c>
      <c r="N134" t="s">
        <v>92</v>
      </c>
      <c r="O134" s="3">
        <v>0.79166666666666663</v>
      </c>
      <c r="P134" t="s">
        <v>92</v>
      </c>
      <c r="Q134" s="3">
        <v>0.41666666666666669</v>
      </c>
      <c r="R134" t="b">
        <v>1</v>
      </c>
      <c r="S134" t="s">
        <v>1680</v>
      </c>
    </row>
    <row r="135" spans="1:19" x14ac:dyDescent="0.2">
      <c r="A135">
        <v>133</v>
      </c>
      <c r="B135" t="s">
        <v>1681</v>
      </c>
      <c r="C135" t="s">
        <v>1682</v>
      </c>
      <c r="D135">
        <v>91711</v>
      </c>
      <c r="E135">
        <v>1</v>
      </c>
      <c r="F135">
        <v>100000761</v>
      </c>
      <c r="G135" t="s">
        <v>1495</v>
      </c>
      <c r="H135" t="s">
        <v>92</v>
      </c>
      <c r="I135" s="3">
        <v>0.33333333333333331</v>
      </c>
      <c r="J135" t="s">
        <v>92</v>
      </c>
      <c r="K135" s="3">
        <v>0.33333333333333331</v>
      </c>
      <c r="L135" t="s">
        <v>92</v>
      </c>
      <c r="M135" s="3">
        <v>0.33333333333333331</v>
      </c>
      <c r="N135" t="s">
        <v>92</v>
      </c>
      <c r="O135" s="3">
        <v>0.33333333333333331</v>
      </c>
      <c r="P135" t="s">
        <v>103</v>
      </c>
      <c r="Q135" s="3">
        <v>0.33333333333333331</v>
      </c>
      <c r="R135" t="b">
        <v>1</v>
      </c>
      <c r="S135" t="s">
        <v>1683</v>
      </c>
    </row>
    <row r="136" spans="1:19" x14ac:dyDescent="0.2">
      <c r="A136">
        <v>134</v>
      </c>
      <c r="B136" t="s">
        <v>1344</v>
      </c>
      <c r="C136" t="s">
        <v>1684</v>
      </c>
      <c r="D136">
        <v>91711</v>
      </c>
      <c r="E136">
        <v>1.25</v>
      </c>
      <c r="F136" t="s">
        <v>1685</v>
      </c>
      <c r="G136" t="s">
        <v>1495</v>
      </c>
      <c r="H136" t="s">
        <v>113</v>
      </c>
      <c r="I136" s="3">
        <v>0.45833333333333331</v>
      </c>
      <c r="J136" t="s">
        <v>113</v>
      </c>
      <c r="K136" s="3">
        <v>0.45833333333333331</v>
      </c>
      <c r="L136" t="s">
        <v>113</v>
      </c>
      <c r="M136" s="3">
        <v>0.45833333333333331</v>
      </c>
      <c r="N136" t="s">
        <v>113</v>
      </c>
      <c r="O136" s="3">
        <v>0.45833333333333331</v>
      </c>
      <c r="P136" t="s">
        <v>113</v>
      </c>
      <c r="Q136" s="3">
        <v>0.45833333333333331</v>
      </c>
      <c r="R136" t="b">
        <v>0</v>
      </c>
      <c r="S136" t="s">
        <v>1686</v>
      </c>
    </row>
    <row r="137" spans="1:19" hidden="1" x14ac:dyDescent="0.2">
      <c r="A137">
        <v>135</v>
      </c>
      <c r="B137" t="s">
        <v>972</v>
      </c>
      <c r="C137" t="s">
        <v>511</v>
      </c>
      <c r="D137">
        <v>91711</v>
      </c>
      <c r="E137">
        <v>2.5</v>
      </c>
      <c r="F137">
        <v>10020070</v>
      </c>
      <c r="G137" t="s">
        <v>914</v>
      </c>
      <c r="H137" t="s">
        <v>191</v>
      </c>
      <c r="I137" s="3">
        <v>0.33333333333333331</v>
      </c>
      <c r="J137" t="s">
        <v>191</v>
      </c>
      <c r="K137" s="3">
        <v>0.33333333333333331</v>
      </c>
      <c r="L137" t="s">
        <v>191</v>
      </c>
      <c r="M137" s="3">
        <v>0.33333333333333331</v>
      </c>
      <c r="N137" t="s">
        <v>191</v>
      </c>
      <c r="O137" s="3">
        <v>0.33333333333333331</v>
      </c>
      <c r="P137" t="s">
        <v>191</v>
      </c>
      <c r="Q137" s="3">
        <v>0.33333333333333331</v>
      </c>
      <c r="R137" t="b">
        <v>1</v>
      </c>
      <c r="S137" t="s">
        <v>1687</v>
      </c>
    </row>
    <row r="138" spans="1:19" x14ac:dyDescent="0.2">
      <c r="A138">
        <v>136</v>
      </c>
      <c r="B138" t="s">
        <v>1688</v>
      </c>
      <c r="C138" t="s">
        <v>1689</v>
      </c>
      <c r="D138">
        <v>91711</v>
      </c>
      <c r="E138">
        <v>1</v>
      </c>
      <c r="F138">
        <v>103703351</v>
      </c>
      <c r="G138" t="s">
        <v>1495</v>
      </c>
      <c r="H138" t="s">
        <v>92</v>
      </c>
      <c r="I138" s="3">
        <v>0.35416666666666669</v>
      </c>
      <c r="J138" t="s">
        <v>92</v>
      </c>
      <c r="K138" s="3">
        <v>0.39583333333333331</v>
      </c>
      <c r="L138" t="s">
        <v>92</v>
      </c>
      <c r="M138" s="3">
        <v>0.35416666666666669</v>
      </c>
      <c r="N138" t="s">
        <v>108</v>
      </c>
      <c r="O138" s="3">
        <v>0.375</v>
      </c>
      <c r="P138" t="s">
        <v>92</v>
      </c>
      <c r="Q138" s="3">
        <v>0.375</v>
      </c>
      <c r="R138" t="b">
        <v>1</v>
      </c>
      <c r="S138" t="s">
        <v>1690</v>
      </c>
    </row>
    <row r="139" spans="1:19" hidden="1" x14ac:dyDescent="0.2">
      <c r="A139">
        <v>137</v>
      </c>
      <c r="B139" t="s">
        <v>181</v>
      </c>
      <c r="C139" t="s">
        <v>180</v>
      </c>
      <c r="D139">
        <v>91750</v>
      </c>
      <c r="E139">
        <v>4.7</v>
      </c>
      <c r="F139">
        <v>10366701</v>
      </c>
      <c r="G139" t="s">
        <v>914</v>
      </c>
      <c r="H139" t="s">
        <v>113</v>
      </c>
      <c r="I139" s="3">
        <v>0.33333333333333331</v>
      </c>
      <c r="J139" t="s">
        <v>113</v>
      </c>
      <c r="K139" s="3">
        <v>0.33333333333333331</v>
      </c>
      <c r="L139" t="s">
        <v>113</v>
      </c>
      <c r="M139" s="3">
        <v>0.33333333333333331</v>
      </c>
      <c r="N139" t="s">
        <v>191</v>
      </c>
      <c r="O139" s="3">
        <v>0.33333333333333331</v>
      </c>
      <c r="P139" t="s">
        <v>191</v>
      </c>
      <c r="Q139" s="3">
        <v>0.33333333333333331</v>
      </c>
      <c r="R139" t="b">
        <v>1</v>
      </c>
      <c r="S139" t="s">
        <v>1691</v>
      </c>
    </row>
    <row r="140" spans="1:19" hidden="1" x14ac:dyDescent="0.2">
      <c r="A140">
        <v>138</v>
      </c>
      <c r="B140" t="s">
        <v>33</v>
      </c>
      <c r="C140" t="s">
        <v>677</v>
      </c>
      <c r="D140">
        <v>91711</v>
      </c>
      <c r="E140">
        <v>1</v>
      </c>
      <c r="F140">
        <v>10257033</v>
      </c>
      <c r="G140" t="s">
        <v>914</v>
      </c>
      <c r="H140" t="s">
        <v>191</v>
      </c>
      <c r="I140" s="3">
        <v>0.33333333333333331</v>
      </c>
      <c r="J140" t="s">
        <v>191</v>
      </c>
      <c r="K140" s="3">
        <v>0.33333333333333331</v>
      </c>
      <c r="L140" t="s">
        <v>191</v>
      </c>
      <c r="M140" s="3">
        <v>0.33333333333333331</v>
      </c>
      <c r="N140" t="s">
        <v>191</v>
      </c>
      <c r="O140" s="3">
        <v>0.33333333333333331</v>
      </c>
      <c r="P140" t="s">
        <v>191</v>
      </c>
      <c r="Q140" s="3">
        <v>0.33333333333333331</v>
      </c>
      <c r="R140" t="b">
        <v>1</v>
      </c>
      <c r="S140" t="s">
        <v>1692</v>
      </c>
    </row>
    <row r="141" spans="1:19" hidden="1" x14ac:dyDescent="0.2">
      <c r="A141">
        <v>139</v>
      </c>
      <c r="B141" t="s">
        <v>337</v>
      </c>
      <c r="C141" t="s">
        <v>905</v>
      </c>
      <c r="D141">
        <v>91701</v>
      </c>
      <c r="E141">
        <v>10</v>
      </c>
      <c r="F141">
        <v>10366518</v>
      </c>
      <c r="G141" t="s">
        <v>914</v>
      </c>
      <c r="H141" t="s">
        <v>108</v>
      </c>
      <c r="I141" s="3">
        <v>0.33333333333333331</v>
      </c>
      <c r="J141" t="s">
        <v>108</v>
      </c>
      <c r="K141" s="3">
        <v>0.33333333333333331</v>
      </c>
      <c r="L141" t="s">
        <v>108</v>
      </c>
      <c r="M141" s="3">
        <v>0.33333333333333331</v>
      </c>
      <c r="N141" t="s">
        <v>103</v>
      </c>
      <c r="O141" s="3">
        <v>0.33333333333333331</v>
      </c>
      <c r="P141" t="s">
        <v>108</v>
      </c>
      <c r="Q141" s="3">
        <v>0.33333333333333331</v>
      </c>
      <c r="R141" t="b">
        <v>1</v>
      </c>
      <c r="S141" t="s">
        <v>1693</v>
      </c>
    </row>
    <row r="142" spans="1:19" hidden="1" x14ac:dyDescent="0.2">
      <c r="A142">
        <v>140</v>
      </c>
      <c r="B142" t="s">
        <v>988</v>
      </c>
      <c r="C142" t="s">
        <v>989</v>
      </c>
      <c r="D142">
        <v>91711</v>
      </c>
      <c r="E142">
        <v>3</v>
      </c>
      <c r="F142">
        <v>10025853</v>
      </c>
      <c r="G142" t="s">
        <v>914</v>
      </c>
      <c r="H142" t="s">
        <v>113</v>
      </c>
      <c r="I142" s="3">
        <v>0.33333333333333331</v>
      </c>
      <c r="J142" t="s">
        <v>113</v>
      </c>
      <c r="K142" s="3">
        <v>0.33333333333333331</v>
      </c>
      <c r="L142" t="s">
        <v>103</v>
      </c>
      <c r="M142" s="3">
        <v>0.33333333333333331</v>
      </c>
      <c r="N142" t="s">
        <v>103</v>
      </c>
      <c r="O142" s="3">
        <v>0.33333333333333331</v>
      </c>
      <c r="P142" t="s">
        <v>195</v>
      </c>
      <c r="Q142" s="3">
        <v>0.33333333333333331</v>
      </c>
      <c r="R142" t="b">
        <v>1</v>
      </c>
      <c r="S142" t="s">
        <v>1694</v>
      </c>
    </row>
    <row r="143" spans="1:19" x14ac:dyDescent="0.2">
      <c r="A143">
        <v>141</v>
      </c>
      <c r="B143" t="s">
        <v>33</v>
      </c>
      <c r="C143" t="s">
        <v>397</v>
      </c>
      <c r="D143">
        <v>91030</v>
      </c>
      <c r="E143">
        <v>30</v>
      </c>
      <c r="F143">
        <v>101589521</v>
      </c>
      <c r="G143" t="s">
        <v>1495</v>
      </c>
      <c r="H143" t="s">
        <v>113</v>
      </c>
      <c r="I143" s="3">
        <v>0.41666666666666669</v>
      </c>
      <c r="J143" t="s">
        <v>85</v>
      </c>
      <c r="K143" s="3">
        <v>0.41666666666666669</v>
      </c>
      <c r="L143" t="s">
        <v>113</v>
      </c>
      <c r="M143" s="3">
        <v>0.39583333333333331</v>
      </c>
      <c r="N143" t="s">
        <v>85</v>
      </c>
      <c r="O143" s="3">
        <v>0.41666666666666669</v>
      </c>
      <c r="P143" t="s">
        <v>108</v>
      </c>
      <c r="Q143" s="3">
        <v>0.375</v>
      </c>
      <c r="R143" t="b">
        <v>1</v>
      </c>
      <c r="S143" t="s">
        <v>1695</v>
      </c>
    </row>
    <row r="144" spans="1:19" hidden="1" x14ac:dyDescent="0.2">
      <c r="A144">
        <v>142</v>
      </c>
      <c r="B144" t="s">
        <v>1058</v>
      </c>
      <c r="C144" t="s">
        <v>675</v>
      </c>
      <c r="D144">
        <v>91784</v>
      </c>
      <c r="E144">
        <v>5.6</v>
      </c>
      <c r="F144">
        <v>10358547</v>
      </c>
      <c r="G144" t="s">
        <v>914</v>
      </c>
      <c r="H144" t="s">
        <v>191</v>
      </c>
      <c r="I144" s="3">
        <v>0.33333333333333331</v>
      </c>
      <c r="J144" t="s">
        <v>191</v>
      </c>
      <c r="K144" s="3">
        <v>0.33333333333333331</v>
      </c>
      <c r="L144" t="s">
        <v>191</v>
      </c>
      <c r="M144" s="3">
        <v>0.33333333333333331</v>
      </c>
      <c r="N144" t="s">
        <v>191</v>
      </c>
      <c r="O144" s="3">
        <v>0.33333333333333331</v>
      </c>
      <c r="P144" t="s">
        <v>191</v>
      </c>
      <c r="Q144" s="3">
        <v>0.33333333333333331</v>
      </c>
      <c r="R144" t="b">
        <v>1</v>
      </c>
      <c r="S144" t="s">
        <v>1696</v>
      </c>
    </row>
    <row r="145" spans="1:19" hidden="1" x14ac:dyDescent="0.2">
      <c r="A145">
        <v>143</v>
      </c>
      <c r="B145" t="s">
        <v>1088</v>
      </c>
      <c r="C145" t="s">
        <v>1089</v>
      </c>
      <c r="D145">
        <v>91762</v>
      </c>
      <c r="E145">
        <v>8</v>
      </c>
      <c r="F145">
        <v>10085156</v>
      </c>
      <c r="G145" t="s">
        <v>914</v>
      </c>
      <c r="H145" t="s">
        <v>113</v>
      </c>
      <c r="I145" s="3">
        <v>0.29166666666666669</v>
      </c>
      <c r="J145" t="s">
        <v>113</v>
      </c>
      <c r="K145" s="3">
        <v>0.29166666666666669</v>
      </c>
      <c r="L145" t="s">
        <v>113</v>
      </c>
      <c r="M145" s="3">
        <v>0.29166666666666669</v>
      </c>
      <c r="N145" t="s">
        <v>113</v>
      </c>
      <c r="O145" s="3">
        <v>0.29166666666666669</v>
      </c>
      <c r="P145" t="s">
        <v>113</v>
      </c>
      <c r="Q145" s="3">
        <v>0.29166666666666669</v>
      </c>
      <c r="R145" t="b">
        <v>1</v>
      </c>
      <c r="S145" t="s">
        <v>1697</v>
      </c>
    </row>
    <row r="146" spans="1:19" hidden="1" x14ac:dyDescent="0.2">
      <c r="A146">
        <v>144</v>
      </c>
      <c r="B146" t="s">
        <v>488</v>
      </c>
      <c r="C146" t="s">
        <v>487</v>
      </c>
      <c r="D146">
        <v>92336</v>
      </c>
      <c r="E146">
        <v>14</v>
      </c>
      <c r="F146">
        <v>10125379</v>
      </c>
      <c r="G146" t="s">
        <v>914</v>
      </c>
      <c r="H146" t="s">
        <v>113</v>
      </c>
      <c r="I146" s="3">
        <v>0.22916666666666666</v>
      </c>
      <c r="J146" t="s">
        <v>113</v>
      </c>
      <c r="K146" s="3">
        <v>0.72916666666666663</v>
      </c>
      <c r="L146" t="s">
        <v>113</v>
      </c>
      <c r="M146" s="3">
        <v>0.54166666666666663</v>
      </c>
      <c r="N146" t="s">
        <v>113</v>
      </c>
      <c r="O146" s="3">
        <v>0.25</v>
      </c>
      <c r="P146" t="s">
        <v>202</v>
      </c>
      <c r="Q146" s="3">
        <v>0.25</v>
      </c>
      <c r="R146" t="b">
        <v>1</v>
      </c>
      <c r="S146" t="s">
        <v>1698</v>
      </c>
    </row>
    <row r="147" spans="1:19" hidden="1" x14ac:dyDescent="0.2">
      <c r="A147">
        <v>145</v>
      </c>
      <c r="B147" t="s">
        <v>1277</v>
      </c>
      <c r="C147" t="s">
        <v>1278</v>
      </c>
      <c r="D147">
        <v>92404</v>
      </c>
      <c r="E147">
        <v>30</v>
      </c>
      <c r="F147">
        <v>10360807</v>
      </c>
      <c r="G147" t="s">
        <v>914</v>
      </c>
      <c r="H147" t="s">
        <v>113</v>
      </c>
      <c r="I147" s="3">
        <v>0.25</v>
      </c>
      <c r="J147" t="s">
        <v>113</v>
      </c>
      <c r="K147" s="3">
        <v>0.375</v>
      </c>
      <c r="L147" t="s">
        <v>113</v>
      </c>
      <c r="M147" s="3">
        <v>0.375</v>
      </c>
      <c r="N147" t="s">
        <v>113</v>
      </c>
      <c r="O147" s="3">
        <v>0.375</v>
      </c>
      <c r="P147" t="s">
        <v>113</v>
      </c>
      <c r="Q147" s="3">
        <v>0.25</v>
      </c>
      <c r="R147" t="b">
        <v>1</v>
      </c>
      <c r="S147" t="s">
        <v>1699</v>
      </c>
    </row>
    <row r="148" spans="1:19" hidden="1" x14ac:dyDescent="0.2">
      <c r="A148">
        <v>146</v>
      </c>
      <c r="B148" t="s">
        <v>501</v>
      </c>
      <c r="C148" t="s">
        <v>500</v>
      </c>
      <c r="D148">
        <v>91765</v>
      </c>
      <c r="E148">
        <v>12</v>
      </c>
      <c r="F148">
        <v>10366558</v>
      </c>
      <c r="G148" t="s">
        <v>914</v>
      </c>
      <c r="H148" t="s">
        <v>113</v>
      </c>
      <c r="I148" s="3">
        <v>0.35416666666666669</v>
      </c>
      <c r="J148" t="s">
        <v>103</v>
      </c>
      <c r="K148" s="3">
        <v>0.33333333333333331</v>
      </c>
      <c r="L148" t="s">
        <v>191</v>
      </c>
      <c r="M148" s="3">
        <v>0.33333333333333331</v>
      </c>
      <c r="N148" t="s">
        <v>191</v>
      </c>
      <c r="O148" s="3">
        <v>0.33333333333333331</v>
      </c>
      <c r="P148" t="s">
        <v>191</v>
      </c>
      <c r="Q148" s="3">
        <v>0.33333333333333331</v>
      </c>
      <c r="R148" t="b">
        <v>1</v>
      </c>
      <c r="S148" t="s">
        <v>1700</v>
      </c>
    </row>
    <row r="149" spans="1:19" hidden="1" x14ac:dyDescent="0.2">
      <c r="A149">
        <v>147</v>
      </c>
      <c r="B149" t="s">
        <v>1162</v>
      </c>
      <c r="C149" t="s">
        <v>1163</v>
      </c>
      <c r="D149">
        <v>91763</v>
      </c>
      <c r="E149">
        <v>15</v>
      </c>
      <c r="F149" t="s">
        <v>1164</v>
      </c>
      <c r="G149" t="s">
        <v>914</v>
      </c>
      <c r="H149" t="s">
        <v>98</v>
      </c>
      <c r="I149" s="3">
        <v>0.54166666666666663</v>
      </c>
      <c r="J149" t="s">
        <v>98</v>
      </c>
      <c r="K149" s="3">
        <v>0.54166666666666663</v>
      </c>
      <c r="L149" t="s">
        <v>98</v>
      </c>
      <c r="M149" s="3">
        <v>0.54166666666666663</v>
      </c>
      <c r="N149" t="s">
        <v>98</v>
      </c>
      <c r="O149" s="3">
        <v>0.54166666666666663</v>
      </c>
      <c r="P149" t="s">
        <v>98</v>
      </c>
      <c r="Q149" s="3">
        <v>0.54166666666666663</v>
      </c>
      <c r="R149" t="b">
        <v>0</v>
      </c>
      <c r="S149" t="s">
        <v>1701</v>
      </c>
    </row>
    <row r="150" spans="1:19" hidden="1" x14ac:dyDescent="0.2">
      <c r="A150">
        <v>148</v>
      </c>
      <c r="B150" t="s">
        <v>1090</v>
      </c>
      <c r="C150" t="s">
        <v>1091</v>
      </c>
      <c r="D150">
        <v>91762</v>
      </c>
      <c r="E150">
        <v>8</v>
      </c>
      <c r="F150">
        <v>10199325</v>
      </c>
      <c r="G150" t="s">
        <v>914</v>
      </c>
      <c r="H150" t="s">
        <v>113</v>
      </c>
      <c r="I150" s="3">
        <v>0.27083333333333331</v>
      </c>
      <c r="J150" t="s">
        <v>113</v>
      </c>
      <c r="K150" s="3">
        <v>0.27083333333333331</v>
      </c>
      <c r="L150" t="s">
        <v>113</v>
      </c>
      <c r="M150" s="3">
        <v>0.27083333333333331</v>
      </c>
      <c r="N150" t="s">
        <v>113</v>
      </c>
      <c r="O150" s="3">
        <v>0.27083333333333331</v>
      </c>
      <c r="P150" t="s">
        <v>113</v>
      </c>
      <c r="Q150" s="3">
        <v>0.16666666666666666</v>
      </c>
      <c r="R150" t="b">
        <v>1</v>
      </c>
      <c r="S150" t="s">
        <v>1702</v>
      </c>
    </row>
    <row r="151" spans="1:19" hidden="1" x14ac:dyDescent="0.2">
      <c r="A151">
        <v>149</v>
      </c>
      <c r="B151" t="s">
        <v>965</v>
      </c>
      <c r="C151" t="s">
        <v>1122</v>
      </c>
      <c r="D151">
        <v>91762</v>
      </c>
      <c r="E151">
        <v>10</v>
      </c>
      <c r="F151">
        <v>10043018</v>
      </c>
      <c r="G151" t="s">
        <v>914</v>
      </c>
      <c r="H151" t="s">
        <v>113</v>
      </c>
      <c r="I151" s="3">
        <v>0.20833333333333334</v>
      </c>
      <c r="J151" t="s">
        <v>113</v>
      </c>
      <c r="K151" s="3">
        <v>0.20833333333333334</v>
      </c>
      <c r="L151" t="s">
        <v>113</v>
      </c>
      <c r="M151" s="3">
        <v>0.20833333333333334</v>
      </c>
      <c r="N151" t="s">
        <v>113</v>
      </c>
      <c r="O151" s="3">
        <v>0.20833333333333334</v>
      </c>
      <c r="P151" t="s">
        <v>113</v>
      </c>
      <c r="Q151" s="3">
        <v>0.20833333333333334</v>
      </c>
      <c r="R151" t="b">
        <v>0</v>
      </c>
      <c r="S151" t="s">
        <v>1703</v>
      </c>
    </row>
    <row r="152" spans="1:19" hidden="1" x14ac:dyDescent="0.2">
      <c r="A152">
        <v>150</v>
      </c>
      <c r="B152" t="s">
        <v>1043</v>
      </c>
      <c r="C152" t="s">
        <v>218</v>
      </c>
      <c r="D152">
        <v>91767</v>
      </c>
      <c r="E152">
        <v>5</v>
      </c>
      <c r="F152">
        <v>10138149</v>
      </c>
      <c r="G152" t="s">
        <v>914</v>
      </c>
      <c r="H152" t="s">
        <v>103</v>
      </c>
      <c r="I152" s="3">
        <v>0.20833333333333334</v>
      </c>
      <c r="J152" t="s">
        <v>103</v>
      </c>
      <c r="K152" s="3">
        <v>0.20833333333333334</v>
      </c>
      <c r="L152" t="s">
        <v>103</v>
      </c>
      <c r="M152" s="3">
        <v>0.20833333333333334</v>
      </c>
      <c r="N152" t="s">
        <v>103</v>
      </c>
      <c r="O152" s="3">
        <v>0.20833333333333334</v>
      </c>
      <c r="P152" t="s">
        <v>103</v>
      </c>
      <c r="Q152" s="3">
        <v>0.20833333333333334</v>
      </c>
      <c r="R152" t="b">
        <v>0</v>
      </c>
      <c r="S152" t="s">
        <v>1704</v>
      </c>
    </row>
    <row r="153" spans="1:19" hidden="1" x14ac:dyDescent="0.2">
      <c r="A153">
        <v>151</v>
      </c>
      <c r="B153" t="s">
        <v>215</v>
      </c>
      <c r="C153" t="s">
        <v>214</v>
      </c>
      <c r="D153">
        <v>92336</v>
      </c>
      <c r="E153">
        <v>15</v>
      </c>
      <c r="F153">
        <v>10042857</v>
      </c>
      <c r="G153" t="s">
        <v>914</v>
      </c>
      <c r="H153" t="s">
        <v>191</v>
      </c>
      <c r="I153" s="3">
        <v>0.29166666666666669</v>
      </c>
      <c r="J153" t="s">
        <v>191</v>
      </c>
      <c r="K153" s="3">
        <v>0.29166666666666669</v>
      </c>
      <c r="L153" t="s">
        <v>191</v>
      </c>
      <c r="M153" s="3">
        <v>0.29166666666666669</v>
      </c>
      <c r="N153" t="s">
        <v>113</v>
      </c>
      <c r="O153" s="3">
        <v>0.29166666666666669</v>
      </c>
      <c r="P153" t="s">
        <v>113</v>
      </c>
      <c r="Q153" s="3">
        <v>0.29166666666666669</v>
      </c>
      <c r="R153" t="b">
        <v>1</v>
      </c>
      <c r="S153" t="s">
        <v>1705</v>
      </c>
    </row>
    <row r="154" spans="1:19" hidden="1" x14ac:dyDescent="0.2">
      <c r="A154">
        <v>152</v>
      </c>
      <c r="B154" t="s">
        <v>1007</v>
      </c>
      <c r="C154" t="s">
        <v>1008</v>
      </c>
      <c r="D154">
        <v>91784</v>
      </c>
      <c r="E154">
        <v>3.3</v>
      </c>
      <c r="F154">
        <v>10042924</v>
      </c>
      <c r="G154" t="s">
        <v>914</v>
      </c>
      <c r="H154" t="s">
        <v>113</v>
      </c>
      <c r="I154" s="3">
        <v>0.33333333333333331</v>
      </c>
      <c r="J154" t="s">
        <v>113</v>
      </c>
      <c r="K154" s="3">
        <v>0.33333333333333331</v>
      </c>
      <c r="L154" t="s">
        <v>113</v>
      </c>
      <c r="M154" s="3">
        <v>0.33333333333333331</v>
      </c>
      <c r="N154" t="s">
        <v>113</v>
      </c>
      <c r="O154" s="3">
        <v>0.33333333333333331</v>
      </c>
      <c r="P154" t="s">
        <v>113</v>
      </c>
      <c r="Q154" s="3">
        <v>0.33333333333333331</v>
      </c>
      <c r="R154" t="b">
        <v>1</v>
      </c>
      <c r="S154" t="s">
        <v>1706</v>
      </c>
    </row>
    <row r="155" spans="1:19" hidden="1" x14ac:dyDescent="0.2">
      <c r="A155">
        <v>153</v>
      </c>
      <c r="B155" t="s">
        <v>968</v>
      </c>
      <c r="C155" t="s">
        <v>675</v>
      </c>
      <c r="D155">
        <v>92376</v>
      </c>
      <c r="E155">
        <v>25</v>
      </c>
      <c r="F155" t="s">
        <v>1250</v>
      </c>
      <c r="G155" t="s">
        <v>914</v>
      </c>
      <c r="H155" t="s">
        <v>103</v>
      </c>
      <c r="I155" s="3">
        <v>0.20833333333333334</v>
      </c>
      <c r="J155" t="s">
        <v>103</v>
      </c>
      <c r="K155" s="3">
        <v>0.20833333333333334</v>
      </c>
      <c r="L155" t="s">
        <v>103</v>
      </c>
      <c r="M155" s="3">
        <v>0.20833333333333334</v>
      </c>
      <c r="N155" t="s">
        <v>103</v>
      </c>
      <c r="O155" s="3">
        <v>0.20833333333333334</v>
      </c>
      <c r="P155" t="s">
        <v>103</v>
      </c>
      <c r="Q155" s="3">
        <v>0.20833333333333334</v>
      </c>
      <c r="R155" t="b">
        <v>0</v>
      </c>
      <c r="S155" t="s">
        <v>1707</v>
      </c>
    </row>
    <row r="156" spans="1:19" x14ac:dyDescent="0.2">
      <c r="A156">
        <v>154</v>
      </c>
      <c r="B156" t="s">
        <v>1708</v>
      </c>
      <c r="C156" t="s">
        <v>1709</v>
      </c>
      <c r="D156">
        <v>91746</v>
      </c>
      <c r="E156">
        <v>17</v>
      </c>
      <c r="F156">
        <v>10238445</v>
      </c>
      <c r="G156" t="s">
        <v>1495</v>
      </c>
      <c r="H156" t="s">
        <v>81</v>
      </c>
      <c r="I156" s="3">
        <v>0.375</v>
      </c>
      <c r="J156" t="s">
        <v>81</v>
      </c>
      <c r="K156" s="3">
        <v>0.375</v>
      </c>
      <c r="L156" t="s">
        <v>81</v>
      </c>
      <c r="M156" s="3">
        <v>0.375</v>
      </c>
      <c r="N156" t="s">
        <v>81</v>
      </c>
      <c r="O156" s="3">
        <v>0.375</v>
      </c>
      <c r="P156" t="s">
        <v>81</v>
      </c>
      <c r="Q156" s="3">
        <v>0.375</v>
      </c>
      <c r="R156" t="b">
        <v>1</v>
      </c>
      <c r="S156" t="s">
        <v>1710</v>
      </c>
    </row>
    <row r="157" spans="1:19" hidden="1" x14ac:dyDescent="0.2">
      <c r="A157">
        <v>155</v>
      </c>
      <c r="B157" t="s">
        <v>1303</v>
      </c>
      <c r="C157" t="s">
        <v>1304</v>
      </c>
      <c r="D157">
        <v>92346</v>
      </c>
      <c r="E157">
        <v>40</v>
      </c>
      <c r="F157" t="s">
        <v>1305</v>
      </c>
      <c r="G157" t="s">
        <v>914</v>
      </c>
      <c r="H157" t="s">
        <v>113</v>
      </c>
      <c r="I157" s="3">
        <v>0.70833333333333337</v>
      </c>
      <c r="J157" t="s">
        <v>113</v>
      </c>
      <c r="K157" s="3">
        <v>0.70833333333333337</v>
      </c>
      <c r="L157" t="s">
        <v>113</v>
      </c>
      <c r="M157" s="3">
        <v>0.70833333333333337</v>
      </c>
      <c r="N157" t="s">
        <v>113</v>
      </c>
      <c r="O157" s="3">
        <v>0.70833333333333337</v>
      </c>
      <c r="P157" t="s">
        <v>113</v>
      </c>
      <c r="Q157" s="3">
        <v>0.70833333333333337</v>
      </c>
      <c r="R157" t="b">
        <v>0</v>
      </c>
      <c r="S157" t="s">
        <v>1711</v>
      </c>
    </row>
    <row r="158" spans="1:19" hidden="1" x14ac:dyDescent="0.2">
      <c r="A158">
        <v>156</v>
      </c>
      <c r="B158" t="s">
        <v>1021</v>
      </c>
      <c r="C158" t="s">
        <v>341</v>
      </c>
      <c r="D158">
        <v>91762</v>
      </c>
      <c r="E158">
        <v>4</v>
      </c>
      <c r="F158">
        <v>10347862</v>
      </c>
      <c r="G158" t="s">
        <v>914</v>
      </c>
      <c r="H158" t="s">
        <v>113</v>
      </c>
      <c r="I158" s="3">
        <v>0.25</v>
      </c>
      <c r="J158" t="s">
        <v>113</v>
      </c>
      <c r="K158" s="3">
        <v>0.25</v>
      </c>
      <c r="L158" t="s">
        <v>113</v>
      </c>
      <c r="M158" s="3">
        <v>0.25</v>
      </c>
      <c r="N158" t="s">
        <v>113</v>
      </c>
      <c r="O158" s="3">
        <v>0.25</v>
      </c>
      <c r="P158" t="s">
        <v>113</v>
      </c>
      <c r="Q158" s="3">
        <v>0.25</v>
      </c>
      <c r="R158" t="b">
        <v>1</v>
      </c>
      <c r="S158" t="s">
        <v>1712</v>
      </c>
    </row>
    <row r="159" spans="1:19" hidden="1" x14ac:dyDescent="0.2">
      <c r="A159">
        <v>157</v>
      </c>
      <c r="B159" t="s">
        <v>661</v>
      </c>
      <c r="C159" t="s">
        <v>660</v>
      </c>
      <c r="D159">
        <v>91711</v>
      </c>
      <c r="E159">
        <v>1.5</v>
      </c>
      <c r="F159">
        <v>10358850</v>
      </c>
      <c r="G159" t="s">
        <v>914</v>
      </c>
      <c r="H159" t="s">
        <v>98</v>
      </c>
      <c r="I159" s="3">
        <v>0.375</v>
      </c>
      <c r="J159" t="s">
        <v>98</v>
      </c>
      <c r="K159" s="3">
        <v>0.375</v>
      </c>
      <c r="L159" t="s">
        <v>98</v>
      </c>
      <c r="M159" s="3">
        <v>0.375</v>
      </c>
      <c r="N159" t="s">
        <v>98</v>
      </c>
      <c r="O159" s="3">
        <v>0.375</v>
      </c>
      <c r="P159" t="s">
        <v>98</v>
      </c>
      <c r="Q159" s="3">
        <v>0.375</v>
      </c>
      <c r="R159" t="b">
        <v>1</v>
      </c>
      <c r="S159" t="s">
        <v>1713</v>
      </c>
    </row>
    <row r="160" spans="1:19" hidden="1" x14ac:dyDescent="0.2">
      <c r="A160">
        <v>158</v>
      </c>
      <c r="B160" t="s">
        <v>921</v>
      </c>
      <c r="C160" t="s">
        <v>922</v>
      </c>
      <c r="D160">
        <v>10025</v>
      </c>
      <c r="E160">
        <v>0.5</v>
      </c>
      <c r="F160">
        <v>10369321</v>
      </c>
      <c r="G160" t="s">
        <v>919</v>
      </c>
      <c r="H160" t="s">
        <v>92</v>
      </c>
      <c r="I160" s="3">
        <v>0.52083333333333337</v>
      </c>
      <c r="J160" t="s">
        <v>202</v>
      </c>
      <c r="K160" s="3">
        <v>0.45833333333333331</v>
      </c>
      <c r="L160" t="s">
        <v>202</v>
      </c>
      <c r="M160" s="3">
        <v>0.45833333333333331</v>
      </c>
      <c r="N160" t="s">
        <v>202</v>
      </c>
      <c r="O160" s="3">
        <v>0.45833333333333331</v>
      </c>
      <c r="P160" t="s">
        <v>202</v>
      </c>
      <c r="Q160" s="3">
        <v>0.45833333333333331</v>
      </c>
      <c r="R160" t="b">
        <v>0</v>
      </c>
      <c r="S160" t="s">
        <v>1714</v>
      </c>
    </row>
    <row r="161" spans="1:19" hidden="1" x14ac:dyDescent="0.2">
      <c r="A161">
        <v>159</v>
      </c>
      <c r="B161" t="s">
        <v>1044</v>
      </c>
      <c r="C161" t="s">
        <v>551</v>
      </c>
      <c r="D161">
        <v>91750</v>
      </c>
      <c r="E161">
        <v>5</v>
      </c>
      <c r="F161">
        <v>10371627</v>
      </c>
      <c r="G161" t="s">
        <v>919</v>
      </c>
      <c r="H161" t="s">
        <v>113</v>
      </c>
      <c r="I161" s="3">
        <v>0.33333333333333331</v>
      </c>
      <c r="J161" t="s">
        <v>113</v>
      </c>
      <c r="K161" s="3">
        <v>0.33333333333333331</v>
      </c>
      <c r="L161" t="s">
        <v>113</v>
      </c>
      <c r="M161" s="3">
        <v>0.33333333333333331</v>
      </c>
      <c r="N161" t="s">
        <v>113</v>
      </c>
      <c r="O161" s="3">
        <v>0.33333333333333331</v>
      </c>
      <c r="P161" t="s">
        <v>113</v>
      </c>
      <c r="Q161" s="3">
        <v>0.33333333333333331</v>
      </c>
      <c r="R161" t="b">
        <v>1</v>
      </c>
      <c r="S161" t="s">
        <v>1715</v>
      </c>
    </row>
    <row r="162" spans="1:19" hidden="1" x14ac:dyDescent="0.2">
      <c r="A162">
        <v>160</v>
      </c>
      <c r="B162" t="s">
        <v>135</v>
      </c>
      <c r="C162" t="s">
        <v>134</v>
      </c>
      <c r="D162">
        <v>92316</v>
      </c>
      <c r="E162">
        <v>25</v>
      </c>
      <c r="F162">
        <v>10151953</v>
      </c>
      <c r="G162" t="s">
        <v>914</v>
      </c>
      <c r="H162" t="s">
        <v>113</v>
      </c>
      <c r="I162" s="3">
        <v>0.29166666666666669</v>
      </c>
      <c r="J162" t="s">
        <v>113</v>
      </c>
      <c r="K162" s="3">
        <v>0.29166666666666669</v>
      </c>
      <c r="L162" t="s">
        <v>113</v>
      </c>
      <c r="M162" s="3">
        <v>0.29166666666666669</v>
      </c>
      <c r="N162" t="s">
        <v>113</v>
      </c>
      <c r="O162" s="3">
        <v>0.29166666666666669</v>
      </c>
      <c r="P162" t="s">
        <v>113</v>
      </c>
      <c r="Q162" s="3">
        <v>0.29166666666666669</v>
      </c>
      <c r="R162" t="b">
        <v>1</v>
      </c>
      <c r="S162" t="s">
        <v>1716</v>
      </c>
    </row>
    <row r="163" spans="1:19" hidden="1" x14ac:dyDescent="0.2">
      <c r="A163">
        <v>161</v>
      </c>
      <c r="B163" t="s">
        <v>1224</v>
      </c>
      <c r="C163" t="s">
        <v>832</v>
      </c>
      <c r="D163">
        <v>92335</v>
      </c>
      <c r="E163">
        <v>20</v>
      </c>
      <c r="F163" t="s">
        <v>1225</v>
      </c>
      <c r="G163" t="s">
        <v>914</v>
      </c>
      <c r="H163" t="s">
        <v>113</v>
      </c>
      <c r="I163" s="3">
        <v>0.29166666666666669</v>
      </c>
      <c r="J163" t="s">
        <v>113</v>
      </c>
      <c r="K163" s="3">
        <v>0.29166666666666669</v>
      </c>
      <c r="L163" t="s">
        <v>113</v>
      </c>
      <c r="M163" s="3">
        <v>0.29166666666666669</v>
      </c>
      <c r="N163" t="s">
        <v>113</v>
      </c>
      <c r="O163" s="3">
        <v>0.29166666666666669</v>
      </c>
      <c r="P163" t="s">
        <v>113</v>
      </c>
      <c r="Q163" s="3">
        <v>0.29166666666666669</v>
      </c>
      <c r="R163" t="b">
        <v>1</v>
      </c>
      <c r="S163" t="s">
        <v>1717</v>
      </c>
    </row>
    <row r="164" spans="1:19" hidden="1" x14ac:dyDescent="0.2">
      <c r="A164">
        <v>162</v>
      </c>
      <c r="B164" t="s">
        <v>468</v>
      </c>
      <c r="C164" t="s">
        <v>467</v>
      </c>
      <c r="D164">
        <v>91711</v>
      </c>
      <c r="E164">
        <v>1</v>
      </c>
      <c r="F164">
        <v>10374423</v>
      </c>
      <c r="G164" t="s">
        <v>914</v>
      </c>
      <c r="H164" t="s">
        <v>92</v>
      </c>
      <c r="I164" s="3">
        <v>0.29166666666666669</v>
      </c>
      <c r="J164" t="s">
        <v>92</v>
      </c>
      <c r="K164" s="3">
        <v>0.29166666666666669</v>
      </c>
      <c r="L164" t="s">
        <v>92</v>
      </c>
      <c r="M164" s="3">
        <v>0.29166666666666669</v>
      </c>
      <c r="N164" t="s">
        <v>92</v>
      </c>
      <c r="O164" s="3">
        <v>0.29166666666666669</v>
      </c>
      <c r="P164" t="s">
        <v>92</v>
      </c>
      <c r="Q164" s="3">
        <v>0.29166666666666669</v>
      </c>
      <c r="R164" t="b">
        <v>1</v>
      </c>
      <c r="S164" t="s">
        <v>1718</v>
      </c>
    </row>
    <row r="165" spans="1:19" hidden="1" x14ac:dyDescent="0.2">
      <c r="A165">
        <v>163</v>
      </c>
      <c r="B165" t="s">
        <v>403</v>
      </c>
      <c r="C165" t="s">
        <v>1092</v>
      </c>
      <c r="D165">
        <v>91730</v>
      </c>
      <c r="E165">
        <v>8</v>
      </c>
      <c r="F165">
        <v>10042917</v>
      </c>
      <c r="G165" t="s">
        <v>914</v>
      </c>
      <c r="H165" t="s">
        <v>113</v>
      </c>
      <c r="I165" s="3">
        <v>0.29166666666666669</v>
      </c>
      <c r="J165" t="s">
        <v>113</v>
      </c>
      <c r="K165" s="3">
        <v>0.29166666666666669</v>
      </c>
      <c r="L165" t="s">
        <v>113</v>
      </c>
      <c r="M165" s="3">
        <v>0.29166666666666669</v>
      </c>
      <c r="N165" t="s">
        <v>113</v>
      </c>
      <c r="O165" s="3">
        <v>0.29166666666666669</v>
      </c>
      <c r="P165" t="s">
        <v>113</v>
      </c>
      <c r="Q165" s="3">
        <v>0.29166666666666669</v>
      </c>
      <c r="R165" t="b">
        <v>1</v>
      </c>
      <c r="S165" t="s">
        <v>1719</v>
      </c>
    </row>
    <row r="166" spans="1:19" hidden="1" x14ac:dyDescent="0.2">
      <c r="A166">
        <v>164</v>
      </c>
      <c r="B166" t="s">
        <v>1196</v>
      </c>
      <c r="C166" t="s">
        <v>1197</v>
      </c>
      <c r="D166">
        <v>92335</v>
      </c>
      <c r="E166">
        <v>16</v>
      </c>
      <c r="F166">
        <v>10366672</v>
      </c>
      <c r="G166" t="s">
        <v>914</v>
      </c>
      <c r="H166" t="s">
        <v>113</v>
      </c>
      <c r="I166" s="3">
        <v>0.64583333333333337</v>
      </c>
      <c r="J166" t="s">
        <v>113</v>
      </c>
      <c r="K166" s="3">
        <v>0.64583333333333337</v>
      </c>
      <c r="L166" t="s">
        <v>113</v>
      </c>
      <c r="M166" s="3">
        <v>0.64583333333333337</v>
      </c>
      <c r="N166" t="s">
        <v>113</v>
      </c>
      <c r="O166" s="3">
        <v>0.64583333333333337</v>
      </c>
      <c r="P166" t="s">
        <v>113</v>
      </c>
      <c r="Q166" s="3">
        <v>0.64583333333333337</v>
      </c>
      <c r="R166" t="b">
        <v>0</v>
      </c>
      <c r="S166" t="s">
        <v>1720</v>
      </c>
    </row>
    <row r="167" spans="1:19" hidden="1" x14ac:dyDescent="0.2">
      <c r="A167">
        <v>165</v>
      </c>
      <c r="B167" t="s">
        <v>1165</v>
      </c>
      <c r="C167" t="s">
        <v>1166</v>
      </c>
      <c r="D167">
        <v>92377</v>
      </c>
      <c r="E167">
        <v>15</v>
      </c>
      <c r="F167">
        <v>10042242</v>
      </c>
      <c r="G167" t="s">
        <v>914</v>
      </c>
      <c r="H167" t="s">
        <v>113</v>
      </c>
      <c r="I167" s="3">
        <v>0.29166666666666669</v>
      </c>
      <c r="J167" t="s">
        <v>113</v>
      </c>
      <c r="K167" s="3">
        <v>0.29166666666666669</v>
      </c>
      <c r="L167" t="s">
        <v>113</v>
      </c>
      <c r="M167" s="3">
        <v>0.29166666666666669</v>
      </c>
      <c r="N167" t="s">
        <v>113</v>
      </c>
      <c r="O167" s="3">
        <v>0.29166666666666669</v>
      </c>
      <c r="P167" t="s">
        <v>113</v>
      </c>
      <c r="Q167" s="3">
        <v>0.29166666666666669</v>
      </c>
      <c r="R167" t="b">
        <v>1</v>
      </c>
      <c r="S167" t="s">
        <v>1721</v>
      </c>
    </row>
    <row r="168" spans="1:19" hidden="1" x14ac:dyDescent="0.2">
      <c r="A168">
        <v>166</v>
      </c>
      <c r="B168" t="s">
        <v>746</v>
      </c>
      <c r="C168" t="s">
        <v>1145</v>
      </c>
      <c r="D168">
        <v>91730</v>
      </c>
      <c r="E168">
        <v>12</v>
      </c>
      <c r="F168">
        <v>10370484</v>
      </c>
      <c r="G168" t="s">
        <v>914</v>
      </c>
      <c r="H168" t="s">
        <v>191</v>
      </c>
      <c r="I168" s="3">
        <v>0.33333333333333331</v>
      </c>
      <c r="J168" t="s">
        <v>113</v>
      </c>
      <c r="K168" s="3">
        <v>0.33333333333333331</v>
      </c>
      <c r="L168" t="s">
        <v>113</v>
      </c>
      <c r="M168" s="3">
        <v>0.33333333333333331</v>
      </c>
      <c r="N168" t="s">
        <v>113</v>
      </c>
      <c r="O168" s="3">
        <v>0.33333333333333331</v>
      </c>
      <c r="P168" t="s">
        <v>113</v>
      </c>
      <c r="Q168" s="3">
        <v>0.33333333333333331</v>
      </c>
      <c r="R168" t="b">
        <v>1</v>
      </c>
      <c r="S168" t="s">
        <v>1722</v>
      </c>
    </row>
    <row r="169" spans="1:19" hidden="1" x14ac:dyDescent="0.2">
      <c r="A169">
        <v>167</v>
      </c>
      <c r="B169" t="s">
        <v>527</v>
      </c>
      <c r="C169" t="s">
        <v>526</v>
      </c>
      <c r="D169">
        <v>91764</v>
      </c>
      <c r="E169">
        <v>13</v>
      </c>
      <c r="F169">
        <v>10042458</v>
      </c>
      <c r="G169" t="s">
        <v>914</v>
      </c>
      <c r="H169" t="s">
        <v>113</v>
      </c>
      <c r="I169" s="3">
        <v>0.29166666666666669</v>
      </c>
      <c r="J169" t="s">
        <v>113</v>
      </c>
      <c r="K169" s="3">
        <v>0.29166666666666669</v>
      </c>
      <c r="L169" t="s">
        <v>113</v>
      </c>
      <c r="M169" s="3">
        <v>0.29166666666666669</v>
      </c>
      <c r="N169" t="s">
        <v>113</v>
      </c>
      <c r="O169" s="3">
        <v>0.29166666666666669</v>
      </c>
      <c r="P169" t="s">
        <v>113</v>
      </c>
      <c r="Q169" s="3">
        <v>0.29166666666666669</v>
      </c>
      <c r="R169" t="b">
        <v>1</v>
      </c>
      <c r="S169" t="s">
        <v>1723</v>
      </c>
    </row>
    <row r="170" spans="1:19" hidden="1" x14ac:dyDescent="0.2">
      <c r="A170">
        <v>168</v>
      </c>
      <c r="B170" t="s">
        <v>321</v>
      </c>
      <c r="C170" t="s">
        <v>320</v>
      </c>
      <c r="D170">
        <v>92376</v>
      </c>
      <c r="E170">
        <v>24</v>
      </c>
      <c r="F170">
        <v>101772261</v>
      </c>
      <c r="G170" t="s">
        <v>914</v>
      </c>
      <c r="H170" t="s">
        <v>195</v>
      </c>
      <c r="I170" s="3">
        <v>0.33333333333333331</v>
      </c>
      <c r="J170" t="s">
        <v>1016</v>
      </c>
      <c r="K170" s="3">
        <v>0.33333333333333331</v>
      </c>
      <c r="L170" t="s">
        <v>1016</v>
      </c>
      <c r="M170" s="3">
        <v>0.33333333333333331</v>
      </c>
      <c r="N170" t="s">
        <v>191</v>
      </c>
      <c r="O170" s="3">
        <v>0.33333333333333331</v>
      </c>
      <c r="P170" t="s">
        <v>191</v>
      </c>
      <c r="Q170" s="3">
        <v>0.33333333333333331</v>
      </c>
      <c r="R170" t="b">
        <v>1</v>
      </c>
      <c r="S170" t="s">
        <v>1724</v>
      </c>
    </row>
    <row r="171" spans="1:19" hidden="1" x14ac:dyDescent="0.2">
      <c r="A171">
        <v>169</v>
      </c>
      <c r="B171" t="s">
        <v>33</v>
      </c>
      <c r="C171" t="s">
        <v>1226</v>
      </c>
      <c r="D171">
        <v>92335</v>
      </c>
      <c r="E171">
        <v>20</v>
      </c>
      <c r="F171">
        <v>10042928</v>
      </c>
      <c r="G171" t="s">
        <v>914</v>
      </c>
      <c r="H171" t="s">
        <v>85</v>
      </c>
      <c r="I171" s="3">
        <v>0.29166666666666669</v>
      </c>
      <c r="J171" t="s">
        <v>85</v>
      </c>
      <c r="K171" s="3">
        <v>0.29166666666666669</v>
      </c>
      <c r="L171" t="s">
        <v>85</v>
      </c>
      <c r="M171" s="3">
        <v>0.29166666666666669</v>
      </c>
      <c r="N171" t="s">
        <v>85</v>
      </c>
      <c r="O171" s="3">
        <v>0.29166666666666669</v>
      </c>
      <c r="P171" t="s">
        <v>85</v>
      </c>
      <c r="Q171" s="3">
        <v>0.29166666666666669</v>
      </c>
      <c r="R171" t="b">
        <v>1</v>
      </c>
      <c r="S171" t="s">
        <v>1725</v>
      </c>
    </row>
    <row r="172" spans="1:19" hidden="1" x14ac:dyDescent="0.2">
      <c r="A172">
        <v>170</v>
      </c>
      <c r="B172" t="s">
        <v>28</v>
      </c>
      <c r="C172" t="s">
        <v>467</v>
      </c>
      <c r="D172">
        <v>91764</v>
      </c>
      <c r="E172">
        <v>6</v>
      </c>
      <c r="F172" t="s">
        <v>1059</v>
      </c>
      <c r="G172" t="s">
        <v>914</v>
      </c>
      <c r="H172" t="s">
        <v>113</v>
      </c>
      <c r="I172" s="3">
        <v>0.27083333333333331</v>
      </c>
      <c r="J172" t="s">
        <v>113</v>
      </c>
      <c r="K172" s="3">
        <v>0.27083333333333331</v>
      </c>
      <c r="L172" t="s">
        <v>113</v>
      </c>
      <c r="M172" s="3">
        <v>0.27083333333333331</v>
      </c>
      <c r="N172" t="s">
        <v>113</v>
      </c>
      <c r="O172" s="3">
        <v>0.27083333333333331</v>
      </c>
      <c r="P172" t="s">
        <v>113</v>
      </c>
      <c r="Q172" s="3">
        <v>0.27083333333333331</v>
      </c>
      <c r="R172" t="b">
        <v>1</v>
      </c>
      <c r="S172" t="s">
        <v>1726</v>
      </c>
    </row>
    <row r="173" spans="1:19" hidden="1" x14ac:dyDescent="0.2">
      <c r="A173">
        <v>171</v>
      </c>
      <c r="B173" t="s">
        <v>239</v>
      </c>
      <c r="C173" t="s">
        <v>390</v>
      </c>
      <c r="D173">
        <v>91711</v>
      </c>
      <c r="E173">
        <v>3</v>
      </c>
      <c r="F173">
        <v>10120597</v>
      </c>
      <c r="G173" t="s">
        <v>914</v>
      </c>
      <c r="H173" t="s">
        <v>113</v>
      </c>
      <c r="I173" s="3">
        <v>0.33333333333333331</v>
      </c>
      <c r="J173" t="s">
        <v>113</v>
      </c>
      <c r="K173" s="3">
        <v>0.33333333333333331</v>
      </c>
      <c r="L173" t="s">
        <v>113</v>
      </c>
      <c r="M173" s="3">
        <v>0.33333333333333331</v>
      </c>
      <c r="N173" t="s">
        <v>113</v>
      </c>
      <c r="O173" s="3">
        <v>0.33333333333333331</v>
      </c>
      <c r="P173" t="s">
        <v>113</v>
      </c>
      <c r="Q173" s="3">
        <v>0.33333333333333331</v>
      </c>
      <c r="R173" t="b">
        <v>1</v>
      </c>
      <c r="S173" t="s">
        <v>1727</v>
      </c>
    </row>
    <row r="174" spans="1:19" hidden="1" x14ac:dyDescent="0.2">
      <c r="A174">
        <v>172</v>
      </c>
      <c r="B174" t="s">
        <v>288</v>
      </c>
      <c r="C174" t="s">
        <v>1045</v>
      </c>
      <c r="D174">
        <v>91786</v>
      </c>
      <c r="E174">
        <v>5</v>
      </c>
      <c r="F174" t="s">
        <v>1046</v>
      </c>
      <c r="G174" t="s">
        <v>914</v>
      </c>
      <c r="H174" t="s">
        <v>113</v>
      </c>
      <c r="I174" s="3">
        <v>0.45833333333333331</v>
      </c>
      <c r="J174" t="s">
        <v>113</v>
      </c>
      <c r="K174" s="3">
        <v>0.45833333333333331</v>
      </c>
      <c r="L174" t="s">
        <v>113</v>
      </c>
      <c r="M174" s="3">
        <v>0.45833333333333331</v>
      </c>
      <c r="N174" t="s">
        <v>113</v>
      </c>
      <c r="O174" s="3">
        <v>0.45833333333333331</v>
      </c>
      <c r="P174" t="s">
        <v>113</v>
      </c>
      <c r="Q174" s="3">
        <v>0.45833333333333331</v>
      </c>
      <c r="R174" t="b">
        <v>0</v>
      </c>
      <c r="S174" t="s">
        <v>1728</v>
      </c>
    </row>
    <row r="175" spans="1:19" hidden="1" x14ac:dyDescent="0.2">
      <c r="A175">
        <v>173</v>
      </c>
      <c r="B175" t="s">
        <v>140</v>
      </c>
      <c r="C175" t="s">
        <v>139</v>
      </c>
      <c r="D175">
        <v>91786</v>
      </c>
      <c r="E175">
        <v>1</v>
      </c>
      <c r="F175">
        <v>10105644</v>
      </c>
      <c r="G175" t="s">
        <v>914</v>
      </c>
      <c r="H175" t="s">
        <v>113</v>
      </c>
      <c r="I175" s="3">
        <v>0.375</v>
      </c>
      <c r="J175" t="s">
        <v>92</v>
      </c>
      <c r="K175" s="3">
        <v>0.375</v>
      </c>
      <c r="L175" t="s">
        <v>92</v>
      </c>
      <c r="M175" s="3">
        <v>0.375</v>
      </c>
      <c r="N175" t="s">
        <v>113</v>
      </c>
      <c r="O175" s="3">
        <v>0.375</v>
      </c>
      <c r="P175" t="s">
        <v>113</v>
      </c>
      <c r="Q175" s="3">
        <v>0.375</v>
      </c>
      <c r="R175" t="b">
        <v>1</v>
      </c>
      <c r="S175" t="s">
        <v>1729</v>
      </c>
    </row>
    <row r="176" spans="1:19" hidden="1" x14ac:dyDescent="0.2">
      <c r="A176">
        <v>174</v>
      </c>
      <c r="B176" t="s">
        <v>1047</v>
      </c>
      <c r="C176" t="s">
        <v>1048</v>
      </c>
      <c r="D176">
        <v>91763</v>
      </c>
      <c r="E176">
        <v>5</v>
      </c>
      <c r="F176">
        <v>10144352</v>
      </c>
      <c r="G176" t="s">
        <v>914</v>
      </c>
      <c r="H176" t="s">
        <v>113</v>
      </c>
      <c r="I176" s="3">
        <v>0.47916666666666669</v>
      </c>
      <c r="J176" t="s">
        <v>113</v>
      </c>
      <c r="K176" s="3">
        <v>0.47916666666666669</v>
      </c>
      <c r="L176" t="s">
        <v>113</v>
      </c>
      <c r="M176" s="3">
        <v>0.47916666666666669</v>
      </c>
      <c r="N176" t="s">
        <v>113</v>
      </c>
      <c r="O176" s="3">
        <v>0.47916666666666669</v>
      </c>
      <c r="P176" t="s">
        <v>113</v>
      </c>
      <c r="Q176" s="3">
        <v>0.47916666666666669</v>
      </c>
      <c r="R176" t="b">
        <v>0</v>
      </c>
      <c r="S176" t="s">
        <v>1730</v>
      </c>
    </row>
    <row r="177" spans="1:19" hidden="1" x14ac:dyDescent="0.2">
      <c r="A177">
        <v>175</v>
      </c>
      <c r="B177" t="s">
        <v>1090</v>
      </c>
      <c r="C177" t="s">
        <v>1262</v>
      </c>
      <c r="D177">
        <v>92509</v>
      </c>
      <c r="E177">
        <v>26</v>
      </c>
      <c r="F177" t="s">
        <v>1263</v>
      </c>
      <c r="G177" t="s">
        <v>914</v>
      </c>
      <c r="H177" t="s">
        <v>113</v>
      </c>
      <c r="I177" s="3">
        <v>0.64583333333333337</v>
      </c>
      <c r="J177" t="s">
        <v>113</v>
      </c>
      <c r="K177" s="3">
        <v>0.64583333333333337</v>
      </c>
      <c r="L177" t="s">
        <v>113</v>
      </c>
      <c r="M177" s="3">
        <v>0.64583333333333337</v>
      </c>
      <c r="N177" t="s">
        <v>113</v>
      </c>
      <c r="O177" s="3">
        <v>0.64583333333333337</v>
      </c>
      <c r="P177" t="s">
        <v>113</v>
      </c>
      <c r="Q177" s="3">
        <v>0.64583333333333337</v>
      </c>
      <c r="R177" t="b">
        <v>0</v>
      </c>
      <c r="S177" t="s">
        <v>1731</v>
      </c>
    </row>
    <row r="178" spans="1:19" hidden="1" x14ac:dyDescent="0.2">
      <c r="A178">
        <v>176</v>
      </c>
      <c r="B178" t="s">
        <v>1123</v>
      </c>
      <c r="C178" t="s">
        <v>1124</v>
      </c>
      <c r="D178">
        <v>91701</v>
      </c>
      <c r="E178">
        <v>10</v>
      </c>
      <c r="F178">
        <v>10042683</v>
      </c>
      <c r="G178" t="s">
        <v>914</v>
      </c>
      <c r="H178" t="s">
        <v>113</v>
      </c>
      <c r="I178" s="3">
        <v>0.64583333333333337</v>
      </c>
      <c r="J178" t="s">
        <v>113</v>
      </c>
      <c r="K178" s="3">
        <v>0.64583333333333337</v>
      </c>
      <c r="L178" t="s">
        <v>113</v>
      </c>
      <c r="M178" s="3">
        <v>0.64583333333333337</v>
      </c>
      <c r="N178" t="s">
        <v>113</v>
      </c>
      <c r="O178" s="3">
        <v>0.64583333333333337</v>
      </c>
      <c r="P178" t="s">
        <v>113</v>
      </c>
      <c r="Q178" s="3">
        <v>0.64583333333333337</v>
      </c>
      <c r="R178" t="b">
        <v>0</v>
      </c>
      <c r="S178" t="s">
        <v>1732</v>
      </c>
    </row>
    <row r="179" spans="1:19" hidden="1" x14ac:dyDescent="0.2">
      <c r="A179">
        <v>177</v>
      </c>
      <c r="B179" t="s">
        <v>1206</v>
      </c>
      <c r="C179" t="s">
        <v>218</v>
      </c>
      <c r="D179">
        <v>92316</v>
      </c>
      <c r="E179">
        <v>17</v>
      </c>
      <c r="F179">
        <v>10197150</v>
      </c>
      <c r="G179" t="s">
        <v>914</v>
      </c>
      <c r="H179" t="s">
        <v>103</v>
      </c>
      <c r="I179" s="3">
        <v>0.20833333333333334</v>
      </c>
      <c r="J179" t="s">
        <v>103</v>
      </c>
      <c r="K179" s="3">
        <v>0.20833333333333334</v>
      </c>
      <c r="L179" t="s">
        <v>103</v>
      </c>
      <c r="M179" s="3">
        <v>0.20833333333333334</v>
      </c>
      <c r="N179" t="s">
        <v>103</v>
      </c>
      <c r="O179" s="3">
        <v>0.20833333333333334</v>
      </c>
      <c r="P179" t="s">
        <v>103</v>
      </c>
      <c r="Q179" s="3">
        <v>0.20833333333333334</v>
      </c>
      <c r="R179" t="b">
        <v>0</v>
      </c>
      <c r="S179" t="s">
        <v>1733</v>
      </c>
    </row>
    <row r="180" spans="1:19" hidden="1" x14ac:dyDescent="0.2">
      <c r="A180">
        <v>178</v>
      </c>
      <c r="B180" t="s">
        <v>1060</v>
      </c>
      <c r="C180" t="s">
        <v>1061</v>
      </c>
      <c r="D180">
        <v>91706</v>
      </c>
      <c r="E180">
        <v>6</v>
      </c>
      <c r="F180">
        <v>10366662</v>
      </c>
      <c r="G180" t="s">
        <v>914</v>
      </c>
      <c r="H180" t="s">
        <v>103</v>
      </c>
      <c r="I180" s="3">
        <v>0.29166666666666669</v>
      </c>
      <c r="J180" t="s">
        <v>103</v>
      </c>
      <c r="K180" s="3">
        <v>0.29166666666666669</v>
      </c>
      <c r="L180" t="s">
        <v>103</v>
      </c>
      <c r="M180" s="3">
        <v>0.29166666666666669</v>
      </c>
      <c r="N180" t="s">
        <v>103</v>
      </c>
      <c r="O180" s="3">
        <v>0.29166666666666669</v>
      </c>
      <c r="P180" t="s">
        <v>103</v>
      </c>
      <c r="Q180" s="3">
        <v>0.29166666666666669</v>
      </c>
      <c r="R180" t="b">
        <v>1</v>
      </c>
      <c r="S180" t="s">
        <v>1734</v>
      </c>
    </row>
    <row r="181" spans="1:19" hidden="1" x14ac:dyDescent="0.2">
      <c r="A181">
        <v>179</v>
      </c>
      <c r="B181" t="s">
        <v>1295</v>
      </c>
      <c r="C181" t="s">
        <v>1296</v>
      </c>
      <c r="D181">
        <v>92509</v>
      </c>
      <c r="E181">
        <v>35</v>
      </c>
      <c r="F181" t="s">
        <v>1297</v>
      </c>
      <c r="G181" t="s">
        <v>914</v>
      </c>
      <c r="H181" t="s">
        <v>113</v>
      </c>
      <c r="I181" s="3">
        <v>0.25</v>
      </c>
      <c r="J181" t="s">
        <v>113</v>
      </c>
      <c r="K181" s="3">
        <v>0.29166666666666669</v>
      </c>
      <c r="L181" t="s">
        <v>113</v>
      </c>
      <c r="M181" s="3">
        <v>0.29166666666666669</v>
      </c>
      <c r="N181" t="s">
        <v>113</v>
      </c>
      <c r="O181" s="3">
        <v>0.29166666666666669</v>
      </c>
      <c r="P181" t="s">
        <v>113</v>
      </c>
      <c r="Q181" s="3">
        <v>0.29166666666666669</v>
      </c>
      <c r="R181" t="b">
        <v>1</v>
      </c>
      <c r="S181" t="s">
        <v>1735</v>
      </c>
    </row>
    <row r="182" spans="1:19" hidden="1" x14ac:dyDescent="0.2">
      <c r="A182">
        <v>180</v>
      </c>
      <c r="B182" t="s">
        <v>934</v>
      </c>
      <c r="C182" t="s">
        <v>935</v>
      </c>
      <c r="D182">
        <v>91763</v>
      </c>
      <c r="E182">
        <v>1</v>
      </c>
      <c r="F182">
        <v>10042835</v>
      </c>
      <c r="G182" t="s">
        <v>914</v>
      </c>
      <c r="H182" t="s">
        <v>113</v>
      </c>
      <c r="I182" s="3">
        <v>0.29166666666666669</v>
      </c>
      <c r="J182" t="s">
        <v>113</v>
      </c>
      <c r="K182" s="3">
        <v>0.29166666666666669</v>
      </c>
      <c r="L182" t="s">
        <v>113</v>
      </c>
      <c r="M182" s="3">
        <v>0.29166666666666669</v>
      </c>
      <c r="N182" t="s">
        <v>113</v>
      </c>
      <c r="O182" s="3">
        <v>0.29166666666666669</v>
      </c>
      <c r="P182" t="s">
        <v>113</v>
      </c>
      <c r="Q182" s="3">
        <v>0.29166666666666669</v>
      </c>
      <c r="R182" t="b">
        <v>1</v>
      </c>
      <c r="S182" t="s">
        <v>1736</v>
      </c>
    </row>
    <row r="183" spans="1:19" hidden="1" x14ac:dyDescent="0.2">
      <c r="A183">
        <v>181</v>
      </c>
      <c r="B183" t="s">
        <v>1022</v>
      </c>
      <c r="C183" t="s">
        <v>1023</v>
      </c>
      <c r="D183">
        <v>91767</v>
      </c>
      <c r="E183">
        <v>4</v>
      </c>
      <c r="F183" t="s">
        <v>1024</v>
      </c>
      <c r="G183" t="s">
        <v>914</v>
      </c>
      <c r="H183" t="s">
        <v>933</v>
      </c>
      <c r="I183" s="3">
        <v>0.29166666666666669</v>
      </c>
      <c r="J183" t="s">
        <v>933</v>
      </c>
      <c r="K183" s="3">
        <v>0.29166666666666669</v>
      </c>
      <c r="L183" t="s">
        <v>933</v>
      </c>
      <c r="M183" s="3">
        <v>0.29166666666666669</v>
      </c>
      <c r="N183" t="s">
        <v>933</v>
      </c>
      <c r="O183" s="3">
        <v>0.29166666666666669</v>
      </c>
      <c r="P183" t="s">
        <v>933</v>
      </c>
      <c r="Q183" s="3">
        <v>0.29166666666666669</v>
      </c>
      <c r="R183" t="b">
        <v>1</v>
      </c>
      <c r="S183" t="s">
        <v>1737</v>
      </c>
    </row>
    <row r="184" spans="1:19" hidden="1" x14ac:dyDescent="0.2">
      <c r="A184">
        <v>182</v>
      </c>
      <c r="B184" t="s">
        <v>869</v>
      </c>
      <c r="C184" t="s">
        <v>1119</v>
      </c>
      <c r="D184">
        <v>91710</v>
      </c>
      <c r="E184">
        <v>9.1999999999999993</v>
      </c>
      <c r="F184">
        <v>10346125</v>
      </c>
      <c r="G184" t="s">
        <v>914</v>
      </c>
      <c r="H184" t="s">
        <v>103</v>
      </c>
      <c r="I184" s="3">
        <v>0.29166666666666669</v>
      </c>
      <c r="J184" t="s">
        <v>103</v>
      </c>
      <c r="K184" s="3">
        <v>0.29166666666666669</v>
      </c>
      <c r="L184" t="s">
        <v>103</v>
      </c>
      <c r="M184" s="3">
        <v>0.29166666666666669</v>
      </c>
      <c r="N184" t="s">
        <v>103</v>
      </c>
      <c r="O184" s="3">
        <v>0.29166666666666669</v>
      </c>
      <c r="P184" t="s">
        <v>103</v>
      </c>
      <c r="Q184" s="3">
        <v>0.29166666666666669</v>
      </c>
      <c r="R184" t="b">
        <v>1</v>
      </c>
      <c r="S184" t="s">
        <v>1738</v>
      </c>
    </row>
    <row r="185" spans="1:19" hidden="1" x14ac:dyDescent="0.2">
      <c r="A185">
        <v>183</v>
      </c>
      <c r="B185" t="s">
        <v>1082</v>
      </c>
      <c r="C185" t="s">
        <v>1083</v>
      </c>
      <c r="D185">
        <v>91764</v>
      </c>
      <c r="E185">
        <v>7.5</v>
      </c>
      <c r="F185">
        <v>10340696</v>
      </c>
      <c r="G185" t="s">
        <v>914</v>
      </c>
      <c r="H185" t="s">
        <v>113</v>
      </c>
      <c r="I185" s="3">
        <v>0.29166666666666669</v>
      </c>
      <c r="J185" t="s">
        <v>113</v>
      </c>
      <c r="K185" s="3">
        <v>0.29166666666666669</v>
      </c>
      <c r="L185" t="s">
        <v>113</v>
      </c>
      <c r="M185" s="3">
        <v>0.29166666666666669</v>
      </c>
      <c r="N185" t="s">
        <v>113</v>
      </c>
      <c r="O185" s="3">
        <v>0.29166666666666669</v>
      </c>
      <c r="P185" t="s">
        <v>113</v>
      </c>
      <c r="Q185" s="3">
        <v>0.29166666666666669</v>
      </c>
      <c r="R185" t="b">
        <v>1</v>
      </c>
      <c r="S185" t="s">
        <v>1739</v>
      </c>
    </row>
    <row r="186" spans="1:19" hidden="1" x14ac:dyDescent="0.2">
      <c r="A186">
        <v>184</v>
      </c>
      <c r="B186" t="s">
        <v>1093</v>
      </c>
      <c r="C186" t="s">
        <v>1094</v>
      </c>
      <c r="D186">
        <v>91701</v>
      </c>
      <c r="E186">
        <v>8</v>
      </c>
      <c r="F186" t="s">
        <v>1095</v>
      </c>
      <c r="G186" t="s">
        <v>914</v>
      </c>
      <c r="H186" t="s">
        <v>113</v>
      </c>
      <c r="I186" s="3">
        <v>0.29166666666666669</v>
      </c>
      <c r="J186" t="s">
        <v>113</v>
      </c>
      <c r="K186" s="3">
        <v>0.29166666666666669</v>
      </c>
      <c r="L186" t="s">
        <v>113</v>
      </c>
      <c r="M186" s="3">
        <v>0.29166666666666669</v>
      </c>
      <c r="N186" t="s">
        <v>113</v>
      </c>
      <c r="O186" s="3">
        <v>0.29166666666666669</v>
      </c>
      <c r="P186" t="s">
        <v>113</v>
      </c>
      <c r="Q186" s="3">
        <v>0.29166666666666669</v>
      </c>
      <c r="R186" t="b">
        <v>1</v>
      </c>
      <c r="S186" t="s">
        <v>1740</v>
      </c>
    </row>
    <row r="187" spans="1:19" hidden="1" x14ac:dyDescent="0.2">
      <c r="A187">
        <v>185</v>
      </c>
      <c r="B187" t="s">
        <v>632</v>
      </c>
      <c r="C187" t="s">
        <v>1207</v>
      </c>
      <c r="D187">
        <v>91762</v>
      </c>
      <c r="E187">
        <v>17</v>
      </c>
      <c r="F187">
        <v>101993243</v>
      </c>
      <c r="G187" t="s">
        <v>914</v>
      </c>
      <c r="H187" t="s">
        <v>113</v>
      </c>
      <c r="I187" s="3">
        <v>0.29166666666666669</v>
      </c>
      <c r="J187" t="s">
        <v>113</v>
      </c>
      <c r="K187" s="3">
        <v>0.29166666666666669</v>
      </c>
      <c r="L187" t="s">
        <v>113</v>
      </c>
      <c r="M187" s="3">
        <v>0.29166666666666669</v>
      </c>
      <c r="N187" t="s">
        <v>113</v>
      </c>
      <c r="O187" s="3">
        <v>0.29166666666666669</v>
      </c>
      <c r="P187" t="s">
        <v>113</v>
      </c>
      <c r="Q187" s="3">
        <v>0.29166666666666669</v>
      </c>
      <c r="R187" t="b">
        <v>1</v>
      </c>
      <c r="S187" t="s">
        <v>1741</v>
      </c>
    </row>
    <row r="188" spans="1:19" hidden="1" x14ac:dyDescent="0.2">
      <c r="A188">
        <v>186</v>
      </c>
      <c r="B188" t="s">
        <v>1327</v>
      </c>
      <c r="C188" t="s">
        <v>1328</v>
      </c>
      <c r="D188">
        <v>92395</v>
      </c>
      <c r="E188">
        <v>55</v>
      </c>
      <c r="F188">
        <v>10366437</v>
      </c>
      <c r="G188" t="s">
        <v>914</v>
      </c>
      <c r="H188" t="s">
        <v>113</v>
      </c>
      <c r="I188" s="3">
        <v>0.20833333333333334</v>
      </c>
      <c r="J188" t="s">
        <v>113</v>
      </c>
      <c r="K188" s="3">
        <v>0.20833333333333334</v>
      </c>
      <c r="L188" t="s">
        <v>113</v>
      </c>
      <c r="M188" s="3">
        <v>0.20833333333333334</v>
      </c>
      <c r="N188" t="s">
        <v>113</v>
      </c>
      <c r="O188" s="3">
        <v>0.20833333333333334</v>
      </c>
      <c r="P188" t="s">
        <v>113</v>
      </c>
      <c r="Q188" s="3">
        <v>0.20833333333333334</v>
      </c>
      <c r="R188" t="b">
        <v>0</v>
      </c>
      <c r="S188" t="s">
        <v>1742</v>
      </c>
    </row>
    <row r="189" spans="1:19" hidden="1" x14ac:dyDescent="0.2">
      <c r="A189">
        <v>187</v>
      </c>
      <c r="B189" t="s">
        <v>28</v>
      </c>
      <c r="C189" t="s">
        <v>27</v>
      </c>
      <c r="D189">
        <v>92376</v>
      </c>
      <c r="E189">
        <v>24.3</v>
      </c>
      <c r="F189">
        <v>101330641</v>
      </c>
      <c r="G189" t="s">
        <v>914</v>
      </c>
      <c r="H189" t="s">
        <v>85</v>
      </c>
      <c r="I189" s="3">
        <v>0.29166666666666669</v>
      </c>
      <c r="J189" t="s">
        <v>85</v>
      </c>
      <c r="K189" s="3">
        <v>0.29166666666666669</v>
      </c>
      <c r="L189" t="s">
        <v>85</v>
      </c>
      <c r="M189" s="3">
        <v>0.29166666666666669</v>
      </c>
      <c r="N189" t="s">
        <v>85</v>
      </c>
      <c r="O189" s="3">
        <v>0.29166666666666669</v>
      </c>
      <c r="P189" t="s">
        <v>85</v>
      </c>
      <c r="Q189" s="3">
        <v>0.29166666666666669</v>
      </c>
      <c r="R189" t="b">
        <v>1</v>
      </c>
      <c r="S189" t="s">
        <v>1743</v>
      </c>
    </row>
    <row r="190" spans="1:19" hidden="1" x14ac:dyDescent="0.2">
      <c r="A190">
        <v>188</v>
      </c>
      <c r="B190" t="s">
        <v>1167</v>
      </c>
      <c r="C190" t="s">
        <v>1168</v>
      </c>
      <c r="D190">
        <v>91762</v>
      </c>
      <c r="E190">
        <v>15</v>
      </c>
      <c r="F190">
        <v>1035852</v>
      </c>
      <c r="G190" t="s">
        <v>914</v>
      </c>
      <c r="H190" t="s">
        <v>103</v>
      </c>
      <c r="I190" s="3">
        <v>0.33333333333333331</v>
      </c>
      <c r="J190" t="s">
        <v>103</v>
      </c>
      <c r="K190" s="3">
        <v>0.33333333333333331</v>
      </c>
      <c r="L190" t="s">
        <v>103</v>
      </c>
      <c r="M190" s="3">
        <v>0.33333333333333331</v>
      </c>
      <c r="N190" t="s">
        <v>103</v>
      </c>
      <c r="O190" s="3">
        <v>0.33333333333333331</v>
      </c>
      <c r="P190" t="s">
        <v>103</v>
      </c>
      <c r="Q190" s="3">
        <v>0.33333333333333331</v>
      </c>
      <c r="R190" t="b">
        <v>1</v>
      </c>
      <c r="S190" t="s">
        <v>1744</v>
      </c>
    </row>
    <row r="191" spans="1:19" hidden="1" x14ac:dyDescent="0.2">
      <c r="A191">
        <v>189</v>
      </c>
      <c r="B191" t="s">
        <v>33</v>
      </c>
      <c r="C191" t="s">
        <v>990</v>
      </c>
      <c r="D191">
        <v>91711</v>
      </c>
      <c r="E191">
        <v>3</v>
      </c>
      <c r="F191">
        <v>10358371</v>
      </c>
      <c r="G191" t="s">
        <v>914</v>
      </c>
      <c r="H191" t="s">
        <v>98</v>
      </c>
      <c r="I191" s="3">
        <v>0.33333333333333331</v>
      </c>
      <c r="J191" t="s">
        <v>98</v>
      </c>
      <c r="K191" s="3">
        <v>0.33333333333333331</v>
      </c>
      <c r="L191" t="s">
        <v>113</v>
      </c>
      <c r="M191" s="3">
        <v>0.33333333333333331</v>
      </c>
      <c r="N191" t="s">
        <v>98</v>
      </c>
      <c r="O191" s="3">
        <v>0.33333333333333331</v>
      </c>
      <c r="P191" t="s">
        <v>74</v>
      </c>
      <c r="Q191" s="3">
        <v>0.33333333333333331</v>
      </c>
      <c r="R191" t="b">
        <v>1</v>
      </c>
      <c r="S191" t="s">
        <v>1745</v>
      </c>
    </row>
    <row r="192" spans="1:19" hidden="1" x14ac:dyDescent="0.2">
      <c r="A192">
        <v>190</v>
      </c>
      <c r="B192" t="s">
        <v>246</v>
      </c>
      <c r="C192" t="s">
        <v>959</v>
      </c>
      <c r="D192">
        <v>91763</v>
      </c>
      <c r="E192">
        <v>2</v>
      </c>
      <c r="F192">
        <v>10362526</v>
      </c>
      <c r="G192" t="s">
        <v>914</v>
      </c>
      <c r="H192" t="s">
        <v>113</v>
      </c>
      <c r="I192" s="3">
        <v>0.375</v>
      </c>
      <c r="J192" t="s">
        <v>113</v>
      </c>
      <c r="K192" s="3">
        <v>0.375</v>
      </c>
      <c r="L192" t="s">
        <v>113</v>
      </c>
      <c r="M192" s="3">
        <v>0.375</v>
      </c>
      <c r="N192" t="s">
        <v>113</v>
      </c>
      <c r="O192" s="3">
        <v>0.375</v>
      </c>
      <c r="P192" t="s">
        <v>113</v>
      </c>
      <c r="Q192" s="3">
        <v>0.375</v>
      </c>
      <c r="R192" t="b">
        <v>1</v>
      </c>
      <c r="S192" t="s">
        <v>1746</v>
      </c>
    </row>
    <row r="193" spans="1:19" x14ac:dyDescent="0.2">
      <c r="A193">
        <v>191</v>
      </c>
      <c r="B193" t="s">
        <v>1345</v>
      </c>
      <c r="C193" t="s">
        <v>196</v>
      </c>
      <c r="D193">
        <v>91762</v>
      </c>
      <c r="E193">
        <v>5</v>
      </c>
      <c r="F193">
        <v>10337578</v>
      </c>
      <c r="G193" t="s">
        <v>1495</v>
      </c>
      <c r="H193" t="s">
        <v>113</v>
      </c>
      <c r="I193" s="3">
        <v>0.375</v>
      </c>
      <c r="J193" t="s">
        <v>113</v>
      </c>
      <c r="K193" s="3">
        <v>0.375</v>
      </c>
      <c r="L193" t="s">
        <v>113</v>
      </c>
      <c r="M193" s="3">
        <v>0.375</v>
      </c>
      <c r="N193" t="s">
        <v>113</v>
      </c>
      <c r="O193" s="3">
        <v>0.375</v>
      </c>
      <c r="P193" t="s">
        <v>113</v>
      </c>
      <c r="Q193" s="3">
        <v>0.375</v>
      </c>
      <c r="R193" t="b">
        <v>1</v>
      </c>
      <c r="S193" t="s">
        <v>1747</v>
      </c>
    </row>
    <row r="194" spans="1:19" hidden="1" x14ac:dyDescent="0.2">
      <c r="A194">
        <v>192</v>
      </c>
      <c r="B194" t="s">
        <v>329</v>
      </c>
      <c r="C194" t="s">
        <v>328</v>
      </c>
      <c r="D194">
        <v>91763</v>
      </c>
      <c r="E194">
        <v>3</v>
      </c>
      <c r="F194">
        <v>103685701</v>
      </c>
      <c r="G194" t="s">
        <v>914</v>
      </c>
      <c r="H194" t="s">
        <v>191</v>
      </c>
      <c r="I194" s="3">
        <v>0.29166666666666669</v>
      </c>
      <c r="J194" t="s">
        <v>191</v>
      </c>
      <c r="K194" s="3">
        <v>0.29166666666666669</v>
      </c>
      <c r="L194" t="s">
        <v>191</v>
      </c>
      <c r="M194" s="3">
        <v>0.29166666666666669</v>
      </c>
      <c r="N194" t="s">
        <v>191</v>
      </c>
      <c r="O194" s="3">
        <v>0.29166666666666669</v>
      </c>
      <c r="P194" t="s">
        <v>191</v>
      </c>
      <c r="Q194" s="3">
        <v>0.29166666666666669</v>
      </c>
      <c r="R194" t="b">
        <v>1</v>
      </c>
      <c r="S194" t="s">
        <v>1748</v>
      </c>
    </row>
    <row r="195" spans="1:19" hidden="1" x14ac:dyDescent="0.2">
      <c r="A195">
        <v>193</v>
      </c>
      <c r="B195" t="s">
        <v>1125</v>
      </c>
      <c r="C195" t="s">
        <v>257</v>
      </c>
      <c r="D195">
        <v>91761</v>
      </c>
      <c r="E195">
        <v>10</v>
      </c>
      <c r="F195">
        <v>103685096</v>
      </c>
      <c r="G195" t="s">
        <v>914</v>
      </c>
      <c r="H195" t="s">
        <v>113</v>
      </c>
      <c r="I195" s="3">
        <v>0.29166666666666669</v>
      </c>
      <c r="J195" t="s">
        <v>113</v>
      </c>
      <c r="K195" s="3">
        <v>0.29166666666666669</v>
      </c>
      <c r="L195" t="s">
        <v>113</v>
      </c>
      <c r="M195" s="3">
        <v>0.29166666666666669</v>
      </c>
      <c r="N195" t="s">
        <v>113</v>
      </c>
      <c r="O195" s="3">
        <v>0.29166666666666669</v>
      </c>
      <c r="P195" t="s">
        <v>113</v>
      </c>
      <c r="Q195" s="3">
        <v>0.29166666666666669</v>
      </c>
      <c r="R195" t="b">
        <v>1</v>
      </c>
      <c r="S195" t="s">
        <v>1749</v>
      </c>
    </row>
    <row r="196" spans="1:19" hidden="1" x14ac:dyDescent="0.2">
      <c r="A196">
        <v>194</v>
      </c>
      <c r="B196" t="s">
        <v>640</v>
      </c>
      <c r="C196" t="s">
        <v>639</v>
      </c>
      <c r="D196">
        <v>92337</v>
      </c>
      <c r="E196">
        <v>16</v>
      </c>
      <c r="F196">
        <v>10043729</v>
      </c>
      <c r="G196" t="s">
        <v>914</v>
      </c>
      <c r="H196" t="s">
        <v>85</v>
      </c>
      <c r="I196" s="3">
        <v>0.29166666666666669</v>
      </c>
      <c r="J196" t="s">
        <v>85</v>
      </c>
      <c r="K196" s="3">
        <v>0.29166666666666669</v>
      </c>
      <c r="L196" t="s">
        <v>85</v>
      </c>
      <c r="M196" s="3">
        <v>0.29166666666666669</v>
      </c>
      <c r="N196" t="s">
        <v>85</v>
      </c>
      <c r="O196" s="3">
        <v>0.29166666666666669</v>
      </c>
      <c r="P196" t="s">
        <v>195</v>
      </c>
      <c r="Q196" s="3">
        <v>0.33333333333333331</v>
      </c>
      <c r="R196" t="b">
        <v>1</v>
      </c>
      <c r="S196" t="s">
        <v>1750</v>
      </c>
    </row>
    <row r="197" spans="1:19" hidden="1" x14ac:dyDescent="0.2">
      <c r="A197">
        <v>195</v>
      </c>
      <c r="B197" t="s">
        <v>12</v>
      </c>
      <c r="C197" t="s">
        <v>558</v>
      </c>
      <c r="D197">
        <v>91786</v>
      </c>
      <c r="E197">
        <v>3.5</v>
      </c>
      <c r="F197" t="s">
        <v>1013</v>
      </c>
      <c r="G197" t="s">
        <v>914</v>
      </c>
      <c r="H197" t="s">
        <v>113</v>
      </c>
      <c r="I197" s="3">
        <v>0.27083333333333331</v>
      </c>
      <c r="J197" t="s">
        <v>113</v>
      </c>
      <c r="K197" s="3">
        <v>0.27083333333333331</v>
      </c>
      <c r="L197" t="s">
        <v>113</v>
      </c>
      <c r="M197" s="3">
        <v>0.27083333333333331</v>
      </c>
      <c r="N197" t="s">
        <v>113</v>
      </c>
      <c r="O197" s="3">
        <v>0.27083333333333331</v>
      </c>
      <c r="P197" t="s">
        <v>113</v>
      </c>
      <c r="Q197" s="3">
        <v>0.27083333333333331</v>
      </c>
      <c r="R197" t="b">
        <v>1</v>
      </c>
      <c r="S197" t="s">
        <v>1751</v>
      </c>
    </row>
    <row r="198" spans="1:19" hidden="1" x14ac:dyDescent="0.2">
      <c r="A198">
        <v>196</v>
      </c>
      <c r="B198" t="s">
        <v>1251</v>
      </c>
      <c r="C198" t="s">
        <v>982</v>
      </c>
      <c r="D198">
        <v>90605</v>
      </c>
      <c r="E198">
        <v>25</v>
      </c>
      <c r="F198">
        <v>10372767</v>
      </c>
      <c r="G198" t="s">
        <v>914</v>
      </c>
      <c r="H198" t="s">
        <v>113</v>
      </c>
      <c r="I198" s="3">
        <v>0.33333333333333331</v>
      </c>
      <c r="J198" t="s">
        <v>113</v>
      </c>
      <c r="K198" s="3">
        <v>0.33333333333333331</v>
      </c>
      <c r="L198" t="s">
        <v>113</v>
      </c>
      <c r="M198" s="3">
        <v>0.33333333333333331</v>
      </c>
      <c r="N198" t="s">
        <v>113</v>
      </c>
      <c r="O198" s="3">
        <v>0.33333333333333331</v>
      </c>
      <c r="P198" t="s">
        <v>113</v>
      </c>
      <c r="Q198" s="3">
        <v>0.33333333333333331</v>
      </c>
      <c r="R198" t="b">
        <v>1</v>
      </c>
      <c r="S198" t="s">
        <v>1752</v>
      </c>
    </row>
    <row r="199" spans="1:19" hidden="1" x14ac:dyDescent="0.2">
      <c r="A199">
        <v>197</v>
      </c>
      <c r="B199" t="s">
        <v>853</v>
      </c>
      <c r="C199" t="s">
        <v>1169</v>
      </c>
      <c r="D199">
        <v>92860</v>
      </c>
      <c r="E199">
        <v>15</v>
      </c>
      <c r="F199">
        <v>10368759</v>
      </c>
      <c r="G199" t="s">
        <v>914</v>
      </c>
      <c r="H199" t="s">
        <v>113</v>
      </c>
      <c r="I199" s="3">
        <v>0.29166666666666669</v>
      </c>
      <c r="J199" t="s">
        <v>113</v>
      </c>
      <c r="K199" s="3">
        <v>0.29166666666666669</v>
      </c>
      <c r="L199" t="s">
        <v>113</v>
      </c>
      <c r="M199" s="3">
        <v>0.29166666666666669</v>
      </c>
      <c r="N199" t="s">
        <v>113</v>
      </c>
      <c r="O199" s="3">
        <v>0.29166666666666669</v>
      </c>
      <c r="P199" t="s">
        <v>113</v>
      </c>
      <c r="Q199" s="3">
        <v>0.29166666666666669</v>
      </c>
      <c r="R199" t="b">
        <v>1</v>
      </c>
      <c r="S199" t="s">
        <v>1753</v>
      </c>
    </row>
    <row r="200" spans="1:19" hidden="1" x14ac:dyDescent="0.2">
      <c r="A200">
        <v>198</v>
      </c>
      <c r="B200" t="s">
        <v>1198</v>
      </c>
      <c r="C200" t="s">
        <v>728</v>
      </c>
      <c r="D200">
        <v>92335</v>
      </c>
      <c r="E200">
        <v>16</v>
      </c>
      <c r="F200" t="s">
        <v>1199</v>
      </c>
      <c r="G200" t="s">
        <v>914</v>
      </c>
      <c r="H200" t="s">
        <v>933</v>
      </c>
      <c r="I200" s="3">
        <v>0.20833333333333334</v>
      </c>
      <c r="J200" t="s">
        <v>933</v>
      </c>
      <c r="K200" s="3">
        <v>0.20833333333333334</v>
      </c>
      <c r="L200" t="s">
        <v>933</v>
      </c>
      <c r="M200" s="3">
        <v>0.20833333333333334</v>
      </c>
      <c r="N200" t="s">
        <v>933</v>
      </c>
      <c r="O200" s="3">
        <v>0.20833333333333334</v>
      </c>
      <c r="P200" t="s">
        <v>933</v>
      </c>
      <c r="Q200" s="3">
        <v>0.20833333333333334</v>
      </c>
      <c r="R200" t="b">
        <v>0</v>
      </c>
      <c r="S200" t="s">
        <v>1754</v>
      </c>
    </row>
    <row r="201" spans="1:19" hidden="1" x14ac:dyDescent="0.2">
      <c r="A201">
        <v>199</v>
      </c>
      <c r="B201" t="s">
        <v>573</v>
      </c>
      <c r="C201" t="s">
        <v>572</v>
      </c>
      <c r="D201">
        <v>91762</v>
      </c>
      <c r="E201">
        <v>6</v>
      </c>
      <c r="F201">
        <v>10042946</v>
      </c>
      <c r="G201" t="s">
        <v>914</v>
      </c>
      <c r="H201" t="s">
        <v>113</v>
      </c>
      <c r="I201" s="3">
        <v>0.33333333333333331</v>
      </c>
      <c r="J201" t="s">
        <v>113</v>
      </c>
      <c r="K201" s="3">
        <v>0.33333333333333331</v>
      </c>
      <c r="L201" t="s">
        <v>113</v>
      </c>
      <c r="M201" s="3">
        <v>0.33333333333333331</v>
      </c>
      <c r="N201" t="s">
        <v>113</v>
      </c>
      <c r="O201" s="3">
        <v>0.33333333333333331</v>
      </c>
      <c r="P201" t="s">
        <v>113</v>
      </c>
      <c r="Q201" s="3">
        <v>0.33333333333333331</v>
      </c>
      <c r="R201" t="b">
        <v>1</v>
      </c>
      <c r="S201" t="s">
        <v>1755</v>
      </c>
    </row>
    <row r="202" spans="1:19" hidden="1" x14ac:dyDescent="0.2">
      <c r="A202">
        <v>200</v>
      </c>
      <c r="B202" t="s">
        <v>1022</v>
      </c>
      <c r="C202" t="s">
        <v>689</v>
      </c>
      <c r="D202">
        <v>91764</v>
      </c>
      <c r="E202">
        <v>7</v>
      </c>
      <c r="F202">
        <v>10373053</v>
      </c>
      <c r="G202" t="s">
        <v>914</v>
      </c>
      <c r="H202" t="s">
        <v>113</v>
      </c>
      <c r="I202" s="3">
        <v>0.29166666666666669</v>
      </c>
      <c r="J202" t="s">
        <v>113</v>
      </c>
      <c r="K202" s="3">
        <v>0.29166666666666669</v>
      </c>
      <c r="L202" t="s">
        <v>113</v>
      </c>
      <c r="M202" s="3">
        <v>0.29166666666666669</v>
      </c>
      <c r="N202" t="s">
        <v>113</v>
      </c>
      <c r="O202" s="3">
        <v>0.29166666666666669</v>
      </c>
      <c r="P202" t="s">
        <v>113</v>
      </c>
      <c r="Q202" s="3">
        <v>0.29166666666666669</v>
      </c>
      <c r="R202" t="b">
        <v>1</v>
      </c>
      <c r="S202" t="s">
        <v>1756</v>
      </c>
    </row>
    <row r="203" spans="1:19" hidden="1" x14ac:dyDescent="0.2">
      <c r="A203">
        <v>201</v>
      </c>
      <c r="B203" t="s">
        <v>1096</v>
      </c>
      <c r="C203" t="s">
        <v>1097</v>
      </c>
      <c r="D203">
        <v>91769</v>
      </c>
      <c r="E203">
        <v>8</v>
      </c>
      <c r="F203">
        <v>10358766</v>
      </c>
      <c r="G203" t="s">
        <v>914</v>
      </c>
      <c r="H203" t="s">
        <v>103</v>
      </c>
      <c r="I203" s="3">
        <v>0.33333333333333331</v>
      </c>
      <c r="J203" t="s">
        <v>103</v>
      </c>
      <c r="K203" s="3">
        <v>0.33333333333333331</v>
      </c>
      <c r="L203" t="s">
        <v>103</v>
      </c>
      <c r="M203" s="3">
        <v>0.33333333333333331</v>
      </c>
      <c r="N203" t="s">
        <v>103</v>
      </c>
      <c r="O203" s="3">
        <v>0.33333333333333331</v>
      </c>
      <c r="P203" t="s">
        <v>103</v>
      </c>
      <c r="Q203" s="3">
        <v>0.33333333333333331</v>
      </c>
      <c r="R203" t="b">
        <v>1</v>
      </c>
      <c r="S203" t="s">
        <v>1757</v>
      </c>
    </row>
    <row r="204" spans="1:19" hidden="1" x14ac:dyDescent="0.2">
      <c r="A204">
        <v>202</v>
      </c>
      <c r="B204" t="s">
        <v>973</v>
      </c>
      <c r="C204" t="s">
        <v>974</v>
      </c>
      <c r="D204">
        <v>91763</v>
      </c>
      <c r="E204">
        <v>2.5</v>
      </c>
      <c r="F204">
        <v>100913353</v>
      </c>
      <c r="G204" t="s">
        <v>914</v>
      </c>
      <c r="H204" t="s">
        <v>933</v>
      </c>
      <c r="I204" s="3">
        <v>0.29166666666666669</v>
      </c>
      <c r="J204" t="s">
        <v>933</v>
      </c>
      <c r="K204" s="3">
        <v>0.29166666666666669</v>
      </c>
      <c r="L204" t="s">
        <v>933</v>
      </c>
      <c r="M204" s="3">
        <v>0.29166666666666669</v>
      </c>
      <c r="N204" t="s">
        <v>933</v>
      </c>
      <c r="O204" s="3">
        <v>0.29166666666666669</v>
      </c>
      <c r="P204" t="s">
        <v>202</v>
      </c>
      <c r="Q204" s="3">
        <v>0.25</v>
      </c>
      <c r="R204" t="b">
        <v>1</v>
      </c>
      <c r="S204" t="s">
        <v>1758</v>
      </c>
    </row>
    <row r="205" spans="1:19" hidden="1" x14ac:dyDescent="0.2">
      <c r="A205">
        <v>203</v>
      </c>
      <c r="B205" t="s">
        <v>171</v>
      </c>
      <c r="C205" t="s">
        <v>642</v>
      </c>
      <c r="D205">
        <v>91753</v>
      </c>
      <c r="E205">
        <v>7</v>
      </c>
      <c r="F205">
        <v>10368510</v>
      </c>
      <c r="G205" t="s">
        <v>914</v>
      </c>
      <c r="H205" t="s">
        <v>113</v>
      </c>
      <c r="I205" s="3">
        <v>0.25</v>
      </c>
      <c r="J205" t="s">
        <v>113</v>
      </c>
      <c r="K205" s="3">
        <v>0.25</v>
      </c>
      <c r="L205" t="s">
        <v>113</v>
      </c>
      <c r="M205" s="3">
        <v>0.25</v>
      </c>
      <c r="N205" t="s">
        <v>113</v>
      </c>
      <c r="O205" s="3">
        <v>0.25</v>
      </c>
      <c r="P205" t="s">
        <v>113</v>
      </c>
      <c r="Q205" s="3">
        <v>0.25</v>
      </c>
      <c r="R205" t="b">
        <v>1</v>
      </c>
      <c r="S205" t="s">
        <v>1759</v>
      </c>
    </row>
    <row r="206" spans="1:19" hidden="1" x14ac:dyDescent="0.2">
      <c r="A206">
        <v>204</v>
      </c>
      <c r="B206" t="s">
        <v>1098</v>
      </c>
      <c r="C206" t="s">
        <v>490</v>
      </c>
      <c r="D206">
        <v>91711</v>
      </c>
      <c r="E206">
        <v>8</v>
      </c>
      <c r="F206">
        <v>10373043</v>
      </c>
      <c r="G206" t="s">
        <v>919</v>
      </c>
      <c r="H206" t="s">
        <v>113</v>
      </c>
      <c r="I206" s="3">
        <v>0.3125</v>
      </c>
      <c r="J206" t="s">
        <v>113</v>
      </c>
      <c r="K206" s="3">
        <v>0.3125</v>
      </c>
      <c r="L206" t="s">
        <v>113</v>
      </c>
      <c r="M206" s="3">
        <v>0.3125</v>
      </c>
      <c r="N206" t="s">
        <v>113</v>
      </c>
      <c r="O206" s="3">
        <v>0.3125</v>
      </c>
      <c r="P206" t="s">
        <v>113</v>
      </c>
      <c r="Q206" s="3">
        <v>0.3125</v>
      </c>
      <c r="R206" t="b">
        <v>1</v>
      </c>
      <c r="S206" t="s">
        <v>1760</v>
      </c>
    </row>
    <row r="207" spans="1:19" hidden="1" x14ac:dyDescent="0.2">
      <c r="A207">
        <v>205</v>
      </c>
      <c r="B207" t="s">
        <v>1062</v>
      </c>
      <c r="C207" t="s">
        <v>1063</v>
      </c>
      <c r="D207">
        <v>91766</v>
      </c>
      <c r="E207">
        <v>6</v>
      </c>
      <c r="F207">
        <v>122122</v>
      </c>
      <c r="G207" t="s">
        <v>914</v>
      </c>
      <c r="H207" t="s">
        <v>113</v>
      </c>
      <c r="I207" s="3">
        <v>0.3125</v>
      </c>
      <c r="J207" t="s">
        <v>113</v>
      </c>
      <c r="K207" s="3">
        <v>0.3125</v>
      </c>
      <c r="L207" t="s">
        <v>113</v>
      </c>
      <c r="M207" s="3">
        <v>0.3125</v>
      </c>
      <c r="N207" t="s">
        <v>113</v>
      </c>
      <c r="O207" s="3">
        <v>0.29166666666666669</v>
      </c>
      <c r="P207" t="s">
        <v>113</v>
      </c>
      <c r="Q207" s="3">
        <v>0.3125</v>
      </c>
      <c r="R207" t="b">
        <v>1</v>
      </c>
      <c r="S207" t="s">
        <v>1761</v>
      </c>
    </row>
    <row r="208" spans="1:19" hidden="1" x14ac:dyDescent="0.2">
      <c r="A208">
        <v>206</v>
      </c>
      <c r="B208" t="s">
        <v>1126</v>
      </c>
      <c r="C208" t="s">
        <v>1127</v>
      </c>
      <c r="D208">
        <v>91764</v>
      </c>
      <c r="E208">
        <v>10</v>
      </c>
      <c r="F208">
        <v>101964924</v>
      </c>
      <c r="G208" t="s">
        <v>914</v>
      </c>
      <c r="H208" t="s">
        <v>103</v>
      </c>
      <c r="I208" s="3">
        <v>0.64583333333333337</v>
      </c>
      <c r="J208" t="s">
        <v>103</v>
      </c>
      <c r="K208" s="3">
        <v>0.64583333333333337</v>
      </c>
      <c r="L208" t="s">
        <v>103</v>
      </c>
      <c r="M208" s="3">
        <v>0.64583333333333337</v>
      </c>
      <c r="N208" t="s">
        <v>103</v>
      </c>
      <c r="O208" s="3">
        <v>0.64583333333333337</v>
      </c>
      <c r="P208" t="s">
        <v>103</v>
      </c>
      <c r="Q208" s="3">
        <v>0.64583333333333337</v>
      </c>
      <c r="R208" t="b">
        <v>0</v>
      </c>
      <c r="S208" t="s">
        <v>1762</v>
      </c>
    </row>
    <row r="209" spans="1:19" hidden="1" x14ac:dyDescent="0.2">
      <c r="A209">
        <v>207</v>
      </c>
      <c r="B209" t="s">
        <v>1279</v>
      </c>
      <c r="C209" t="s">
        <v>1280</v>
      </c>
      <c r="D209">
        <v>92335</v>
      </c>
      <c r="E209">
        <v>30</v>
      </c>
      <c r="F209">
        <v>10254405</v>
      </c>
      <c r="G209" t="s">
        <v>914</v>
      </c>
      <c r="H209" t="s">
        <v>103</v>
      </c>
      <c r="I209" s="3">
        <v>0.64583333333333337</v>
      </c>
      <c r="J209" t="s">
        <v>103</v>
      </c>
      <c r="K209" s="3">
        <v>0.64583333333333337</v>
      </c>
      <c r="L209" t="s">
        <v>103</v>
      </c>
      <c r="M209" s="3">
        <v>0.64583333333333337</v>
      </c>
      <c r="N209" t="s">
        <v>103</v>
      </c>
      <c r="O209" s="3">
        <v>0.64583333333333337</v>
      </c>
      <c r="P209" t="s">
        <v>103</v>
      </c>
      <c r="Q209" s="3">
        <v>0.64583333333333337</v>
      </c>
      <c r="R209" t="b">
        <v>0</v>
      </c>
      <c r="S209" t="s">
        <v>1763</v>
      </c>
    </row>
    <row r="210" spans="1:19" hidden="1" x14ac:dyDescent="0.2">
      <c r="A210">
        <v>208</v>
      </c>
      <c r="B210" t="s">
        <v>121</v>
      </c>
      <c r="C210" t="s">
        <v>120</v>
      </c>
      <c r="D210">
        <v>91786</v>
      </c>
      <c r="E210">
        <v>5</v>
      </c>
      <c r="F210">
        <v>10243165</v>
      </c>
      <c r="G210" t="s">
        <v>914</v>
      </c>
      <c r="H210" t="s">
        <v>98</v>
      </c>
      <c r="I210" s="3">
        <v>0.25</v>
      </c>
      <c r="J210" t="s">
        <v>98</v>
      </c>
      <c r="K210" s="3">
        <v>0.25</v>
      </c>
      <c r="L210" t="s">
        <v>98</v>
      </c>
      <c r="M210" s="3">
        <v>0.25</v>
      </c>
      <c r="N210" t="s">
        <v>98</v>
      </c>
      <c r="O210" s="3">
        <v>0.25</v>
      </c>
      <c r="P210" t="s">
        <v>98</v>
      </c>
      <c r="Q210" s="3">
        <v>0.25</v>
      </c>
      <c r="R210" t="b">
        <v>1</v>
      </c>
      <c r="S210" t="s">
        <v>1764</v>
      </c>
    </row>
    <row r="211" spans="1:19" hidden="1" x14ac:dyDescent="0.2">
      <c r="A211">
        <v>209</v>
      </c>
      <c r="B211" t="s">
        <v>923</v>
      </c>
      <c r="C211" t="s">
        <v>924</v>
      </c>
      <c r="D211">
        <v>91711</v>
      </c>
      <c r="E211">
        <v>0.5</v>
      </c>
      <c r="F211">
        <v>117777</v>
      </c>
      <c r="G211" t="s">
        <v>919</v>
      </c>
      <c r="H211" t="s">
        <v>92</v>
      </c>
      <c r="I211" s="3">
        <v>0.35416666666666669</v>
      </c>
      <c r="J211" t="s">
        <v>92</v>
      </c>
      <c r="K211" s="3">
        <v>0.35416666666666669</v>
      </c>
      <c r="L211" t="s">
        <v>195</v>
      </c>
      <c r="M211" s="3">
        <v>0.35416666666666669</v>
      </c>
      <c r="N211" t="s">
        <v>195</v>
      </c>
      <c r="O211" s="3">
        <v>0.35416666666666669</v>
      </c>
      <c r="P211" t="s">
        <v>195</v>
      </c>
      <c r="Q211" s="3">
        <v>0.35416666666666669</v>
      </c>
      <c r="R211" t="b">
        <v>1</v>
      </c>
      <c r="S211" t="s">
        <v>1765</v>
      </c>
    </row>
    <row r="212" spans="1:19" hidden="1" x14ac:dyDescent="0.2">
      <c r="A212">
        <v>210</v>
      </c>
      <c r="B212" t="s">
        <v>991</v>
      </c>
      <c r="C212" t="s">
        <v>992</v>
      </c>
      <c r="D212">
        <v>91763</v>
      </c>
      <c r="E212">
        <v>3</v>
      </c>
      <c r="F212">
        <v>10366711</v>
      </c>
      <c r="G212" t="s">
        <v>914</v>
      </c>
      <c r="H212" t="s">
        <v>113</v>
      </c>
      <c r="I212" s="3">
        <v>0.54166666666666663</v>
      </c>
      <c r="J212" t="s">
        <v>113</v>
      </c>
      <c r="K212" s="3">
        <v>0.54166666666666663</v>
      </c>
      <c r="L212" t="s">
        <v>113</v>
      </c>
      <c r="M212" s="3">
        <v>0.54166666666666663</v>
      </c>
      <c r="N212" t="s">
        <v>113</v>
      </c>
      <c r="O212" s="3">
        <v>0.54166666666666663</v>
      </c>
      <c r="P212" t="s">
        <v>113</v>
      </c>
      <c r="Q212" s="3">
        <v>0.54166666666666663</v>
      </c>
      <c r="R212" t="b">
        <v>0</v>
      </c>
      <c r="S212" t="s">
        <v>1766</v>
      </c>
    </row>
    <row r="213" spans="1:19" hidden="1" x14ac:dyDescent="0.2">
      <c r="A213">
        <v>211</v>
      </c>
      <c r="B213" t="s">
        <v>580</v>
      </c>
      <c r="C213" t="s">
        <v>1252</v>
      </c>
      <c r="D213">
        <v>92880</v>
      </c>
      <c r="E213">
        <v>25</v>
      </c>
      <c r="F213">
        <v>10368799</v>
      </c>
      <c r="G213" t="s">
        <v>914</v>
      </c>
      <c r="H213" t="s">
        <v>113</v>
      </c>
      <c r="I213" s="3">
        <v>0.33333333333333331</v>
      </c>
      <c r="J213" t="s">
        <v>113</v>
      </c>
      <c r="K213" s="3">
        <v>0.33333333333333331</v>
      </c>
      <c r="L213" t="s">
        <v>113</v>
      </c>
      <c r="M213" s="3">
        <v>0.33333333333333331</v>
      </c>
      <c r="N213" t="s">
        <v>113</v>
      </c>
      <c r="O213" s="3">
        <v>0.33333333333333331</v>
      </c>
      <c r="P213" t="s">
        <v>113</v>
      </c>
      <c r="Q213" s="3">
        <v>0.33333333333333331</v>
      </c>
      <c r="R213" t="b">
        <v>1</v>
      </c>
      <c r="S213" t="s">
        <v>1767</v>
      </c>
    </row>
    <row r="214" spans="1:19" hidden="1" x14ac:dyDescent="0.2">
      <c r="A214">
        <v>212</v>
      </c>
      <c r="B214" t="s">
        <v>1253</v>
      </c>
      <c r="C214" t="s">
        <v>188</v>
      </c>
      <c r="D214">
        <v>92509</v>
      </c>
      <c r="E214">
        <v>25</v>
      </c>
      <c r="F214" t="s">
        <v>1254</v>
      </c>
      <c r="G214" t="s">
        <v>914</v>
      </c>
      <c r="H214" t="s">
        <v>113</v>
      </c>
      <c r="I214" s="3">
        <v>0.5</v>
      </c>
      <c r="J214" t="s">
        <v>113</v>
      </c>
      <c r="K214" s="3">
        <v>0.5</v>
      </c>
      <c r="L214" t="s">
        <v>113</v>
      </c>
      <c r="M214" s="3">
        <v>0.5</v>
      </c>
      <c r="N214" t="s">
        <v>113</v>
      </c>
      <c r="O214" s="3">
        <v>0.5</v>
      </c>
      <c r="P214" t="s">
        <v>113</v>
      </c>
      <c r="Q214" s="3">
        <v>0.5</v>
      </c>
      <c r="R214" t="b">
        <v>0</v>
      </c>
      <c r="S214" t="s">
        <v>1768</v>
      </c>
    </row>
    <row r="215" spans="1:19" hidden="1" x14ac:dyDescent="0.2">
      <c r="A215">
        <v>213</v>
      </c>
      <c r="B215" t="s">
        <v>546</v>
      </c>
      <c r="C215" t="s">
        <v>545</v>
      </c>
      <c r="D215">
        <v>91701</v>
      </c>
      <c r="E215">
        <v>11</v>
      </c>
      <c r="F215">
        <v>10358743</v>
      </c>
      <c r="G215" t="s">
        <v>914</v>
      </c>
      <c r="H215" t="s">
        <v>103</v>
      </c>
      <c r="I215" s="3">
        <v>0.33333333333333331</v>
      </c>
      <c r="J215" t="s">
        <v>98</v>
      </c>
      <c r="K215" s="3">
        <v>0.33333333333333331</v>
      </c>
      <c r="L215" t="s">
        <v>98</v>
      </c>
      <c r="M215" s="3">
        <v>0.33333333333333331</v>
      </c>
      <c r="N215" t="s">
        <v>195</v>
      </c>
      <c r="O215" s="3">
        <v>0.33333333333333331</v>
      </c>
      <c r="P215" t="s">
        <v>103</v>
      </c>
      <c r="Q215" s="3">
        <v>0.33333333333333331</v>
      </c>
      <c r="R215" t="b">
        <v>1</v>
      </c>
      <c r="S215" t="s">
        <v>1769</v>
      </c>
    </row>
    <row r="216" spans="1:19" hidden="1" x14ac:dyDescent="0.2">
      <c r="A216">
        <v>214</v>
      </c>
      <c r="B216" t="s">
        <v>266</v>
      </c>
      <c r="C216" t="s">
        <v>1770</v>
      </c>
      <c r="D216">
        <v>94040</v>
      </c>
      <c r="E216">
        <v>0.3</v>
      </c>
      <c r="F216">
        <v>10362852</v>
      </c>
      <c r="G216" t="s">
        <v>1632</v>
      </c>
      <c r="H216" t="s">
        <v>92</v>
      </c>
      <c r="I216" s="3">
        <v>0.33333333333333331</v>
      </c>
      <c r="J216" t="s">
        <v>202</v>
      </c>
      <c r="K216" s="3">
        <v>0.25</v>
      </c>
      <c r="L216" t="s">
        <v>92</v>
      </c>
      <c r="M216" s="3">
        <v>0.45833333333333331</v>
      </c>
      <c r="N216" t="s">
        <v>202</v>
      </c>
      <c r="O216" s="3">
        <v>0.25</v>
      </c>
      <c r="P216" t="s">
        <v>202</v>
      </c>
      <c r="Q216" s="3">
        <v>0.25</v>
      </c>
      <c r="R216" t="b">
        <v>1</v>
      </c>
      <c r="S216" t="s">
        <v>1771</v>
      </c>
    </row>
    <row r="217" spans="1:19" hidden="1" x14ac:dyDescent="0.2">
      <c r="A217">
        <v>215</v>
      </c>
      <c r="B217" t="s">
        <v>462</v>
      </c>
      <c r="C217" t="s">
        <v>982</v>
      </c>
      <c r="D217">
        <v>91786</v>
      </c>
      <c r="E217">
        <v>4</v>
      </c>
      <c r="F217">
        <v>10114181</v>
      </c>
      <c r="G217" t="s">
        <v>914</v>
      </c>
      <c r="H217" t="s">
        <v>113</v>
      </c>
      <c r="I217" s="3">
        <v>0.20833333333333334</v>
      </c>
      <c r="J217" t="s">
        <v>113</v>
      </c>
      <c r="K217" s="3">
        <v>0.20833333333333334</v>
      </c>
      <c r="L217" t="s">
        <v>113</v>
      </c>
      <c r="M217" s="3">
        <v>0.20833333333333334</v>
      </c>
      <c r="N217" t="s">
        <v>113</v>
      </c>
      <c r="O217" s="3">
        <v>0.20833333333333334</v>
      </c>
      <c r="P217" t="s">
        <v>113</v>
      </c>
      <c r="Q217" s="3">
        <v>0.20833333333333334</v>
      </c>
      <c r="R217" t="b">
        <v>0</v>
      </c>
      <c r="S217" t="s">
        <v>1772</v>
      </c>
    </row>
    <row r="218" spans="1:19" hidden="1" x14ac:dyDescent="0.2">
      <c r="A218">
        <v>216</v>
      </c>
      <c r="B218" t="s">
        <v>1170</v>
      </c>
      <c r="C218" t="s">
        <v>1171</v>
      </c>
      <c r="D218">
        <v>91701</v>
      </c>
      <c r="E218">
        <v>15</v>
      </c>
      <c r="F218" t="s">
        <v>1172</v>
      </c>
      <c r="G218" t="s">
        <v>914</v>
      </c>
      <c r="H218" t="s">
        <v>113</v>
      </c>
      <c r="I218" s="3">
        <v>0.20833333333333334</v>
      </c>
      <c r="J218" t="s">
        <v>113</v>
      </c>
      <c r="K218" s="3">
        <v>0.20833333333333334</v>
      </c>
      <c r="L218" t="s">
        <v>113</v>
      </c>
      <c r="M218" s="3">
        <v>0.20833333333333334</v>
      </c>
      <c r="N218" t="s">
        <v>113</v>
      </c>
      <c r="O218" s="3">
        <v>0.20833333333333334</v>
      </c>
      <c r="P218" t="s">
        <v>113</v>
      </c>
      <c r="Q218" s="3">
        <v>0.20833333333333334</v>
      </c>
      <c r="R218" t="b">
        <v>0</v>
      </c>
      <c r="S218" t="s">
        <v>1773</v>
      </c>
    </row>
    <row r="219" spans="1:19" hidden="1" x14ac:dyDescent="0.2">
      <c r="A219">
        <v>217</v>
      </c>
      <c r="B219" t="s">
        <v>1255</v>
      </c>
      <c r="C219" t="s">
        <v>1256</v>
      </c>
      <c r="D219">
        <v>91104</v>
      </c>
      <c r="E219">
        <v>25</v>
      </c>
      <c r="F219">
        <v>103707841</v>
      </c>
      <c r="G219" t="s">
        <v>914</v>
      </c>
      <c r="H219" t="s">
        <v>103</v>
      </c>
      <c r="I219" s="3">
        <v>0.33333333333333331</v>
      </c>
      <c r="J219" t="s">
        <v>113</v>
      </c>
      <c r="K219" s="3">
        <v>0.3125</v>
      </c>
      <c r="L219" t="s">
        <v>113</v>
      </c>
      <c r="M219" s="3">
        <v>0.3125</v>
      </c>
      <c r="N219" t="s">
        <v>113</v>
      </c>
      <c r="O219" s="3">
        <v>0.3125</v>
      </c>
      <c r="P219" t="s">
        <v>103</v>
      </c>
      <c r="Q219" s="3">
        <v>0.33333333333333331</v>
      </c>
      <c r="R219" t="b">
        <v>1</v>
      </c>
      <c r="S219" t="s">
        <v>1774</v>
      </c>
    </row>
    <row r="220" spans="1:19" hidden="1" x14ac:dyDescent="0.2">
      <c r="A220">
        <v>218</v>
      </c>
      <c r="B220" t="s">
        <v>303</v>
      </c>
      <c r="C220" t="s">
        <v>1049</v>
      </c>
      <c r="D220">
        <v>91766</v>
      </c>
      <c r="E220">
        <v>5</v>
      </c>
      <c r="F220">
        <v>10158502</v>
      </c>
      <c r="G220" t="s">
        <v>914</v>
      </c>
      <c r="H220" t="s">
        <v>113</v>
      </c>
      <c r="I220" s="3">
        <v>0.29166666666666669</v>
      </c>
      <c r="J220" t="s">
        <v>113</v>
      </c>
      <c r="K220" s="3">
        <v>0.29166666666666669</v>
      </c>
      <c r="L220" t="s">
        <v>113</v>
      </c>
      <c r="M220" s="3">
        <v>0.29166666666666669</v>
      </c>
      <c r="N220" t="s">
        <v>113</v>
      </c>
      <c r="O220" s="3">
        <v>0.29166666666666669</v>
      </c>
      <c r="P220" t="s">
        <v>113</v>
      </c>
      <c r="Q220" s="3">
        <v>0.29166666666666669</v>
      </c>
      <c r="R220" t="b">
        <v>1</v>
      </c>
      <c r="S220" t="s">
        <v>1775</v>
      </c>
    </row>
    <row r="221" spans="1:19" hidden="1" x14ac:dyDescent="0.2">
      <c r="A221">
        <v>219</v>
      </c>
      <c r="B221" t="s">
        <v>1173</v>
      </c>
      <c r="C221" t="s">
        <v>1174</v>
      </c>
      <c r="D221">
        <v>91764</v>
      </c>
      <c r="E221">
        <v>15</v>
      </c>
      <c r="F221">
        <v>10366671</v>
      </c>
      <c r="G221" t="s">
        <v>914</v>
      </c>
      <c r="H221" t="s">
        <v>1175</v>
      </c>
      <c r="I221" s="3">
        <v>0.64583333333333337</v>
      </c>
      <c r="J221" t="s">
        <v>1176</v>
      </c>
      <c r="K221" s="3">
        <v>0.64583333333333337</v>
      </c>
      <c r="L221" t="s">
        <v>1016</v>
      </c>
      <c r="M221" s="3">
        <v>0.64583333333333337</v>
      </c>
      <c r="N221" t="s">
        <v>933</v>
      </c>
      <c r="O221" s="3">
        <v>0.64583333333333337</v>
      </c>
      <c r="P221" t="s">
        <v>1016</v>
      </c>
      <c r="Q221" s="3">
        <v>0.64583333333333337</v>
      </c>
      <c r="R221" t="b">
        <v>0</v>
      </c>
      <c r="S221" t="s">
        <v>1776</v>
      </c>
    </row>
    <row r="222" spans="1:19" hidden="1" x14ac:dyDescent="0.2">
      <c r="A222">
        <v>220</v>
      </c>
      <c r="B222" t="s">
        <v>230</v>
      </c>
      <c r="C222" t="s">
        <v>910</v>
      </c>
      <c r="D222">
        <v>91786</v>
      </c>
      <c r="E222">
        <v>3.2</v>
      </c>
      <c r="F222" t="s">
        <v>1005</v>
      </c>
      <c r="G222" t="s">
        <v>914</v>
      </c>
      <c r="H222" t="s">
        <v>933</v>
      </c>
      <c r="I222" s="3">
        <v>0.33333333333333331</v>
      </c>
      <c r="J222" t="s">
        <v>113</v>
      </c>
      <c r="K222" s="3">
        <v>0.33333333333333331</v>
      </c>
      <c r="L222" t="s">
        <v>195</v>
      </c>
      <c r="M222" s="3">
        <v>0.33333333333333331</v>
      </c>
      <c r="N222" t="s">
        <v>113</v>
      </c>
      <c r="O222" s="3">
        <v>0.33333333333333331</v>
      </c>
      <c r="P222" t="s">
        <v>933</v>
      </c>
      <c r="Q222" s="3">
        <v>0.33333333333333331</v>
      </c>
      <c r="R222" t="b">
        <v>1</v>
      </c>
      <c r="S222" t="s">
        <v>1777</v>
      </c>
    </row>
    <row r="223" spans="1:19" hidden="1" x14ac:dyDescent="0.2">
      <c r="A223">
        <v>221</v>
      </c>
      <c r="B223" t="s">
        <v>440</v>
      </c>
      <c r="C223" t="s">
        <v>436</v>
      </c>
      <c r="D223">
        <v>91769</v>
      </c>
      <c r="E223">
        <v>1520</v>
      </c>
      <c r="F223" t="s">
        <v>977</v>
      </c>
      <c r="G223" t="s">
        <v>914</v>
      </c>
      <c r="H223" t="s">
        <v>202</v>
      </c>
      <c r="I223" s="3">
        <v>0.45833333333333331</v>
      </c>
      <c r="J223" t="s">
        <v>113</v>
      </c>
      <c r="K223" s="3">
        <v>0.52083333333333337</v>
      </c>
      <c r="L223" t="s">
        <v>113</v>
      </c>
      <c r="M223" s="3">
        <v>0.52083333333333337</v>
      </c>
      <c r="N223" t="s">
        <v>113</v>
      </c>
      <c r="O223" s="3">
        <v>0.52083333333333337</v>
      </c>
      <c r="P223" t="s">
        <v>113</v>
      </c>
      <c r="Q223" s="3">
        <v>0.52083333333333337</v>
      </c>
      <c r="R223" t="b">
        <v>0</v>
      </c>
      <c r="S223" t="s">
        <v>1778</v>
      </c>
    </row>
    <row r="224" spans="1:19" x14ac:dyDescent="0.2">
      <c r="A224">
        <v>222</v>
      </c>
      <c r="B224" t="s">
        <v>1779</v>
      </c>
      <c r="C224" t="s">
        <v>444</v>
      </c>
      <c r="D224">
        <v>91786</v>
      </c>
      <c r="E224">
        <v>20</v>
      </c>
      <c r="F224" t="s">
        <v>1780</v>
      </c>
      <c r="G224" t="s">
        <v>1495</v>
      </c>
      <c r="H224" t="s">
        <v>113</v>
      </c>
      <c r="I224" s="3">
        <v>0.5</v>
      </c>
      <c r="J224" t="s">
        <v>113</v>
      </c>
      <c r="K224" s="3">
        <v>0.5</v>
      </c>
      <c r="L224" t="s">
        <v>113</v>
      </c>
      <c r="M224" s="3">
        <v>0.5</v>
      </c>
      <c r="N224" t="s">
        <v>202</v>
      </c>
      <c r="O224" s="3">
        <v>0.45833333333333331</v>
      </c>
      <c r="P224" t="s">
        <v>202</v>
      </c>
      <c r="Q224" s="3">
        <v>0.45833333333333331</v>
      </c>
      <c r="R224" t="b">
        <v>0</v>
      </c>
      <c r="S224" t="s">
        <v>1781</v>
      </c>
    </row>
    <row r="225" spans="1:19" hidden="1" x14ac:dyDescent="0.2">
      <c r="A225">
        <v>223</v>
      </c>
      <c r="B225" t="s">
        <v>462</v>
      </c>
      <c r="C225" t="s">
        <v>1267</v>
      </c>
      <c r="D225">
        <v>92408</v>
      </c>
      <c r="E225">
        <v>28</v>
      </c>
      <c r="F225">
        <v>100434242</v>
      </c>
      <c r="G225" t="s">
        <v>914</v>
      </c>
      <c r="H225" t="s">
        <v>103</v>
      </c>
      <c r="I225" s="3">
        <v>0.64583333333333337</v>
      </c>
      <c r="J225" t="s">
        <v>103</v>
      </c>
      <c r="K225" s="3">
        <v>0.64583333333333337</v>
      </c>
      <c r="L225" t="s">
        <v>103</v>
      </c>
      <c r="M225" s="3">
        <v>0.64583333333333337</v>
      </c>
      <c r="N225" t="s">
        <v>103</v>
      </c>
      <c r="O225" s="3">
        <v>0.64583333333333337</v>
      </c>
      <c r="P225" t="s">
        <v>103</v>
      </c>
      <c r="Q225" s="3">
        <v>0.64583333333333337</v>
      </c>
      <c r="R225" t="b">
        <v>0</v>
      </c>
      <c r="S225" t="s">
        <v>1782</v>
      </c>
    </row>
    <row r="226" spans="1:19" hidden="1" x14ac:dyDescent="0.2">
      <c r="A226">
        <v>224</v>
      </c>
      <c r="B226" t="s">
        <v>1325</v>
      </c>
      <c r="C226" t="s">
        <v>1326</v>
      </c>
      <c r="D226">
        <v>92301</v>
      </c>
      <c r="E226">
        <v>53</v>
      </c>
      <c r="F226">
        <v>101938847</v>
      </c>
      <c r="G226" t="s">
        <v>914</v>
      </c>
      <c r="H226" t="s">
        <v>103</v>
      </c>
      <c r="I226" s="3">
        <v>0.64583333333333337</v>
      </c>
      <c r="J226" t="s">
        <v>103</v>
      </c>
      <c r="K226" s="3">
        <v>0.64583333333333337</v>
      </c>
      <c r="L226" t="s">
        <v>103</v>
      </c>
      <c r="M226" s="3">
        <v>0.64583333333333337</v>
      </c>
      <c r="N226" t="s">
        <v>103</v>
      </c>
      <c r="O226" s="3">
        <v>0.64583333333333337</v>
      </c>
      <c r="P226" t="s">
        <v>103</v>
      </c>
      <c r="Q226" s="3">
        <v>0.64583333333333337</v>
      </c>
      <c r="R226" t="b">
        <v>0</v>
      </c>
      <c r="S226" t="s">
        <v>1783</v>
      </c>
    </row>
    <row r="227" spans="1:19" hidden="1" x14ac:dyDescent="0.2">
      <c r="A227">
        <v>225</v>
      </c>
      <c r="B227" t="s">
        <v>1268</v>
      </c>
      <c r="C227" t="s">
        <v>1269</v>
      </c>
      <c r="D227">
        <v>92408</v>
      </c>
      <c r="E227">
        <v>28</v>
      </c>
      <c r="F227" t="s">
        <v>1270</v>
      </c>
      <c r="G227" t="s">
        <v>914</v>
      </c>
      <c r="H227" t="s">
        <v>113</v>
      </c>
      <c r="I227" s="3">
        <v>0.29166666666666669</v>
      </c>
      <c r="J227" t="s">
        <v>113</v>
      </c>
      <c r="K227" s="3">
        <v>0.29166666666666669</v>
      </c>
      <c r="L227" t="s">
        <v>113</v>
      </c>
      <c r="M227" s="3">
        <v>0.29166666666666669</v>
      </c>
      <c r="N227" t="s">
        <v>113</v>
      </c>
      <c r="O227" s="3">
        <v>0.29166666666666669</v>
      </c>
      <c r="P227" t="s">
        <v>113</v>
      </c>
      <c r="Q227" s="3">
        <v>0.29166666666666669</v>
      </c>
      <c r="R227" t="b">
        <v>1</v>
      </c>
      <c r="S227" t="s">
        <v>1784</v>
      </c>
    </row>
    <row r="228" spans="1:19" hidden="1" x14ac:dyDescent="0.2">
      <c r="A228">
        <v>226</v>
      </c>
      <c r="B228" t="s">
        <v>1153</v>
      </c>
      <c r="C228" t="s">
        <v>1785</v>
      </c>
      <c r="D228">
        <v>91711</v>
      </c>
      <c r="E228">
        <v>0</v>
      </c>
      <c r="F228">
        <v>10372239</v>
      </c>
      <c r="G228" t="s">
        <v>1632</v>
      </c>
      <c r="H228" t="s">
        <v>92</v>
      </c>
      <c r="I228" s="3">
        <v>0.83333333333333337</v>
      </c>
      <c r="J228" t="s">
        <v>202</v>
      </c>
      <c r="K228" s="3">
        <v>0.45833333333333331</v>
      </c>
      <c r="L228" t="s">
        <v>92</v>
      </c>
      <c r="M228" s="3">
        <v>0.83333333333333337</v>
      </c>
      <c r="N228" t="s">
        <v>202</v>
      </c>
      <c r="O228" s="3">
        <v>0.45833333333333331</v>
      </c>
      <c r="P228" t="s">
        <v>92</v>
      </c>
      <c r="Q228" s="3">
        <v>0.625</v>
      </c>
      <c r="R228" t="b">
        <v>0</v>
      </c>
      <c r="S228" t="s">
        <v>1786</v>
      </c>
    </row>
    <row r="229" spans="1:19" hidden="1" x14ac:dyDescent="0.2">
      <c r="A229">
        <v>227</v>
      </c>
      <c r="B229" t="s">
        <v>77</v>
      </c>
      <c r="C229" t="s">
        <v>76</v>
      </c>
      <c r="D229">
        <v>91762</v>
      </c>
      <c r="E229">
        <v>6</v>
      </c>
      <c r="F229">
        <v>103730521</v>
      </c>
      <c r="G229" t="s">
        <v>914</v>
      </c>
      <c r="H229" t="s">
        <v>933</v>
      </c>
      <c r="I229" s="3">
        <v>0.20833333333333334</v>
      </c>
      <c r="J229" t="s">
        <v>933</v>
      </c>
      <c r="K229" s="3">
        <v>0.20833333333333334</v>
      </c>
      <c r="L229" t="s">
        <v>933</v>
      </c>
      <c r="M229" s="3">
        <v>0.20833333333333334</v>
      </c>
      <c r="N229" t="s">
        <v>195</v>
      </c>
      <c r="O229" s="3">
        <v>0.20833333333333334</v>
      </c>
      <c r="P229" t="s">
        <v>933</v>
      </c>
      <c r="Q229" s="3">
        <v>0.20833333333333334</v>
      </c>
      <c r="R229" t="b">
        <v>0</v>
      </c>
      <c r="S229" t="s">
        <v>1787</v>
      </c>
    </row>
    <row r="230" spans="1:19" hidden="1" x14ac:dyDescent="0.2">
      <c r="A230">
        <v>228</v>
      </c>
      <c r="B230" t="s">
        <v>1788</v>
      </c>
      <c r="C230" t="s">
        <v>1614</v>
      </c>
      <c r="D230">
        <v>91711</v>
      </c>
      <c r="E230">
        <v>0.5</v>
      </c>
      <c r="F230">
        <v>10371744</v>
      </c>
      <c r="G230" t="s">
        <v>1632</v>
      </c>
      <c r="H230" t="s">
        <v>92</v>
      </c>
      <c r="I230" s="3">
        <v>0.47916666666666669</v>
      </c>
      <c r="J230" t="s">
        <v>202</v>
      </c>
      <c r="K230" s="3">
        <v>0.45833333333333331</v>
      </c>
      <c r="L230" t="s">
        <v>92</v>
      </c>
      <c r="M230" s="3">
        <v>0.47916666666666669</v>
      </c>
      <c r="N230" t="s">
        <v>202</v>
      </c>
      <c r="O230" s="3">
        <v>0.45833333333333331</v>
      </c>
      <c r="P230" t="s">
        <v>202</v>
      </c>
      <c r="Q230" s="3">
        <v>0.45833333333333331</v>
      </c>
      <c r="R230" t="b">
        <v>0</v>
      </c>
      <c r="S230" t="s">
        <v>1789</v>
      </c>
    </row>
    <row r="231" spans="1:19" hidden="1" x14ac:dyDescent="0.2">
      <c r="A231">
        <v>229</v>
      </c>
      <c r="B231" t="s">
        <v>381</v>
      </c>
      <c r="C231" t="s">
        <v>1790</v>
      </c>
      <c r="D231">
        <v>94010</v>
      </c>
      <c r="E231">
        <v>0.25</v>
      </c>
      <c r="F231">
        <v>10371230</v>
      </c>
      <c r="G231" t="s">
        <v>1632</v>
      </c>
      <c r="H231" t="s">
        <v>92</v>
      </c>
      <c r="I231" s="3">
        <v>0.375</v>
      </c>
      <c r="J231" t="s">
        <v>92</v>
      </c>
      <c r="K231" s="3">
        <v>0.375</v>
      </c>
      <c r="L231" t="s">
        <v>92</v>
      </c>
      <c r="M231" s="3">
        <v>0.375</v>
      </c>
      <c r="N231" t="s">
        <v>92</v>
      </c>
      <c r="O231" s="3">
        <v>0.375</v>
      </c>
      <c r="P231" t="s">
        <v>92</v>
      </c>
      <c r="Q231" s="3">
        <v>0.375</v>
      </c>
      <c r="R231" t="b">
        <v>1</v>
      </c>
      <c r="S231" t="s">
        <v>1791</v>
      </c>
    </row>
    <row r="232" spans="1:19" hidden="1" x14ac:dyDescent="0.2">
      <c r="A232">
        <v>230</v>
      </c>
      <c r="B232" t="s">
        <v>936</v>
      </c>
      <c r="C232" t="s">
        <v>937</v>
      </c>
      <c r="D232">
        <v>91767</v>
      </c>
      <c r="E232">
        <v>1</v>
      </c>
      <c r="F232">
        <v>10148493</v>
      </c>
      <c r="G232" t="s">
        <v>914</v>
      </c>
      <c r="H232" t="s">
        <v>113</v>
      </c>
      <c r="I232" s="3">
        <v>0.33333333333333331</v>
      </c>
      <c r="J232" t="s">
        <v>113</v>
      </c>
      <c r="K232" s="3">
        <v>0.33333333333333331</v>
      </c>
      <c r="L232" t="s">
        <v>113</v>
      </c>
      <c r="M232" s="3">
        <v>0.33333333333333331</v>
      </c>
      <c r="N232" t="s">
        <v>113</v>
      </c>
      <c r="O232" s="3">
        <v>0.33333333333333331</v>
      </c>
      <c r="P232" t="s">
        <v>113</v>
      </c>
      <c r="Q232" s="3">
        <v>0.33333333333333331</v>
      </c>
      <c r="R232" t="b">
        <v>1</v>
      </c>
      <c r="S232" t="s">
        <v>1792</v>
      </c>
    </row>
    <row r="233" spans="1:19" hidden="1" x14ac:dyDescent="0.2">
      <c r="A233">
        <v>231</v>
      </c>
      <c r="B233" t="s">
        <v>333</v>
      </c>
      <c r="C233" t="s">
        <v>1064</v>
      </c>
      <c r="D233">
        <v>91750</v>
      </c>
      <c r="E233">
        <v>6</v>
      </c>
      <c r="F233">
        <v>10271604</v>
      </c>
      <c r="G233" t="s">
        <v>914</v>
      </c>
      <c r="H233" t="s">
        <v>113</v>
      </c>
      <c r="I233" s="3">
        <v>0.3125</v>
      </c>
      <c r="J233" t="s">
        <v>113</v>
      </c>
      <c r="K233" s="3">
        <v>0.3125</v>
      </c>
      <c r="L233" t="s">
        <v>113</v>
      </c>
      <c r="M233" s="3">
        <v>0.3125</v>
      </c>
      <c r="N233" t="s">
        <v>113</v>
      </c>
      <c r="O233" s="3">
        <v>0.3125</v>
      </c>
      <c r="P233" t="s">
        <v>113</v>
      </c>
      <c r="Q233" s="3">
        <v>0.3125</v>
      </c>
      <c r="R233" t="b">
        <v>1</v>
      </c>
      <c r="S233" t="s">
        <v>1793</v>
      </c>
    </row>
    <row r="234" spans="1:19" hidden="1" x14ac:dyDescent="0.2">
      <c r="A234">
        <v>232</v>
      </c>
      <c r="B234" t="s">
        <v>140</v>
      </c>
      <c r="C234" t="s">
        <v>177</v>
      </c>
      <c r="D234">
        <v>91761</v>
      </c>
      <c r="E234">
        <v>14</v>
      </c>
      <c r="F234">
        <v>10043193</v>
      </c>
      <c r="G234" t="s">
        <v>914</v>
      </c>
      <c r="H234" t="s">
        <v>113</v>
      </c>
      <c r="I234" s="3">
        <v>0.3125</v>
      </c>
      <c r="J234" t="s">
        <v>113</v>
      </c>
      <c r="K234" s="3">
        <v>0.3125</v>
      </c>
      <c r="L234" t="s">
        <v>113</v>
      </c>
      <c r="M234" s="3">
        <v>0.3125</v>
      </c>
      <c r="N234" t="s">
        <v>113</v>
      </c>
      <c r="O234" s="3">
        <v>0.3125</v>
      </c>
      <c r="P234" t="s">
        <v>113</v>
      </c>
      <c r="Q234" s="3">
        <v>0.3125</v>
      </c>
      <c r="R234" t="b">
        <v>1</v>
      </c>
      <c r="S234" t="s">
        <v>1794</v>
      </c>
    </row>
    <row r="235" spans="1:19" hidden="1" x14ac:dyDescent="0.2">
      <c r="A235">
        <v>233</v>
      </c>
      <c r="B235" t="s">
        <v>296</v>
      </c>
      <c r="C235" t="s">
        <v>295</v>
      </c>
      <c r="D235">
        <v>91730</v>
      </c>
      <c r="E235">
        <v>9.3000000000000007</v>
      </c>
      <c r="F235">
        <v>103703001</v>
      </c>
      <c r="G235" t="s">
        <v>914</v>
      </c>
      <c r="H235" t="s">
        <v>113</v>
      </c>
      <c r="I235" s="3">
        <v>0.33333333333333331</v>
      </c>
      <c r="J235" t="s">
        <v>113</v>
      </c>
      <c r="K235" s="3">
        <v>0.33333333333333331</v>
      </c>
      <c r="L235" t="s">
        <v>113</v>
      </c>
      <c r="M235" s="3">
        <v>0.33333333333333331</v>
      </c>
      <c r="N235" t="s">
        <v>113</v>
      </c>
      <c r="O235" s="3">
        <v>0.33333333333333331</v>
      </c>
      <c r="P235" t="s">
        <v>113</v>
      </c>
      <c r="Q235" s="3">
        <v>0.33333333333333331</v>
      </c>
      <c r="R235" t="b">
        <v>1</v>
      </c>
      <c r="S235" t="s">
        <v>1795</v>
      </c>
    </row>
    <row r="236" spans="1:19" hidden="1" x14ac:dyDescent="0.2">
      <c r="A236">
        <v>234</v>
      </c>
      <c r="B236" t="s">
        <v>857</v>
      </c>
      <c r="C236" t="s">
        <v>856</v>
      </c>
      <c r="D236">
        <v>91711</v>
      </c>
      <c r="E236">
        <v>0.6</v>
      </c>
      <c r="F236">
        <v>103667471</v>
      </c>
      <c r="G236" t="s">
        <v>914</v>
      </c>
      <c r="H236" t="s">
        <v>92</v>
      </c>
      <c r="I236" s="3">
        <v>0.375</v>
      </c>
      <c r="J236" t="s">
        <v>92</v>
      </c>
      <c r="K236" s="3">
        <v>0.375</v>
      </c>
      <c r="L236" t="s">
        <v>92</v>
      </c>
      <c r="M236" s="3">
        <v>0.375</v>
      </c>
      <c r="N236" t="s">
        <v>92</v>
      </c>
      <c r="O236" s="3">
        <v>0.375</v>
      </c>
      <c r="P236" t="s">
        <v>92</v>
      </c>
      <c r="Q236" s="3">
        <v>0.375</v>
      </c>
      <c r="R236" t="b">
        <v>1</v>
      </c>
      <c r="S236" t="s">
        <v>1796</v>
      </c>
    </row>
    <row r="237" spans="1:19" hidden="1" x14ac:dyDescent="0.2">
      <c r="A237">
        <v>235</v>
      </c>
      <c r="B237" t="s">
        <v>1797</v>
      </c>
      <c r="C237" t="s">
        <v>1798</v>
      </c>
      <c r="D237">
        <v>93306</v>
      </c>
      <c r="E237">
        <v>0.5</v>
      </c>
      <c r="F237">
        <v>10361608</v>
      </c>
      <c r="G237" t="s">
        <v>1632</v>
      </c>
      <c r="H237" t="s">
        <v>92</v>
      </c>
      <c r="I237" s="3">
        <v>0.625</v>
      </c>
      <c r="J237" t="s">
        <v>108</v>
      </c>
      <c r="K237" s="3">
        <v>0.58333333333333337</v>
      </c>
      <c r="L237" t="s">
        <v>92</v>
      </c>
      <c r="M237" s="3">
        <v>0.625</v>
      </c>
      <c r="N237" t="s">
        <v>108</v>
      </c>
      <c r="O237" s="3">
        <v>0.58333333333333337</v>
      </c>
      <c r="P237" t="s">
        <v>92</v>
      </c>
      <c r="Q237" s="3">
        <v>0.54166666666666663</v>
      </c>
      <c r="R237" t="b">
        <v>0</v>
      </c>
      <c r="S237" t="s">
        <v>1799</v>
      </c>
    </row>
    <row r="238" spans="1:19" hidden="1" x14ac:dyDescent="0.2">
      <c r="A238">
        <v>236</v>
      </c>
      <c r="B238" t="s">
        <v>318</v>
      </c>
      <c r="C238" t="s">
        <v>509</v>
      </c>
      <c r="D238">
        <v>91730</v>
      </c>
      <c r="E238">
        <v>11</v>
      </c>
      <c r="F238">
        <v>10086446</v>
      </c>
      <c r="G238" t="s">
        <v>914</v>
      </c>
      <c r="H238" t="s">
        <v>103</v>
      </c>
      <c r="I238" s="3">
        <v>0.33333333333333331</v>
      </c>
      <c r="J238" t="s">
        <v>113</v>
      </c>
      <c r="K238" s="3">
        <v>0.33333333333333331</v>
      </c>
      <c r="L238" t="s">
        <v>113</v>
      </c>
      <c r="M238" s="3">
        <v>0.33333333333333331</v>
      </c>
      <c r="N238" t="s">
        <v>113</v>
      </c>
      <c r="O238" s="3">
        <v>0.33333333333333331</v>
      </c>
      <c r="P238" t="s">
        <v>113</v>
      </c>
      <c r="Q238" s="3">
        <v>0.33333333333333331</v>
      </c>
      <c r="R238" t="b">
        <v>1</v>
      </c>
      <c r="S238" t="s">
        <v>1799</v>
      </c>
    </row>
    <row r="239" spans="1:19" hidden="1" x14ac:dyDescent="0.2">
      <c r="A239">
        <v>237</v>
      </c>
      <c r="B239" t="s">
        <v>184</v>
      </c>
      <c r="C239" t="s">
        <v>1099</v>
      </c>
      <c r="D239">
        <v>91722</v>
      </c>
      <c r="E239">
        <v>8</v>
      </c>
      <c r="F239">
        <v>10043567</v>
      </c>
      <c r="G239" t="s">
        <v>914</v>
      </c>
      <c r="H239" t="s">
        <v>113</v>
      </c>
      <c r="I239" s="3">
        <v>0.33333333333333331</v>
      </c>
      <c r="J239" t="s">
        <v>113</v>
      </c>
      <c r="K239" s="3">
        <v>0.33333333333333331</v>
      </c>
      <c r="L239" t="s">
        <v>113</v>
      </c>
      <c r="M239" s="3">
        <v>0.33333333333333331</v>
      </c>
      <c r="N239" t="s">
        <v>113</v>
      </c>
      <c r="O239" s="3">
        <v>0.33333333333333331</v>
      </c>
      <c r="P239" t="s">
        <v>113</v>
      </c>
      <c r="Q239" s="3">
        <v>0.33333333333333331</v>
      </c>
      <c r="R239" t="b">
        <v>1</v>
      </c>
      <c r="S239" t="s">
        <v>1800</v>
      </c>
    </row>
    <row r="240" spans="1:19" hidden="1" x14ac:dyDescent="0.2">
      <c r="A240">
        <v>238</v>
      </c>
      <c r="B240" t="s">
        <v>258</v>
      </c>
      <c r="C240" t="s">
        <v>1266</v>
      </c>
      <c r="D240">
        <v>91101</v>
      </c>
      <c r="E240">
        <v>26.8</v>
      </c>
      <c r="F240">
        <v>10372837</v>
      </c>
      <c r="G240" t="s">
        <v>914</v>
      </c>
      <c r="H240" t="s">
        <v>108</v>
      </c>
      <c r="I240" s="3">
        <v>0.35416666666666669</v>
      </c>
      <c r="J240" t="s">
        <v>113</v>
      </c>
      <c r="K240" s="3">
        <v>0.375</v>
      </c>
      <c r="L240" t="s">
        <v>113</v>
      </c>
      <c r="M240" s="3">
        <v>0.375</v>
      </c>
      <c r="N240" t="s">
        <v>113</v>
      </c>
      <c r="O240" s="3">
        <v>0.375</v>
      </c>
      <c r="P240" t="s">
        <v>108</v>
      </c>
      <c r="Q240" s="3">
        <v>0.35416666666666669</v>
      </c>
      <c r="R240" t="b">
        <v>1</v>
      </c>
      <c r="S240" t="s">
        <v>1801</v>
      </c>
    </row>
    <row r="241" spans="1:19" hidden="1" x14ac:dyDescent="0.2">
      <c r="A241">
        <v>239</v>
      </c>
      <c r="B241" t="s">
        <v>1100</v>
      </c>
      <c r="C241" t="s">
        <v>1101</v>
      </c>
      <c r="D241">
        <v>91701</v>
      </c>
      <c r="E241">
        <v>8</v>
      </c>
      <c r="F241">
        <v>10021827</v>
      </c>
      <c r="G241" t="s">
        <v>914</v>
      </c>
      <c r="H241" t="s">
        <v>113</v>
      </c>
      <c r="I241" s="3">
        <v>0.3125</v>
      </c>
      <c r="J241" t="s">
        <v>113</v>
      </c>
      <c r="K241" s="3">
        <v>0.3125</v>
      </c>
      <c r="L241" t="s">
        <v>103</v>
      </c>
      <c r="M241" s="3">
        <v>0.29166666666666669</v>
      </c>
      <c r="N241" t="s">
        <v>113</v>
      </c>
      <c r="O241" s="3">
        <v>0.3125</v>
      </c>
      <c r="P241" t="s">
        <v>113</v>
      </c>
      <c r="Q241" s="3">
        <v>0.3125</v>
      </c>
      <c r="R241" t="b">
        <v>1</v>
      </c>
      <c r="S241" t="s">
        <v>1802</v>
      </c>
    </row>
    <row r="242" spans="1:19" hidden="1" x14ac:dyDescent="0.2">
      <c r="A242">
        <v>240</v>
      </c>
      <c r="B242" t="s">
        <v>1072</v>
      </c>
      <c r="C242" t="s">
        <v>642</v>
      </c>
      <c r="D242">
        <v>91786</v>
      </c>
      <c r="E242">
        <v>7</v>
      </c>
      <c r="F242">
        <v>103704832</v>
      </c>
      <c r="G242" t="s">
        <v>914</v>
      </c>
      <c r="H242" t="s">
        <v>113</v>
      </c>
      <c r="I242" s="3">
        <v>0.33333333333333331</v>
      </c>
      <c r="J242" t="s">
        <v>113</v>
      </c>
      <c r="K242" s="3">
        <v>0.33333333333333331</v>
      </c>
      <c r="L242" t="s">
        <v>113</v>
      </c>
      <c r="M242" s="3">
        <v>0.33333333333333331</v>
      </c>
      <c r="N242" t="s">
        <v>113</v>
      </c>
      <c r="O242" s="3">
        <v>0.33333333333333331</v>
      </c>
      <c r="P242" t="s">
        <v>113</v>
      </c>
      <c r="Q242" s="3">
        <v>0.33333333333333331</v>
      </c>
      <c r="R242" t="b">
        <v>1</v>
      </c>
      <c r="S242" t="s">
        <v>1802</v>
      </c>
    </row>
    <row r="243" spans="1:19" hidden="1" x14ac:dyDescent="0.2">
      <c r="A243">
        <v>241</v>
      </c>
      <c r="B243" t="s">
        <v>1078</v>
      </c>
      <c r="C243" t="s">
        <v>1079</v>
      </c>
      <c r="D243">
        <v>91784</v>
      </c>
      <c r="E243">
        <v>7.3</v>
      </c>
      <c r="F243">
        <v>103734282</v>
      </c>
      <c r="G243" t="s">
        <v>914</v>
      </c>
      <c r="H243" t="s">
        <v>113</v>
      </c>
      <c r="I243" s="3">
        <v>0.33333333333333331</v>
      </c>
      <c r="J243" t="s">
        <v>113</v>
      </c>
      <c r="K243" s="3">
        <v>0.33333333333333331</v>
      </c>
      <c r="L243" t="s">
        <v>191</v>
      </c>
      <c r="M243" s="3">
        <v>0.33333333333333331</v>
      </c>
      <c r="N243" t="s">
        <v>191</v>
      </c>
      <c r="O243" s="3">
        <v>0.33333333333333331</v>
      </c>
      <c r="P243" t="s">
        <v>191</v>
      </c>
      <c r="Q243" s="3">
        <v>0.33333333333333331</v>
      </c>
      <c r="R243" t="b">
        <v>1</v>
      </c>
      <c r="S243" t="s">
        <v>1803</v>
      </c>
    </row>
    <row r="244" spans="1:19" hidden="1" x14ac:dyDescent="0.2">
      <c r="A244">
        <v>242</v>
      </c>
      <c r="B244" t="s">
        <v>406</v>
      </c>
      <c r="C244" t="s">
        <v>405</v>
      </c>
      <c r="D244">
        <v>91711</v>
      </c>
      <c r="E244">
        <v>2</v>
      </c>
      <c r="F244">
        <v>10358014</v>
      </c>
      <c r="G244" t="s">
        <v>914</v>
      </c>
      <c r="H244" t="s">
        <v>113</v>
      </c>
      <c r="I244" s="3">
        <v>0.33333333333333331</v>
      </c>
      <c r="J244" t="s">
        <v>113</v>
      </c>
      <c r="K244" s="3">
        <v>0.33333333333333331</v>
      </c>
      <c r="L244" t="s">
        <v>113</v>
      </c>
      <c r="M244" s="3">
        <v>0.33333333333333331</v>
      </c>
      <c r="N244" t="s">
        <v>191</v>
      </c>
      <c r="O244" s="3">
        <v>0.33333333333333331</v>
      </c>
      <c r="P244" t="s">
        <v>191</v>
      </c>
      <c r="Q244" s="3">
        <v>0.33333333333333331</v>
      </c>
      <c r="R244" t="b">
        <v>1</v>
      </c>
      <c r="S244" t="s">
        <v>1804</v>
      </c>
    </row>
    <row r="245" spans="1:19" hidden="1" x14ac:dyDescent="0.2">
      <c r="A245">
        <v>243</v>
      </c>
      <c r="B245" t="s">
        <v>664</v>
      </c>
      <c r="C245" t="s">
        <v>663</v>
      </c>
      <c r="D245">
        <v>91730</v>
      </c>
      <c r="E245">
        <v>10</v>
      </c>
      <c r="F245">
        <v>101656182</v>
      </c>
      <c r="G245" t="s">
        <v>914</v>
      </c>
      <c r="H245" t="s">
        <v>113</v>
      </c>
      <c r="I245" s="3">
        <v>0.33333333333333331</v>
      </c>
      <c r="J245" t="s">
        <v>113</v>
      </c>
      <c r="K245" s="3">
        <v>0.33333333333333331</v>
      </c>
      <c r="L245" t="s">
        <v>113</v>
      </c>
      <c r="M245" s="3">
        <v>0.33333333333333331</v>
      </c>
      <c r="N245" t="s">
        <v>113</v>
      </c>
      <c r="O245" s="3">
        <v>0.33333333333333331</v>
      </c>
      <c r="P245" t="s">
        <v>113</v>
      </c>
      <c r="Q245" s="3">
        <v>0.33333333333333331</v>
      </c>
      <c r="R245" t="b">
        <v>1</v>
      </c>
      <c r="S245" t="s">
        <v>1804</v>
      </c>
    </row>
    <row r="246" spans="1:19" hidden="1" x14ac:dyDescent="0.2">
      <c r="A246">
        <v>244</v>
      </c>
      <c r="B246" t="s">
        <v>1153</v>
      </c>
      <c r="C246" t="s">
        <v>1154</v>
      </c>
      <c r="D246">
        <v>91739</v>
      </c>
      <c r="E246">
        <v>13</v>
      </c>
      <c r="F246" t="s">
        <v>1155</v>
      </c>
      <c r="G246" t="s">
        <v>914</v>
      </c>
      <c r="H246" t="s">
        <v>113</v>
      </c>
      <c r="I246" s="3">
        <v>0.83333333333333337</v>
      </c>
      <c r="J246" t="s">
        <v>113</v>
      </c>
      <c r="K246" s="3">
        <v>0.83333333333333337</v>
      </c>
      <c r="L246" t="s">
        <v>113</v>
      </c>
      <c r="M246" s="3">
        <v>0.83333333333333337</v>
      </c>
      <c r="N246" t="s">
        <v>113</v>
      </c>
      <c r="O246" s="3">
        <v>0.83333333333333337</v>
      </c>
      <c r="P246" t="s">
        <v>113</v>
      </c>
      <c r="Q246" s="3">
        <v>0.83333333333333337</v>
      </c>
      <c r="R246" t="b">
        <v>0</v>
      </c>
      <c r="S246" t="s">
        <v>1805</v>
      </c>
    </row>
    <row r="247" spans="1:19" hidden="1" x14ac:dyDescent="0.2">
      <c r="A247">
        <v>245</v>
      </c>
      <c r="B247" t="s">
        <v>1264</v>
      </c>
      <c r="C247" t="s">
        <v>1265</v>
      </c>
      <c r="D247">
        <v>91104</v>
      </c>
      <c r="E247">
        <v>26.5</v>
      </c>
      <c r="F247">
        <v>10372766</v>
      </c>
      <c r="G247" t="s">
        <v>914</v>
      </c>
      <c r="H247" t="s">
        <v>74</v>
      </c>
      <c r="I247" s="3">
        <v>0.35416666666666669</v>
      </c>
      <c r="J247" t="s">
        <v>108</v>
      </c>
      <c r="K247" s="3">
        <v>0.35416666666666669</v>
      </c>
      <c r="L247" t="s">
        <v>74</v>
      </c>
      <c r="M247" s="3">
        <v>0.35416666666666669</v>
      </c>
      <c r="N247" t="s">
        <v>74</v>
      </c>
      <c r="O247" s="3">
        <v>0.35416666666666669</v>
      </c>
      <c r="P247" t="s">
        <v>74</v>
      </c>
      <c r="Q247" s="3">
        <v>0.35416666666666669</v>
      </c>
      <c r="R247" t="b">
        <v>1</v>
      </c>
      <c r="S247" t="s">
        <v>1806</v>
      </c>
    </row>
    <row r="248" spans="1:19" hidden="1" x14ac:dyDescent="0.2">
      <c r="A248">
        <v>246</v>
      </c>
      <c r="B248" t="s">
        <v>314</v>
      </c>
      <c r="C248" t="s">
        <v>313</v>
      </c>
      <c r="D248">
        <v>91740</v>
      </c>
      <c r="E248">
        <v>8</v>
      </c>
      <c r="F248">
        <v>10315938</v>
      </c>
      <c r="G248" t="s">
        <v>914</v>
      </c>
      <c r="H248" t="s">
        <v>113</v>
      </c>
      <c r="I248" s="3">
        <v>0.33333333333333331</v>
      </c>
      <c r="J248" t="s">
        <v>113</v>
      </c>
      <c r="K248" s="3">
        <v>0.33333333333333331</v>
      </c>
      <c r="L248" t="s">
        <v>113</v>
      </c>
      <c r="M248" s="3">
        <v>0.33333333333333331</v>
      </c>
      <c r="N248" t="s">
        <v>113</v>
      </c>
      <c r="O248" s="3">
        <v>0.33333333333333331</v>
      </c>
      <c r="P248" t="s">
        <v>113</v>
      </c>
      <c r="Q248" s="3">
        <v>0.33333333333333331</v>
      </c>
      <c r="R248" t="b">
        <v>1</v>
      </c>
      <c r="S248" t="s">
        <v>1807</v>
      </c>
    </row>
    <row r="249" spans="1:19" x14ac:dyDescent="0.2">
      <c r="A249">
        <v>247</v>
      </c>
      <c r="B249" t="s">
        <v>1808</v>
      </c>
      <c r="C249" t="s">
        <v>1809</v>
      </c>
      <c r="D249">
        <v>91711</v>
      </c>
      <c r="E249">
        <v>1</v>
      </c>
      <c r="F249">
        <v>100243851</v>
      </c>
      <c r="G249" t="s">
        <v>1495</v>
      </c>
      <c r="H249" t="s">
        <v>92</v>
      </c>
      <c r="I249" s="3">
        <v>0.375</v>
      </c>
      <c r="J249" t="s">
        <v>92</v>
      </c>
      <c r="K249" s="3">
        <v>0.375</v>
      </c>
      <c r="L249" t="s">
        <v>92</v>
      </c>
      <c r="M249" s="3">
        <v>0.375</v>
      </c>
      <c r="N249" t="s">
        <v>92</v>
      </c>
      <c r="O249" s="3">
        <v>0.375</v>
      </c>
      <c r="P249" t="s">
        <v>92</v>
      </c>
      <c r="Q249" s="3">
        <v>0.375</v>
      </c>
      <c r="R249" t="b">
        <v>1</v>
      </c>
      <c r="S249" t="s">
        <v>1810</v>
      </c>
    </row>
    <row r="250" spans="1:19" hidden="1" x14ac:dyDescent="0.2">
      <c r="A250">
        <v>248</v>
      </c>
      <c r="B250" t="s">
        <v>1292</v>
      </c>
      <c r="C250" t="s">
        <v>400</v>
      </c>
      <c r="D250">
        <v>90015</v>
      </c>
      <c r="E250">
        <v>34.799999999999997</v>
      </c>
      <c r="F250">
        <v>10372309</v>
      </c>
      <c r="G250" t="s">
        <v>914</v>
      </c>
      <c r="H250" t="s">
        <v>85</v>
      </c>
      <c r="I250" s="3">
        <v>0.375</v>
      </c>
      <c r="J250" t="s">
        <v>85</v>
      </c>
      <c r="K250" s="3">
        <v>0.375</v>
      </c>
      <c r="L250" t="s">
        <v>85</v>
      </c>
      <c r="M250" s="3">
        <v>0.375</v>
      </c>
      <c r="N250" t="s">
        <v>85</v>
      </c>
      <c r="O250" s="3">
        <v>0.5</v>
      </c>
      <c r="P250" t="s">
        <v>202</v>
      </c>
      <c r="Q250" s="3">
        <v>0.25</v>
      </c>
      <c r="R250" t="b">
        <v>1</v>
      </c>
      <c r="S250" t="s">
        <v>1811</v>
      </c>
    </row>
    <row r="251" spans="1:19" hidden="1" x14ac:dyDescent="0.2">
      <c r="A251">
        <v>249</v>
      </c>
      <c r="B251" t="s">
        <v>1139</v>
      </c>
      <c r="C251" t="s">
        <v>1140</v>
      </c>
      <c r="D251">
        <v>91737</v>
      </c>
      <c r="E251">
        <v>11</v>
      </c>
      <c r="F251">
        <v>122073</v>
      </c>
      <c r="G251" t="s">
        <v>914</v>
      </c>
      <c r="H251" t="s">
        <v>113</v>
      </c>
      <c r="I251" s="3">
        <v>0.33333333333333331</v>
      </c>
      <c r="J251" t="s">
        <v>113</v>
      </c>
      <c r="K251" s="3">
        <v>0.33333333333333331</v>
      </c>
      <c r="L251" t="s">
        <v>113</v>
      </c>
      <c r="M251" s="3">
        <v>0.33333333333333331</v>
      </c>
      <c r="N251" t="s">
        <v>103</v>
      </c>
      <c r="O251" s="3">
        <v>0.33333333333333331</v>
      </c>
      <c r="P251" t="s">
        <v>103</v>
      </c>
      <c r="Q251" s="3">
        <v>0.33333333333333331</v>
      </c>
      <c r="R251" t="b">
        <v>1</v>
      </c>
      <c r="S251" t="s">
        <v>1812</v>
      </c>
    </row>
    <row r="252" spans="1:19" hidden="1" x14ac:dyDescent="0.2">
      <c r="A252">
        <v>250</v>
      </c>
      <c r="B252" t="s">
        <v>1257</v>
      </c>
      <c r="C252" t="s">
        <v>1258</v>
      </c>
      <c r="D252">
        <v>92509</v>
      </c>
      <c r="E252">
        <v>25</v>
      </c>
      <c r="F252">
        <v>10370654</v>
      </c>
      <c r="G252" t="s">
        <v>914</v>
      </c>
      <c r="H252" t="s">
        <v>113</v>
      </c>
      <c r="I252" s="3">
        <v>0.33333333333333331</v>
      </c>
      <c r="J252" t="s">
        <v>113</v>
      </c>
      <c r="K252" s="3">
        <v>0.33333333333333331</v>
      </c>
      <c r="L252" t="s">
        <v>113</v>
      </c>
      <c r="M252" s="3">
        <v>0.33333333333333331</v>
      </c>
      <c r="N252" t="s">
        <v>113</v>
      </c>
      <c r="O252" s="3">
        <v>0.33333333333333331</v>
      </c>
      <c r="P252" t="s">
        <v>113</v>
      </c>
      <c r="Q252" s="3">
        <v>0.33333333333333331</v>
      </c>
      <c r="R252" t="b">
        <v>1</v>
      </c>
      <c r="S252" t="s">
        <v>1813</v>
      </c>
    </row>
    <row r="253" spans="1:19" hidden="1" x14ac:dyDescent="0.2">
      <c r="A253">
        <v>251</v>
      </c>
      <c r="B253" t="s">
        <v>938</v>
      </c>
      <c r="C253" t="s">
        <v>939</v>
      </c>
      <c r="D253">
        <v>91711</v>
      </c>
      <c r="E253">
        <v>1</v>
      </c>
      <c r="F253">
        <v>10290464</v>
      </c>
      <c r="G253" t="s">
        <v>914</v>
      </c>
      <c r="H253" t="s">
        <v>113</v>
      </c>
      <c r="I253" s="3">
        <v>0.33333333333333331</v>
      </c>
      <c r="J253" t="s">
        <v>113</v>
      </c>
      <c r="K253" s="3">
        <v>0.33333333333333331</v>
      </c>
      <c r="L253" t="s">
        <v>113</v>
      </c>
      <c r="M253" s="3">
        <v>0.33333333333333331</v>
      </c>
      <c r="N253" t="s">
        <v>113</v>
      </c>
      <c r="O253" s="3">
        <v>0.33333333333333331</v>
      </c>
      <c r="P253" t="s">
        <v>113</v>
      </c>
      <c r="Q253" s="3">
        <v>0.33333333333333331</v>
      </c>
      <c r="R253" t="b">
        <v>1</v>
      </c>
      <c r="S253" t="s">
        <v>1814</v>
      </c>
    </row>
    <row r="254" spans="1:19" hidden="1" x14ac:dyDescent="0.2">
      <c r="A254">
        <v>252</v>
      </c>
      <c r="B254" t="s">
        <v>1815</v>
      </c>
      <c r="C254" t="s">
        <v>1816</v>
      </c>
      <c r="D254">
        <v>91711</v>
      </c>
      <c r="E254">
        <v>1</v>
      </c>
      <c r="F254">
        <v>122902</v>
      </c>
      <c r="G254" t="s">
        <v>1638</v>
      </c>
      <c r="H254" t="s">
        <v>202</v>
      </c>
      <c r="I254" s="3">
        <v>0.45833333333333331</v>
      </c>
      <c r="J254" t="s">
        <v>92</v>
      </c>
      <c r="K254" s="3">
        <v>0.60416666666666663</v>
      </c>
      <c r="L254" t="s">
        <v>92</v>
      </c>
      <c r="M254" s="3">
        <v>0.72916666666666663</v>
      </c>
      <c r="N254" t="s">
        <v>202</v>
      </c>
      <c r="O254" s="3">
        <v>0.45833333333333331</v>
      </c>
      <c r="P254" t="s">
        <v>202</v>
      </c>
      <c r="Q254" s="3">
        <v>0.45833333333333331</v>
      </c>
      <c r="R254" t="b">
        <v>0</v>
      </c>
      <c r="S254" t="s">
        <v>1817</v>
      </c>
    </row>
    <row r="255" spans="1:19" hidden="1" x14ac:dyDescent="0.2">
      <c r="A255">
        <v>253</v>
      </c>
      <c r="B255" t="s">
        <v>1788</v>
      </c>
      <c r="C255" t="s">
        <v>1818</v>
      </c>
      <c r="D255">
        <v>94110</v>
      </c>
      <c r="E255">
        <v>0.5</v>
      </c>
      <c r="F255">
        <v>10368995</v>
      </c>
      <c r="G255" t="s">
        <v>1632</v>
      </c>
      <c r="H255" t="s">
        <v>103</v>
      </c>
      <c r="I255" s="3">
        <v>0.58333333333333337</v>
      </c>
      <c r="J255" t="s">
        <v>103</v>
      </c>
      <c r="K255" s="3">
        <v>0.58333333333333337</v>
      </c>
      <c r="L255" t="s">
        <v>103</v>
      </c>
      <c r="M255" s="3">
        <v>0.58333333333333337</v>
      </c>
      <c r="N255" t="s">
        <v>103</v>
      </c>
      <c r="O255" s="3">
        <v>0.58333333333333337</v>
      </c>
      <c r="P255" t="s">
        <v>103</v>
      </c>
      <c r="Q255" s="3">
        <v>0.58333333333333337</v>
      </c>
      <c r="R255" t="b">
        <v>0</v>
      </c>
      <c r="S255" t="s">
        <v>1819</v>
      </c>
    </row>
    <row r="256" spans="1:19" hidden="1" x14ac:dyDescent="0.2">
      <c r="A256">
        <v>254</v>
      </c>
      <c r="B256" t="s">
        <v>418</v>
      </c>
      <c r="C256" t="s">
        <v>417</v>
      </c>
      <c r="D256">
        <v>92610</v>
      </c>
      <c r="E256">
        <v>43</v>
      </c>
      <c r="F256">
        <v>103718361</v>
      </c>
      <c r="G256" t="s">
        <v>914</v>
      </c>
      <c r="H256" t="s">
        <v>202</v>
      </c>
      <c r="I256" s="3">
        <v>0.25</v>
      </c>
      <c r="J256" t="s">
        <v>113</v>
      </c>
      <c r="K256" s="3">
        <v>0.33333333333333331</v>
      </c>
      <c r="L256" t="s">
        <v>202</v>
      </c>
      <c r="M256" s="3">
        <v>0.25</v>
      </c>
      <c r="N256" t="s">
        <v>113</v>
      </c>
      <c r="O256" s="3">
        <v>0.33333333333333331</v>
      </c>
      <c r="P256" t="s">
        <v>202</v>
      </c>
      <c r="Q256" s="3">
        <v>0.25</v>
      </c>
      <c r="R256" t="b">
        <v>1</v>
      </c>
      <c r="S256" t="s">
        <v>1820</v>
      </c>
    </row>
    <row r="257" spans="1:19" hidden="1" x14ac:dyDescent="0.2">
      <c r="A257">
        <v>255</v>
      </c>
      <c r="B257" t="s">
        <v>778</v>
      </c>
      <c r="C257" t="s">
        <v>993</v>
      </c>
      <c r="D257">
        <v>91767</v>
      </c>
      <c r="E257">
        <v>3</v>
      </c>
      <c r="F257">
        <v>10115200</v>
      </c>
      <c r="G257" t="s">
        <v>914</v>
      </c>
      <c r="H257" t="s">
        <v>81</v>
      </c>
      <c r="I257" s="3">
        <v>0.25</v>
      </c>
      <c r="J257" t="s">
        <v>81</v>
      </c>
      <c r="K257" s="3">
        <v>0.25</v>
      </c>
      <c r="L257" t="s">
        <v>81</v>
      </c>
      <c r="M257" s="3">
        <v>0.25</v>
      </c>
      <c r="N257" t="s">
        <v>81</v>
      </c>
      <c r="O257" s="3">
        <v>0.25</v>
      </c>
      <c r="P257" t="s">
        <v>81</v>
      </c>
      <c r="Q257" s="3">
        <v>0.25</v>
      </c>
      <c r="R257" t="b">
        <v>1</v>
      </c>
      <c r="S257" t="s">
        <v>1821</v>
      </c>
    </row>
    <row r="258" spans="1:19" hidden="1" x14ac:dyDescent="0.2">
      <c r="A258">
        <v>256</v>
      </c>
      <c r="B258" t="s">
        <v>28</v>
      </c>
      <c r="C258" t="s">
        <v>558</v>
      </c>
      <c r="D258">
        <v>92337</v>
      </c>
      <c r="E258">
        <v>15</v>
      </c>
      <c r="F258">
        <v>106021</v>
      </c>
      <c r="G258" t="s">
        <v>914</v>
      </c>
      <c r="H258" t="s">
        <v>74</v>
      </c>
      <c r="I258" s="3">
        <v>0.375</v>
      </c>
      <c r="J258" t="s">
        <v>74</v>
      </c>
      <c r="K258" s="3">
        <v>0.375</v>
      </c>
      <c r="L258" t="s">
        <v>74</v>
      </c>
      <c r="M258" s="3">
        <v>0.375</v>
      </c>
      <c r="N258" t="s">
        <v>74</v>
      </c>
      <c r="O258" s="3">
        <v>0.375</v>
      </c>
      <c r="P258" t="s">
        <v>74</v>
      </c>
      <c r="Q258" s="3">
        <v>0.375</v>
      </c>
      <c r="R258" t="b">
        <v>1</v>
      </c>
      <c r="S258" t="s">
        <v>1822</v>
      </c>
    </row>
    <row r="259" spans="1:19" hidden="1" x14ac:dyDescent="0.2">
      <c r="A259">
        <v>257</v>
      </c>
      <c r="B259" t="s">
        <v>683</v>
      </c>
      <c r="C259" t="s">
        <v>682</v>
      </c>
      <c r="D259">
        <v>91711</v>
      </c>
      <c r="E259">
        <v>14</v>
      </c>
      <c r="F259">
        <v>10029499</v>
      </c>
      <c r="G259" t="s">
        <v>914</v>
      </c>
      <c r="H259" t="s">
        <v>113</v>
      </c>
      <c r="I259" s="3">
        <v>0.33333333333333331</v>
      </c>
      <c r="J259" t="s">
        <v>113</v>
      </c>
      <c r="K259" s="3">
        <v>0.33333333333333331</v>
      </c>
      <c r="L259" t="s">
        <v>113</v>
      </c>
      <c r="M259" s="3">
        <v>0.33333333333333331</v>
      </c>
      <c r="N259" t="s">
        <v>113</v>
      </c>
      <c r="O259" s="3">
        <v>0.33333333333333331</v>
      </c>
      <c r="P259" t="s">
        <v>113</v>
      </c>
      <c r="Q259" s="3">
        <v>0.33333333333333331</v>
      </c>
      <c r="R259" t="b">
        <v>1</v>
      </c>
      <c r="S259" t="s">
        <v>1823</v>
      </c>
    </row>
    <row r="260" spans="1:19" hidden="1" x14ac:dyDescent="0.2">
      <c r="A260">
        <v>258</v>
      </c>
      <c r="B260" t="s">
        <v>1824</v>
      </c>
      <c r="C260" t="s">
        <v>1825</v>
      </c>
      <c r="D260">
        <v>60076</v>
      </c>
      <c r="E260">
        <v>1</v>
      </c>
      <c r="F260">
        <v>50461888</v>
      </c>
      <c r="G260" t="s">
        <v>1638</v>
      </c>
      <c r="H260" t="s">
        <v>98</v>
      </c>
      <c r="I260" s="3">
        <v>0.375</v>
      </c>
      <c r="J260" t="s">
        <v>92</v>
      </c>
      <c r="K260" s="3">
        <v>0.35416666666666669</v>
      </c>
      <c r="L260" t="s">
        <v>98</v>
      </c>
      <c r="M260" s="3">
        <v>0.375</v>
      </c>
      <c r="N260" t="s">
        <v>98</v>
      </c>
      <c r="O260" s="3">
        <v>0.39583333333333331</v>
      </c>
      <c r="P260" t="s">
        <v>98</v>
      </c>
      <c r="Q260" s="3">
        <v>0.33333333333333331</v>
      </c>
      <c r="R260" t="b">
        <v>1</v>
      </c>
      <c r="S260" t="s">
        <v>1826</v>
      </c>
    </row>
    <row r="261" spans="1:19" hidden="1" x14ac:dyDescent="0.2">
      <c r="A261">
        <v>259</v>
      </c>
      <c r="B261" t="s">
        <v>263</v>
      </c>
      <c r="C261" t="s">
        <v>1315</v>
      </c>
      <c r="D261">
        <v>90043</v>
      </c>
      <c r="E261">
        <v>43</v>
      </c>
      <c r="F261">
        <v>10351757</v>
      </c>
      <c r="G261" t="s">
        <v>914</v>
      </c>
      <c r="H261" t="s">
        <v>103</v>
      </c>
      <c r="I261" s="3">
        <v>0.33333333333333331</v>
      </c>
      <c r="J261" t="s">
        <v>103</v>
      </c>
      <c r="K261" s="3">
        <v>0.33333333333333331</v>
      </c>
      <c r="L261" t="s">
        <v>113</v>
      </c>
      <c r="M261" s="3">
        <v>0.33333333333333331</v>
      </c>
      <c r="N261" t="s">
        <v>113</v>
      </c>
      <c r="O261" s="3">
        <v>0.33333333333333331</v>
      </c>
      <c r="P261" t="s">
        <v>113</v>
      </c>
      <c r="Q261" s="3">
        <v>0.33333333333333331</v>
      </c>
      <c r="R261" t="b">
        <v>1</v>
      </c>
      <c r="S261" t="s">
        <v>1827</v>
      </c>
    </row>
    <row r="262" spans="1:19" hidden="1" x14ac:dyDescent="0.2">
      <c r="A262">
        <v>260</v>
      </c>
      <c r="B262" t="s">
        <v>853</v>
      </c>
      <c r="C262" t="s">
        <v>1828</v>
      </c>
      <c r="D262">
        <v>91711</v>
      </c>
      <c r="E262">
        <v>1</v>
      </c>
      <c r="F262">
        <v>10363113</v>
      </c>
      <c r="G262" t="s">
        <v>1632</v>
      </c>
      <c r="H262" t="s">
        <v>92</v>
      </c>
      <c r="I262" s="3">
        <v>0.375</v>
      </c>
      <c r="J262" t="s">
        <v>92</v>
      </c>
      <c r="K262" s="3">
        <v>0.375</v>
      </c>
      <c r="L262" t="s">
        <v>92</v>
      </c>
      <c r="M262" s="3">
        <v>0.375</v>
      </c>
      <c r="N262" t="s">
        <v>92</v>
      </c>
      <c r="O262" s="3">
        <v>0.375</v>
      </c>
      <c r="P262" t="s">
        <v>92</v>
      </c>
      <c r="Q262" s="3">
        <v>0.375</v>
      </c>
      <c r="R262" t="b">
        <v>1</v>
      </c>
      <c r="S262" t="s">
        <v>1829</v>
      </c>
    </row>
    <row r="263" spans="1:19" hidden="1" x14ac:dyDescent="0.2">
      <c r="A263">
        <v>261</v>
      </c>
      <c r="B263" t="s">
        <v>303</v>
      </c>
      <c r="C263" t="s">
        <v>302</v>
      </c>
      <c r="D263">
        <v>91730</v>
      </c>
      <c r="E263">
        <v>9</v>
      </c>
      <c r="F263">
        <v>10365863</v>
      </c>
      <c r="G263" t="s">
        <v>914</v>
      </c>
      <c r="H263" t="s">
        <v>113</v>
      </c>
      <c r="I263" s="3">
        <v>0.33333333333333331</v>
      </c>
      <c r="J263" t="s">
        <v>113</v>
      </c>
      <c r="K263" s="3">
        <v>0.33333333333333331</v>
      </c>
      <c r="L263" t="s">
        <v>113</v>
      </c>
      <c r="M263" s="3">
        <v>0.33333333333333331</v>
      </c>
      <c r="N263" t="s">
        <v>113</v>
      </c>
      <c r="O263" s="3">
        <v>0.33333333333333331</v>
      </c>
      <c r="P263" t="s">
        <v>103</v>
      </c>
      <c r="Q263" s="3">
        <v>0.33333333333333331</v>
      </c>
      <c r="R263" t="b">
        <v>1</v>
      </c>
      <c r="S263" t="s">
        <v>1830</v>
      </c>
    </row>
    <row r="264" spans="1:19" hidden="1" x14ac:dyDescent="0.2">
      <c r="A264">
        <v>262</v>
      </c>
      <c r="B264" t="s">
        <v>598</v>
      </c>
      <c r="C264" t="s">
        <v>823</v>
      </c>
      <c r="D264">
        <v>92324</v>
      </c>
      <c r="E264">
        <v>30</v>
      </c>
      <c r="F264">
        <v>10364835</v>
      </c>
      <c r="G264" t="s">
        <v>914</v>
      </c>
      <c r="H264" t="s">
        <v>113</v>
      </c>
      <c r="I264" s="3">
        <v>0.35416666666666669</v>
      </c>
      <c r="J264" t="s">
        <v>85</v>
      </c>
      <c r="K264" s="3">
        <v>0.35416666666666669</v>
      </c>
      <c r="L264" t="s">
        <v>103</v>
      </c>
      <c r="M264" s="3">
        <v>0.29166666666666669</v>
      </c>
      <c r="N264" t="s">
        <v>103</v>
      </c>
      <c r="O264" s="3">
        <v>0.29166666666666669</v>
      </c>
      <c r="P264" t="s">
        <v>85</v>
      </c>
      <c r="Q264" s="3">
        <v>0.35416666666666669</v>
      </c>
      <c r="R264" t="b">
        <v>1</v>
      </c>
      <c r="S264" t="s">
        <v>1831</v>
      </c>
    </row>
    <row r="265" spans="1:19" hidden="1" x14ac:dyDescent="0.2">
      <c r="A265">
        <v>263</v>
      </c>
      <c r="B265" t="s">
        <v>1832</v>
      </c>
      <c r="C265" t="s">
        <v>1833</v>
      </c>
      <c r="D265">
        <v>92009</v>
      </c>
      <c r="E265">
        <v>0</v>
      </c>
      <c r="F265">
        <v>10362954</v>
      </c>
      <c r="G265" t="s">
        <v>1632</v>
      </c>
      <c r="H265" t="s">
        <v>92</v>
      </c>
      <c r="I265" s="3">
        <v>0.66666666666666663</v>
      </c>
      <c r="J265" t="s">
        <v>202</v>
      </c>
      <c r="K265" s="3">
        <v>0.45833333333333331</v>
      </c>
      <c r="L265" t="s">
        <v>92</v>
      </c>
      <c r="M265" s="3">
        <v>0.83333333333333337</v>
      </c>
      <c r="N265" t="s">
        <v>202</v>
      </c>
      <c r="O265" s="3">
        <v>0.45833333333333331</v>
      </c>
      <c r="P265" t="s">
        <v>202</v>
      </c>
      <c r="Q265" s="3">
        <v>0.45833333333333331</v>
      </c>
      <c r="R265" t="b">
        <v>0</v>
      </c>
      <c r="S265" t="s">
        <v>1834</v>
      </c>
    </row>
    <row r="266" spans="1:19" hidden="1" x14ac:dyDescent="0.2">
      <c r="A266">
        <v>264</v>
      </c>
      <c r="B266" t="s">
        <v>876</v>
      </c>
      <c r="C266" t="s">
        <v>847</v>
      </c>
      <c r="D266">
        <v>92336</v>
      </c>
      <c r="E266">
        <v>16</v>
      </c>
      <c r="F266">
        <v>10043226</v>
      </c>
      <c r="G266" t="s">
        <v>914</v>
      </c>
      <c r="H266" t="s">
        <v>85</v>
      </c>
      <c r="I266" s="3">
        <v>0.3125</v>
      </c>
      <c r="J266" t="s">
        <v>85</v>
      </c>
      <c r="K266" s="3">
        <v>0.3125</v>
      </c>
      <c r="L266" t="s">
        <v>85</v>
      </c>
      <c r="M266" s="3">
        <v>0.3125</v>
      </c>
      <c r="N266" t="s">
        <v>85</v>
      </c>
      <c r="O266" s="3">
        <v>0.3125</v>
      </c>
      <c r="P266" t="s">
        <v>85</v>
      </c>
      <c r="Q266" s="3">
        <v>0.3125</v>
      </c>
      <c r="R266" t="b">
        <v>1</v>
      </c>
      <c r="S266" t="s">
        <v>1835</v>
      </c>
    </row>
    <row r="267" spans="1:19" hidden="1" x14ac:dyDescent="0.2">
      <c r="A267">
        <v>265</v>
      </c>
      <c r="B267" t="s">
        <v>1141</v>
      </c>
      <c r="C267" t="s">
        <v>1142</v>
      </c>
      <c r="D267">
        <v>91710</v>
      </c>
      <c r="E267">
        <v>11</v>
      </c>
      <c r="F267">
        <v>120996</v>
      </c>
      <c r="G267" t="s">
        <v>914</v>
      </c>
      <c r="H267" t="s">
        <v>113</v>
      </c>
      <c r="I267" s="3">
        <v>0.33333333333333331</v>
      </c>
      <c r="J267" t="s">
        <v>113</v>
      </c>
      <c r="K267" s="3">
        <v>0.33333333333333331</v>
      </c>
      <c r="L267" t="s">
        <v>113</v>
      </c>
      <c r="M267" s="3">
        <v>0.33333333333333331</v>
      </c>
      <c r="N267" t="s">
        <v>113</v>
      </c>
      <c r="O267" s="3">
        <v>0.33333333333333331</v>
      </c>
      <c r="P267" t="s">
        <v>113</v>
      </c>
      <c r="Q267" s="3">
        <v>0.33333333333333331</v>
      </c>
      <c r="R267" t="b">
        <v>1</v>
      </c>
      <c r="S267" t="s">
        <v>1836</v>
      </c>
    </row>
    <row r="268" spans="1:19" hidden="1" x14ac:dyDescent="0.2">
      <c r="A268">
        <v>266</v>
      </c>
      <c r="B268" t="s">
        <v>978</v>
      </c>
      <c r="C268" t="s">
        <v>1837</v>
      </c>
      <c r="D268">
        <v>91711</v>
      </c>
      <c r="E268">
        <v>0</v>
      </c>
      <c r="F268">
        <v>10362923</v>
      </c>
      <c r="G268" t="s">
        <v>1632</v>
      </c>
      <c r="H268" t="s">
        <v>92</v>
      </c>
      <c r="I268" s="3">
        <v>0.66666666666666663</v>
      </c>
      <c r="J268" t="s">
        <v>92</v>
      </c>
      <c r="K268" s="3">
        <v>0.625</v>
      </c>
      <c r="L268" t="s">
        <v>92</v>
      </c>
      <c r="M268" s="3">
        <v>0.5</v>
      </c>
      <c r="N268" t="s">
        <v>92</v>
      </c>
      <c r="O268" s="3">
        <v>0.58333333333333337</v>
      </c>
      <c r="P268" t="s">
        <v>92</v>
      </c>
      <c r="Q268" s="3">
        <v>0.39583333333333331</v>
      </c>
      <c r="R268" t="b">
        <v>1</v>
      </c>
      <c r="S268" t="s">
        <v>1838</v>
      </c>
    </row>
    <row r="269" spans="1:19" hidden="1" x14ac:dyDescent="0.2">
      <c r="A269">
        <v>267</v>
      </c>
      <c r="B269" t="s">
        <v>1839</v>
      </c>
      <c r="C269" t="s">
        <v>1840</v>
      </c>
      <c r="D269">
        <v>94087</v>
      </c>
      <c r="E269">
        <v>0.1</v>
      </c>
      <c r="F269">
        <v>10369051</v>
      </c>
      <c r="G269" t="s">
        <v>1632</v>
      </c>
      <c r="H269" t="s">
        <v>92</v>
      </c>
      <c r="I269" s="3">
        <v>0.3125</v>
      </c>
      <c r="J269" t="s">
        <v>92</v>
      </c>
      <c r="K269" s="3">
        <v>0.3125</v>
      </c>
      <c r="L269" t="s">
        <v>92</v>
      </c>
      <c r="M269" s="3">
        <v>0.3125</v>
      </c>
      <c r="N269" t="s">
        <v>92</v>
      </c>
      <c r="O269" s="3">
        <v>0.3125</v>
      </c>
      <c r="P269" t="s">
        <v>92</v>
      </c>
      <c r="Q269" s="3">
        <v>0.3125</v>
      </c>
      <c r="R269" t="b">
        <v>1</v>
      </c>
      <c r="S269" t="s">
        <v>1841</v>
      </c>
    </row>
    <row r="270" spans="1:19" hidden="1" x14ac:dyDescent="0.2">
      <c r="A270">
        <v>268</v>
      </c>
      <c r="B270" t="s">
        <v>60</v>
      </c>
      <c r="C270" t="s">
        <v>1323</v>
      </c>
      <c r="D270">
        <v>92405</v>
      </c>
      <c r="E270">
        <v>50</v>
      </c>
      <c r="F270">
        <v>102307258</v>
      </c>
      <c r="G270" t="s">
        <v>914</v>
      </c>
      <c r="H270" t="s">
        <v>103</v>
      </c>
      <c r="I270" s="3">
        <v>0.33333333333333331</v>
      </c>
      <c r="J270" t="s">
        <v>103</v>
      </c>
      <c r="K270" s="3">
        <v>0.33333333333333331</v>
      </c>
      <c r="L270" t="s">
        <v>103</v>
      </c>
      <c r="M270" s="3">
        <v>0.33333333333333331</v>
      </c>
      <c r="N270" t="s">
        <v>103</v>
      </c>
      <c r="O270" s="3">
        <v>0.33333333333333331</v>
      </c>
      <c r="P270" t="s">
        <v>103</v>
      </c>
      <c r="Q270" s="3">
        <v>0.33333333333333331</v>
      </c>
      <c r="R270" t="b">
        <v>1</v>
      </c>
      <c r="S270" t="s">
        <v>1842</v>
      </c>
    </row>
    <row r="271" spans="1:19" hidden="1" x14ac:dyDescent="0.2">
      <c r="A271">
        <v>269</v>
      </c>
      <c r="B271" t="s">
        <v>1843</v>
      </c>
      <c r="C271" t="s">
        <v>1844</v>
      </c>
      <c r="D271">
        <v>21212</v>
      </c>
      <c r="E271">
        <v>0</v>
      </c>
      <c r="F271">
        <v>10369259</v>
      </c>
      <c r="G271" t="s">
        <v>1632</v>
      </c>
      <c r="H271" t="s">
        <v>92</v>
      </c>
      <c r="I271" s="3">
        <v>0.47916666666666669</v>
      </c>
      <c r="J271" t="s">
        <v>92</v>
      </c>
      <c r="K271" s="3">
        <v>0.47916666666666669</v>
      </c>
      <c r="L271" t="s">
        <v>92</v>
      </c>
      <c r="M271" s="3">
        <v>0.47916666666666669</v>
      </c>
      <c r="N271" t="s">
        <v>92</v>
      </c>
      <c r="O271" s="3">
        <v>0.47916666666666669</v>
      </c>
      <c r="P271" t="s">
        <v>92</v>
      </c>
      <c r="Q271" s="3">
        <v>0.47916666666666669</v>
      </c>
      <c r="R271" t="b">
        <v>0</v>
      </c>
      <c r="S271" t="s">
        <v>1845</v>
      </c>
    </row>
    <row r="272" spans="1:19" hidden="1" x14ac:dyDescent="0.2">
      <c r="A272">
        <v>270</v>
      </c>
      <c r="B272" t="s">
        <v>821</v>
      </c>
      <c r="C272" t="s">
        <v>820</v>
      </c>
      <c r="D272">
        <v>91711</v>
      </c>
      <c r="E272">
        <v>1</v>
      </c>
      <c r="F272">
        <v>10364773</v>
      </c>
      <c r="G272" t="s">
        <v>914</v>
      </c>
      <c r="H272" t="s">
        <v>933</v>
      </c>
      <c r="I272" s="3">
        <v>0.33333333333333331</v>
      </c>
      <c r="J272" t="s">
        <v>933</v>
      </c>
      <c r="K272" s="3">
        <v>0.33333333333333331</v>
      </c>
      <c r="L272" t="s">
        <v>933</v>
      </c>
      <c r="M272" s="3">
        <v>0.33333333333333331</v>
      </c>
      <c r="N272" t="s">
        <v>933</v>
      </c>
      <c r="O272" s="3">
        <v>0.33333333333333331</v>
      </c>
      <c r="P272" t="s">
        <v>933</v>
      </c>
      <c r="Q272" s="3">
        <v>0.33333333333333331</v>
      </c>
      <c r="R272" t="b">
        <v>1</v>
      </c>
      <c r="S272" t="s">
        <v>1846</v>
      </c>
    </row>
    <row r="273" spans="1:19" hidden="1" x14ac:dyDescent="0.2">
      <c r="A273">
        <v>271</v>
      </c>
      <c r="B273" t="s">
        <v>532</v>
      </c>
      <c r="C273" t="s">
        <v>531</v>
      </c>
      <c r="D273">
        <v>91711</v>
      </c>
      <c r="E273">
        <v>1</v>
      </c>
      <c r="F273">
        <v>103780071</v>
      </c>
      <c r="G273" t="s">
        <v>914</v>
      </c>
      <c r="H273" t="s">
        <v>113</v>
      </c>
      <c r="I273" s="3">
        <v>0.33333333333333331</v>
      </c>
      <c r="J273" t="s">
        <v>113</v>
      </c>
      <c r="K273" s="3">
        <v>0.33333333333333331</v>
      </c>
      <c r="L273" t="s">
        <v>113</v>
      </c>
      <c r="M273" s="3">
        <v>0.33333333333333331</v>
      </c>
      <c r="N273" t="s">
        <v>92</v>
      </c>
      <c r="O273" s="3">
        <v>0.33333333333333331</v>
      </c>
      <c r="P273" t="s">
        <v>92</v>
      </c>
      <c r="Q273" s="3">
        <v>0.33333333333333331</v>
      </c>
      <c r="R273" t="b">
        <v>1</v>
      </c>
      <c r="S273" t="s">
        <v>1847</v>
      </c>
    </row>
    <row r="274" spans="1:19" hidden="1" x14ac:dyDescent="0.2">
      <c r="A274">
        <v>272</v>
      </c>
      <c r="B274" t="s">
        <v>453</v>
      </c>
      <c r="C274" t="s">
        <v>452</v>
      </c>
      <c r="D274">
        <v>91711</v>
      </c>
      <c r="E274">
        <v>1</v>
      </c>
      <c r="F274">
        <v>10105699</v>
      </c>
      <c r="G274" t="s">
        <v>914</v>
      </c>
      <c r="H274" t="s">
        <v>933</v>
      </c>
      <c r="I274" s="3">
        <v>0.33333333333333331</v>
      </c>
      <c r="J274" t="s">
        <v>933</v>
      </c>
      <c r="K274" s="3">
        <v>0.33333333333333331</v>
      </c>
      <c r="L274" t="s">
        <v>103</v>
      </c>
      <c r="M274" s="3">
        <v>0.33333333333333331</v>
      </c>
      <c r="N274" t="s">
        <v>103</v>
      </c>
      <c r="O274" s="3">
        <v>0.33333333333333331</v>
      </c>
      <c r="P274" t="s">
        <v>933</v>
      </c>
      <c r="Q274" s="3">
        <v>0.33333333333333331</v>
      </c>
      <c r="R274" t="b">
        <v>1</v>
      </c>
      <c r="S274" t="s">
        <v>1848</v>
      </c>
    </row>
    <row r="275" spans="1:19" hidden="1" x14ac:dyDescent="0.2">
      <c r="A275">
        <v>273</v>
      </c>
      <c r="B275" t="s">
        <v>71</v>
      </c>
      <c r="C275" t="s">
        <v>70</v>
      </c>
      <c r="D275">
        <v>92506</v>
      </c>
      <c r="E275">
        <v>35</v>
      </c>
      <c r="F275">
        <v>10358351</v>
      </c>
      <c r="G275" t="s">
        <v>914</v>
      </c>
      <c r="H275" t="s">
        <v>103</v>
      </c>
      <c r="I275" s="3">
        <v>0.33333333333333331</v>
      </c>
      <c r="J275" t="s">
        <v>113</v>
      </c>
      <c r="K275" s="3">
        <v>0.33333333333333331</v>
      </c>
      <c r="L275" t="s">
        <v>113</v>
      </c>
      <c r="M275" s="3">
        <v>0.33333333333333331</v>
      </c>
      <c r="N275" t="s">
        <v>113</v>
      </c>
      <c r="O275" s="3">
        <v>0.33333333333333331</v>
      </c>
      <c r="P275" t="s">
        <v>103</v>
      </c>
      <c r="Q275" s="3">
        <v>0.33333333333333331</v>
      </c>
      <c r="R275" t="b">
        <v>1</v>
      </c>
      <c r="S275" t="s">
        <v>1849</v>
      </c>
    </row>
    <row r="276" spans="1:19" hidden="1" x14ac:dyDescent="0.2">
      <c r="A276">
        <v>274</v>
      </c>
      <c r="B276" t="s">
        <v>1850</v>
      </c>
      <c r="C276" t="s">
        <v>1851</v>
      </c>
      <c r="D276">
        <v>91711</v>
      </c>
      <c r="E276">
        <v>0.5</v>
      </c>
      <c r="F276">
        <v>10365015</v>
      </c>
      <c r="G276" t="s">
        <v>1632</v>
      </c>
      <c r="H276" t="s">
        <v>92</v>
      </c>
      <c r="I276" s="3">
        <v>0.41666666666666669</v>
      </c>
      <c r="J276" t="s">
        <v>202</v>
      </c>
      <c r="K276" s="3">
        <v>0.25</v>
      </c>
      <c r="L276" t="s">
        <v>92</v>
      </c>
      <c r="M276" s="3">
        <v>0.41666666666666669</v>
      </c>
      <c r="N276" t="s">
        <v>202</v>
      </c>
      <c r="O276" s="3">
        <v>0.25</v>
      </c>
      <c r="P276" t="s">
        <v>92</v>
      </c>
      <c r="Q276" s="3">
        <v>0.375</v>
      </c>
      <c r="R276" t="b">
        <v>1</v>
      </c>
      <c r="S276" t="s">
        <v>1852</v>
      </c>
    </row>
    <row r="277" spans="1:19" hidden="1" x14ac:dyDescent="0.2">
      <c r="A277">
        <v>275</v>
      </c>
      <c r="B277" t="s">
        <v>1853</v>
      </c>
      <c r="C277" t="s">
        <v>1854</v>
      </c>
      <c r="D277">
        <v>91711</v>
      </c>
      <c r="E277">
        <v>0.3</v>
      </c>
      <c r="F277">
        <v>10366082</v>
      </c>
      <c r="G277" t="s">
        <v>1632</v>
      </c>
      <c r="H277" t="s">
        <v>103</v>
      </c>
      <c r="I277" s="3">
        <v>0.70833333333333337</v>
      </c>
      <c r="J277" t="s">
        <v>202</v>
      </c>
      <c r="K277" s="3">
        <v>0.45833333333333331</v>
      </c>
      <c r="L277" t="s">
        <v>202</v>
      </c>
      <c r="M277" s="3">
        <v>0.45833333333333331</v>
      </c>
      <c r="N277" t="s">
        <v>92</v>
      </c>
      <c r="O277" s="3">
        <v>0.45833333333333331</v>
      </c>
      <c r="P277" t="s">
        <v>98</v>
      </c>
      <c r="Q277" s="3">
        <v>0.54166666666666663</v>
      </c>
      <c r="R277" t="b">
        <v>0</v>
      </c>
      <c r="S277" t="s">
        <v>1855</v>
      </c>
    </row>
    <row r="278" spans="1:19" hidden="1" x14ac:dyDescent="0.2">
      <c r="A278">
        <v>276</v>
      </c>
      <c r="B278" t="s">
        <v>1050</v>
      </c>
      <c r="C278" t="s">
        <v>487</v>
      </c>
      <c r="D278">
        <v>91750</v>
      </c>
      <c r="E278">
        <v>5</v>
      </c>
      <c r="F278">
        <v>10018465</v>
      </c>
      <c r="G278" t="s">
        <v>914</v>
      </c>
      <c r="H278" t="s">
        <v>113</v>
      </c>
      <c r="I278" s="3">
        <v>0.33333333333333331</v>
      </c>
      <c r="J278" t="s">
        <v>113</v>
      </c>
      <c r="K278" s="3">
        <v>0.33333333333333331</v>
      </c>
      <c r="L278" t="s">
        <v>103</v>
      </c>
      <c r="M278" s="3">
        <v>0.33333333333333331</v>
      </c>
      <c r="N278" t="s">
        <v>113</v>
      </c>
      <c r="O278" s="3">
        <v>0.33333333333333331</v>
      </c>
      <c r="P278" t="s">
        <v>113</v>
      </c>
      <c r="Q278" s="3">
        <v>0.33333333333333331</v>
      </c>
      <c r="R278" t="b">
        <v>1</v>
      </c>
      <c r="S278" t="s">
        <v>1856</v>
      </c>
    </row>
    <row r="279" spans="1:19" hidden="1" x14ac:dyDescent="0.2">
      <c r="A279">
        <v>277</v>
      </c>
      <c r="B279" t="s">
        <v>1128</v>
      </c>
      <c r="C279" t="s">
        <v>423</v>
      </c>
      <c r="D279">
        <v>91709</v>
      </c>
      <c r="E279">
        <v>10</v>
      </c>
      <c r="F279">
        <v>10196502</v>
      </c>
      <c r="G279" t="s">
        <v>914</v>
      </c>
      <c r="H279" t="s">
        <v>103</v>
      </c>
      <c r="I279" s="3">
        <v>0.33333333333333331</v>
      </c>
      <c r="J279" t="s">
        <v>113</v>
      </c>
      <c r="K279" s="3">
        <v>0.33333333333333331</v>
      </c>
      <c r="L279" t="s">
        <v>113</v>
      </c>
      <c r="M279" s="3">
        <v>0.33333333333333331</v>
      </c>
      <c r="N279" t="s">
        <v>113</v>
      </c>
      <c r="O279" s="3">
        <v>0.33333333333333331</v>
      </c>
      <c r="P279" t="s">
        <v>103</v>
      </c>
      <c r="Q279" s="3">
        <v>0.33333333333333331</v>
      </c>
      <c r="R279" t="b">
        <v>1</v>
      </c>
      <c r="S279" t="s">
        <v>1857</v>
      </c>
    </row>
    <row r="280" spans="1:19" hidden="1" x14ac:dyDescent="0.2">
      <c r="A280">
        <v>278</v>
      </c>
      <c r="B280" t="s">
        <v>994</v>
      </c>
      <c r="C280" t="s">
        <v>293</v>
      </c>
      <c r="D280">
        <v>91711</v>
      </c>
      <c r="E280">
        <v>3</v>
      </c>
      <c r="F280">
        <v>103725701</v>
      </c>
      <c r="G280" t="s">
        <v>919</v>
      </c>
      <c r="H280" t="s">
        <v>113</v>
      </c>
      <c r="I280" s="3">
        <v>0.33333333333333331</v>
      </c>
      <c r="J280" t="s">
        <v>113</v>
      </c>
      <c r="K280" s="3">
        <v>0.33333333333333331</v>
      </c>
      <c r="L280" t="s">
        <v>113</v>
      </c>
      <c r="M280" s="3">
        <v>0.33333333333333331</v>
      </c>
      <c r="N280" t="s">
        <v>113</v>
      </c>
      <c r="O280" s="3">
        <v>0.33333333333333331</v>
      </c>
      <c r="P280" t="s">
        <v>113</v>
      </c>
      <c r="Q280" s="3">
        <v>0.33333333333333331</v>
      </c>
      <c r="R280" t="b">
        <v>1</v>
      </c>
      <c r="S280" t="s">
        <v>1858</v>
      </c>
    </row>
    <row r="281" spans="1:19" hidden="1" x14ac:dyDescent="0.2">
      <c r="A281">
        <v>279</v>
      </c>
      <c r="B281" t="s">
        <v>651</v>
      </c>
      <c r="C281" t="s">
        <v>650</v>
      </c>
      <c r="D281">
        <v>91711</v>
      </c>
      <c r="E281">
        <v>1</v>
      </c>
      <c r="F281">
        <v>10368798</v>
      </c>
      <c r="G281" t="s">
        <v>914</v>
      </c>
      <c r="H281" t="s">
        <v>113</v>
      </c>
      <c r="I281" s="3">
        <v>0.33333333333333331</v>
      </c>
      <c r="J281" t="s">
        <v>113</v>
      </c>
      <c r="K281" s="3">
        <v>0.33333333333333331</v>
      </c>
      <c r="L281" t="s">
        <v>113</v>
      </c>
      <c r="M281" s="3">
        <v>0.33333333333333331</v>
      </c>
      <c r="N281" t="s">
        <v>113</v>
      </c>
      <c r="O281" s="3">
        <v>0.33333333333333331</v>
      </c>
      <c r="P281" t="s">
        <v>113</v>
      </c>
      <c r="Q281" s="3">
        <v>0.33333333333333331</v>
      </c>
      <c r="R281" t="b">
        <v>1</v>
      </c>
      <c r="S281" t="s">
        <v>1859</v>
      </c>
    </row>
    <row r="282" spans="1:19" hidden="1" x14ac:dyDescent="0.2">
      <c r="A282">
        <v>280</v>
      </c>
      <c r="B282" t="s">
        <v>237</v>
      </c>
      <c r="C282" t="s">
        <v>236</v>
      </c>
      <c r="D282">
        <v>91711</v>
      </c>
      <c r="E282">
        <v>1.2</v>
      </c>
      <c r="F282">
        <v>100067671</v>
      </c>
      <c r="G282" t="s">
        <v>914</v>
      </c>
      <c r="H282" t="s">
        <v>92</v>
      </c>
      <c r="I282" s="3">
        <v>0.33333333333333331</v>
      </c>
      <c r="J282" t="s">
        <v>92</v>
      </c>
      <c r="K282" s="3">
        <v>0.35416666666666669</v>
      </c>
      <c r="L282" t="s">
        <v>92</v>
      </c>
      <c r="M282" s="3">
        <v>0.35416666666666669</v>
      </c>
      <c r="N282" t="s">
        <v>92</v>
      </c>
      <c r="O282" s="3">
        <v>0.33333333333333331</v>
      </c>
      <c r="P282" t="s">
        <v>92</v>
      </c>
      <c r="Q282" s="3">
        <v>0.35416666666666669</v>
      </c>
      <c r="R282" t="b">
        <v>1</v>
      </c>
      <c r="S282" t="s">
        <v>1860</v>
      </c>
    </row>
    <row r="283" spans="1:19" hidden="1" x14ac:dyDescent="0.2">
      <c r="A283">
        <v>281</v>
      </c>
      <c r="B283" t="s">
        <v>667</v>
      </c>
      <c r="C283" t="s">
        <v>666</v>
      </c>
      <c r="D283">
        <v>92570</v>
      </c>
      <c r="E283">
        <v>39.299999999999997</v>
      </c>
      <c r="F283">
        <v>10373098</v>
      </c>
      <c r="G283" t="s">
        <v>914</v>
      </c>
      <c r="H283" t="s">
        <v>74</v>
      </c>
      <c r="I283" s="3">
        <v>0.35416666666666669</v>
      </c>
      <c r="J283" t="s">
        <v>74</v>
      </c>
      <c r="K283" s="3">
        <v>0.35416666666666669</v>
      </c>
      <c r="L283" t="s">
        <v>74</v>
      </c>
      <c r="M283" s="3">
        <v>0.35416666666666669</v>
      </c>
      <c r="N283" t="s">
        <v>74</v>
      </c>
      <c r="O283" s="3">
        <v>0.35416666666666669</v>
      </c>
      <c r="P283" t="s">
        <v>74</v>
      </c>
      <c r="Q283" s="3">
        <v>0.35416666666666669</v>
      </c>
      <c r="R283" t="b">
        <v>1</v>
      </c>
      <c r="S283" t="s">
        <v>1861</v>
      </c>
    </row>
    <row r="284" spans="1:19" hidden="1" x14ac:dyDescent="0.2">
      <c r="A284">
        <v>282</v>
      </c>
      <c r="B284" t="s">
        <v>299</v>
      </c>
      <c r="C284" t="s">
        <v>1306</v>
      </c>
      <c r="D284">
        <v>92397</v>
      </c>
      <c r="E284">
        <v>40</v>
      </c>
      <c r="F284">
        <v>10371896</v>
      </c>
      <c r="G284" t="s">
        <v>914</v>
      </c>
      <c r="H284" t="s">
        <v>103</v>
      </c>
      <c r="I284" s="3">
        <v>0.33333333333333331</v>
      </c>
      <c r="J284" t="s">
        <v>113</v>
      </c>
      <c r="K284" s="3">
        <v>0.33333333333333331</v>
      </c>
      <c r="L284" t="s">
        <v>103</v>
      </c>
      <c r="M284" s="3">
        <v>0.33333333333333331</v>
      </c>
      <c r="N284" t="s">
        <v>113</v>
      </c>
      <c r="O284" s="3">
        <v>0.33333333333333331</v>
      </c>
      <c r="P284" t="s">
        <v>113</v>
      </c>
      <c r="Q284" s="3">
        <v>0.33333333333333331</v>
      </c>
      <c r="R284" t="b">
        <v>1</v>
      </c>
      <c r="S284" t="s">
        <v>1862</v>
      </c>
    </row>
    <row r="285" spans="1:19" hidden="1" x14ac:dyDescent="0.2">
      <c r="A285">
        <v>283</v>
      </c>
      <c r="B285" t="s">
        <v>258</v>
      </c>
      <c r="C285" t="s">
        <v>257</v>
      </c>
      <c r="D285">
        <v>91103</v>
      </c>
      <c r="E285">
        <v>26</v>
      </c>
      <c r="F285">
        <v>103713841</v>
      </c>
      <c r="G285" t="s">
        <v>914</v>
      </c>
      <c r="H285" t="s">
        <v>103</v>
      </c>
      <c r="I285" s="3">
        <v>0.35416666666666669</v>
      </c>
      <c r="J285" t="s">
        <v>74</v>
      </c>
      <c r="K285" s="3">
        <v>0.3125</v>
      </c>
      <c r="L285" t="s">
        <v>74</v>
      </c>
      <c r="M285" s="3">
        <v>0.3125</v>
      </c>
      <c r="N285" t="s">
        <v>74</v>
      </c>
      <c r="O285" s="3">
        <v>0.3125</v>
      </c>
      <c r="P285" t="s">
        <v>103</v>
      </c>
      <c r="Q285" s="3">
        <v>0.35416666666666669</v>
      </c>
      <c r="R285" t="b">
        <v>1</v>
      </c>
      <c r="S285" t="s">
        <v>1863</v>
      </c>
    </row>
    <row r="286" spans="1:19" hidden="1" x14ac:dyDescent="0.2">
      <c r="A286">
        <v>284</v>
      </c>
      <c r="B286" t="s">
        <v>1177</v>
      </c>
      <c r="C286" t="s">
        <v>1178</v>
      </c>
      <c r="D286">
        <v>91706</v>
      </c>
      <c r="E286">
        <v>15</v>
      </c>
      <c r="F286">
        <v>10042321</v>
      </c>
      <c r="G286" t="s">
        <v>914</v>
      </c>
      <c r="H286" t="s">
        <v>103</v>
      </c>
      <c r="I286" s="3">
        <v>0.33333333333333331</v>
      </c>
      <c r="J286" t="s">
        <v>103</v>
      </c>
      <c r="K286" s="3">
        <v>0.33333333333333331</v>
      </c>
      <c r="L286" t="s">
        <v>195</v>
      </c>
      <c r="M286" s="3">
        <v>0.33333333333333331</v>
      </c>
      <c r="N286" t="s">
        <v>74</v>
      </c>
      <c r="O286" s="3">
        <v>0.33333333333333331</v>
      </c>
      <c r="P286" t="s">
        <v>74</v>
      </c>
      <c r="Q286" s="3">
        <v>0.33333333333333331</v>
      </c>
      <c r="R286" t="b">
        <v>1</v>
      </c>
      <c r="S286" t="s">
        <v>1864</v>
      </c>
    </row>
    <row r="287" spans="1:19" hidden="1" x14ac:dyDescent="0.2">
      <c r="A287">
        <v>285</v>
      </c>
      <c r="B287" t="s">
        <v>902</v>
      </c>
      <c r="C287" t="s">
        <v>1865</v>
      </c>
      <c r="D287">
        <v>94301</v>
      </c>
      <c r="E287">
        <v>1</v>
      </c>
      <c r="F287">
        <v>122895</v>
      </c>
      <c r="G287" t="s">
        <v>1638</v>
      </c>
      <c r="H287" t="s">
        <v>98</v>
      </c>
      <c r="I287" s="3">
        <v>0.33333333333333331</v>
      </c>
      <c r="J287" t="s">
        <v>98</v>
      </c>
      <c r="K287" s="3">
        <v>0.33333333333333331</v>
      </c>
      <c r="L287" t="s">
        <v>98</v>
      </c>
      <c r="M287" s="3">
        <v>0.33333333333333331</v>
      </c>
      <c r="N287" t="s">
        <v>98</v>
      </c>
      <c r="O287" s="3">
        <v>0.33333333333333331</v>
      </c>
      <c r="P287" t="s">
        <v>202</v>
      </c>
      <c r="Q287" s="3">
        <v>0.25</v>
      </c>
      <c r="R287" t="b">
        <v>1</v>
      </c>
      <c r="S287" t="s">
        <v>1866</v>
      </c>
    </row>
    <row r="288" spans="1:19" x14ac:dyDescent="0.2">
      <c r="A288">
        <v>286</v>
      </c>
      <c r="B288" t="s">
        <v>1867</v>
      </c>
      <c r="C288" t="s">
        <v>1868</v>
      </c>
      <c r="D288">
        <v>91001</v>
      </c>
      <c r="E288">
        <v>28.5</v>
      </c>
      <c r="F288">
        <v>10372662</v>
      </c>
      <c r="G288" t="s">
        <v>1495</v>
      </c>
      <c r="H288" t="s">
        <v>933</v>
      </c>
      <c r="I288" s="3">
        <v>0.375</v>
      </c>
      <c r="J288" t="s">
        <v>103</v>
      </c>
      <c r="K288" s="3">
        <v>0.375</v>
      </c>
      <c r="L288" t="s">
        <v>933</v>
      </c>
      <c r="M288" s="3">
        <v>0.375</v>
      </c>
      <c r="N288" t="s">
        <v>113</v>
      </c>
      <c r="O288" s="3">
        <v>0.375</v>
      </c>
      <c r="P288" t="s">
        <v>103</v>
      </c>
      <c r="Q288" s="3">
        <v>0.375</v>
      </c>
      <c r="R288" t="b">
        <v>1</v>
      </c>
      <c r="S288" t="s">
        <v>1869</v>
      </c>
    </row>
    <row r="289" spans="1:19" hidden="1" x14ac:dyDescent="0.2">
      <c r="A289">
        <v>287</v>
      </c>
      <c r="B289" t="s">
        <v>1065</v>
      </c>
      <c r="C289" t="s">
        <v>1066</v>
      </c>
      <c r="D289">
        <v>91730</v>
      </c>
      <c r="E289">
        <v>6</v>
      </c>
      <c r="F289">
        <v>10352784</v>
      </c>
      <c r="G289" t="s">
        <v>914</v>
      </c>
      <c r="H289" t="s">
        <v>113</v>
      </c>
      <c r="I289" s="3">
        <v>0.35416666666666669</v>
      </c>
      <c r="J289" t="s">
        <v>113</v>
      </c>
      <c r="K289" s="3">
        <v>0.35416666666666669</v>
      </c>
      <c r="L289" t="s">
        <v>113</v>
      </c>
      <c r="M289" s="3">
        <v>0.35416666666666669</v>
      </c>
      <c r="N289" t="s">
        <v>113</v>
      </c>
      <c r="O289" s="3">
        <v>0.35416666666666669</v>
      </c>
      <c r="P289" t="s">
        <v>113</v>
      </c>
      <c r="Q289" s="3">
        <v>0.35416666666666669</v>
      </c>
      <c r="R289" t="b">
        <v>1</v>
      </c>
      <c r="S289" t="s">
        <v>1870</v>
      </c>
    </row>
    <row r="290" spans="1:19" hidden="1" x14ac:dyDescent="0.2">
      <c r="A290">
        <v>288</v>
      </c>
      <c r="B290" t="s">
        <v>671</v>
      </c>
      <c r="C290" t="s">
        <v>670</v>
      </c>
      <c r="D290">
        <v>91007</v>
      </c>
      <c r="E290">
        <v>22</v>
      </c>
      <c r="F290" t="s">
        <v>1236</v>
      </c>
      <c r="G290" t="s">
        <v>914</v>
      </c>
      <c r="H290" t="s">
        <v>113</v>
      </c>
      <c r="I290" s="3">
        <v>0.20833333333333334</v>
      </c>
      <c r="J290" t="s">
        <v>113</v>
      </c>
      <c r="K290" s="3">
        <v>0.20833333333333334</v>
      </c>
      <c r="L290" t="s">
        <v>113</v>
      </c>
      <c r="M290" s="3">
        <v>0.20833333333333334</v>
      </c>
      <c r="N290" t="s">
        <v>113</v>
      </c>
      <c r="O290" s="3">
        <v>0.20833333333333334</v>
      </c>
      <c r="P290" t="s">
        <v>113</v>
      </c>
      <c r="Q290" s="3">
        <v>0.20833333333333334</v>
      </c>
      <c r="R290" t="b">
        <v>0</v>
      </c>
      <c r="S290" t="s">
        <v>1871</v>
      </c>
    </row>
    <row r="291" spans="1:19" hidden="1" x14ac:dyDescent="0.2">
      <c r="A291">
        <v>289</v>
      </c>
      <c r="B291" t="s">
        <v>311</v>
      </c>
      <c r="C291" t="s">
        <v>308</v>
      </c>
      <c r="D291">
        <v>91786</v>
      </c>
      <c r="E291">
        <v>2.2000000000000002</v>
      </c>
      <c r="F291">
        <v>103731316</v>
      </c>
      <c r="G291" t="s">
        <v>914</v>
      </c>
      <c r="H291" t="s">
        <v>103</v>
      </c>
      <c r="I291" s="3">
        <v>0.33333333333333331</v>
      </c>
      <c r="J291" t="s">
        <v>113</v>
      </c>
      <c r="K291" s="3">
        <v>0.33333333333333331</v>
      </c>
      <c r="L291" t="s">
        <v>113</v>
      </c>
      <c r="M291" s="3">
        <v>0.33333333333333331</v>
      </c>
      <c r="N291" t="s">
        <v>113</v>
      </c>
      <c r="O291" s="3">
        <v>0.33333333333333331</v>
      </c>
      <c r="P291" t="s">
        <v>103</v>
      </c>
      <c r="Q291" s="3">
        <v>0.33333333333333331</v>
      </c>
      <c r="R291" t="b">
        <v>1</v>
      </c>
      <c r="S291" t="s">
        <v>1872</v>
      </c>
    </row>
    <row r="292" spans="1:19" hidden="1" x14ac:dyDescent="0.2">
      <c r="A292">
        <v>290</v>
      </c>
      <c r="B292" t="s">
        <v>221</v>
      </c>
      <c r="C292" t="s">
        <v>218</v>
      </c>
      <c r="D292">
        <v>91711</v>
      </c>
      <c r="E292">
        <v>1</v>
      </c>
      <c r="F292">
        <v>10363207</v>
      </c>
      <c r="G292" t="s">
        <v>914</v>
      </c>
      <c r="H292" t="s">
        <v>103</v>
      </c>
      <c r="I292" s="3">
        <v>0.33333333333333331</v>
      </c>
      <c r="J292" t="s">
        <v>92</v>
      </c>
      <c r="K292" s="3">
        <v>0.33333333333333331</v>
      </c>
      <c r="L292" t="s">
        <v>92</v>
      </c>
      <c r="M292" s="3">
        <v>0.33333333333333331</v>
      </c>
      <c r="N292" t="s">
        <v>92</v>
      </c>
      <c r="O292" s="3">
        <v>0.33333333333333331</v>
      </c>
      <c r="P292" t="s">
        <v>92</v>
      </c>
      <c r="Q292" s="3">
        <v>0.33333333333333331</v>
      </c>
      <c r="R292" t="b">
        <v>1</v>
      </c>
      <c r="S292" t="s">
        <v>1873</v>
      </c>
    </row>
    <row r="293" spans="1:19" x14ac:dyDescent="0.2">
      <c r="A293">
        <v>291</v>
      </c>
      <c r="B293" t="s">
        <v>1874</v>
      </c>
      <c r="C293" t="s">
        <v>1875</v>
      </c>
      <c r="D293">
        <v>91711</v>
      </c>
      <c r="E293">
        <v>1</v>
      </c>
      <c r="F293">
        <v>10029852</v>
      </c>
      <c r="G293" t="s">
        <v>1495</v>
      </c>
      <c r="H293" t="s">
        <v>113</v>
      </c>
      <c r="I293" s="3">
        <v>0.41666666666666669</v>
      </c>
      <c r="J293" t="s">
        <v>113</v>
      </c>
      <c r="K293" s="3">
        <v>0.35416666666666669</v>
      </c>
      <c r="L293" t="s">
        <v>113</v>
      </c>
      <c r="M293" s="3">
        <v>0.41666666666666669</v>
      </c>
      <c r="N293" t="s">
        <v>113</v>
      </c>
      <c r="O293" s="3">
        <v>0.35416666666666669</v>
      </c>
      <c r="P293" t="s">
        <v>113</v>
      </c>
      <c r="Q293" s="3">
        <v>0.33333333333333331</v>
      </c>
      <c r="R293" t="b">
        <v>1</v>
      </c>
      <c r="S293" t="s">
        <v>1876</v>
      </c>
    </row>
    <row r="294" spans="1:19" x14ac:dyDescent="0.2">
      <c r="A294">
        <v>292</v>
      </c>
      <c r="B294" t="s">
        <v>333</v>
      </c>
      <c r="C294" t="s">
        <v>1877</v>
      </c>
      <c r="D294">
        <v>91767</v>
      </c>
      <c r="E294">
        <v>1.8</v>
      </c>
      <c r="F294">
        <v>101864131</v>
      </c>
      <c r="G294" t="s">
        <v>1495</v>
      </c>
      <c r="H294" t="s">
        <v>113</v>
      </c>
      <c r="I294" s="3">
        <v>0.33333333333333331</v>
      </c>
      <c r="J294" t="s">
        <v>113</v>
      </c>
      <c r="K294" s="3">
        <v>0.33333333333333331</v>
      </c>
      <c r="L294" t="s">
        <v>113</v>
      </c>
      <c r="M294" s="3">
        <v>0.33333333333333331</v>
      </c>
      <c r="N294" t="s">
        <v>113</v>
      </c>
      <c r="O294" s="3">
        <v>0.33333333333333331</v>
      </c>
      <c r="P294" t="s">
        <v>113</v>
      </c>
      <c r="Q294" s="3">
        <v>0.33333333333333331</v>
      </c>
      <c r="R294" t="b">
        <v>1</v>
      </c>
      <c r="S294" t="s">
        <v>1878</v>
      </c>
    </row>
    <row r="295" spans="1:19" hidden="1" x14ac:dyDescent="0.2">
      <c r="A295">
        <v>293</v>
      </c>
      <c r="B295" t="s">
        <v>406</v>
      </c>
      <c r="C295" t="s">
        <v>415</v>
      </c>
      <c r="D295">
        <v>91711</v>
      </c>
      <c r="E295">
        <v>2</v>
      </c>
      <c r="F295">
        <v>118949</v>
      </c>
      <c r="G295" t="s">
        <v>914</v>
      </c>
      <c r="H295" t="s">
        <v>113</v>
      </c>
      <c r="I295" s="3">
        <v>0.33333333333333331</v>
      </c>
      <c r="J295" t="s">
        <v>113</v>
      </c>
      <c r="K295" s="3">
        <v>0.33333333333333331</v>
      </c>
      <c r="L295" t="s">
        <v>113</v>
      </c>
      <c r="M295" s="3">
        <v>0.33333333333333331</v>
      </c>
      <c r="N295" t="s">
        <v>113</v>
      </c>
      <c r="O295" s="3">
        <v>0.33333333333333331</v>
      </c>
      <c r="P295" t="s">
        <v>113</v>
      </c>
      <c r="Q295" s="3">
        <v>0.33333333333333331</v>
      </c>
      <c r="R295" t="b">
        <v>1</v>
      </c>
      <c r="S295" t="s">
        <v>1879</v>
      </c>
    </row>
    <row r="296" spans="1:19" hidden="1" x14ac:dyDescent="0.2">
      <c r="A296">
        <v>294</v>
      </c>
      <c r="B296" t="s">
        <v>497</v>
      </c>
      <c r="C296" t="s">
        <v>496</v>
      </c>
      <c r="D296">
        <v>91786</v>
      </c>
      <c r="E296">
        <v>2</v>
      </c>
      <c r="F296">
        <v>10370979</v>
      </c>
      <c r="G296" t="s">
        <v>914</v>
      </c>
      <c r="H296" t="s">
        <v>113</v>
      </c>
      <c r="I296" s="3">
        <v>0.35416666666666669</v>
      </c>
      <c r="J296" t="s">
        <v>103</v>
      </c>
      <c r="K296" s="3">
        <v>0.33333333333333331</v>
      </c>
      <c r="L296" t="s">
        <v>113</v>
      </c>
      <c r="M296" s="3">
        <v>0.35416666666666669</v>
      </c>
      <c r="N296" t="s">
        <v>113</v>
      </c>
      <c r="O296" s="3">
        <v>0.35416666666666669</v>
      </c>
      <c r="P296" t="s">
        <v>103</v>
      </c>
      <c r="Q296" s="3">
        <v>0.33333333333333331</v>
      </c>
      <c r="R296" t="b">
        <v>1</v>
      </c>
      <c r="S296" t="s">
        <v>1880</v>
      </c>
    </row>
    <row r="297" spans="1:19" hidden="1" x14ac:dyDescent="0.2">
      <c r="A297">
        <v>295</v>
      </c>
      <c r="B297" t="s">
        <v>497</v>
      </c>
      <c r="C297" t="s">
        <v>912</v>
      </c>
      <c r="D297">
        <v>91739</v>
      </c>
      <c r="E297">
        <v>12</v>
      </c>
      <c r="F297">
        <v>103734081</v>
      </c>
      <c r="G297" t="s">
        <v>914</v>
      </c>
      <c r="H297" t="s">
        <v>103</v>
      </c>
      <c r="I297" s="3">
        <v>0.33333333333333331</v>
      </c>
      <c r="J297" t="s">
        <v>113</v>
      </c>
      <c r="K297" s="3">
        <v>0.33333333333333331</v>
      </c>
      <c r="L297" t="s">
        <v>113</v>
      </c>
      <c r="M297" s="3">
        <v>0.33333333333333331</v>
      </c>
      <c r="N297" t="s">
        <v>113</v>
      </c>
      <c r="O297" s="3">
        <v>0.33333333333333331</v>
      </c>
      <c r="P297" t="s">
        <v>113</v>
      </c>
      <c r="Q297" s="3">
        <v>0.33333333333333331</v>
      </c>
      <c r="R297" t="b">
        <v>1</v>
      </c>
      <c r="S297" t="s">
        <v>1881</v>
      </c>
    </row>
    <row r="298" spans="1:19" hidden="1" x14ac:dyDescent="0.2">
      <c r="A298">
        <v>296</v>
      </c>
      <c r="B298" t="s">
        <v>1882</v>
      </c>
      <c r="C298" t="s">
        <v>1883</v>
      </c>
      <c r="D298">
        <v>95864</v>
      </c>
      <c r="E298">
        <v>0</v>
      </c>
      <c r="F298">
        <v>10364479</v>
      </c>
      <c r="G298" t="s">
        <v>1632</v>
      </c>
      <c r="H298" t="s">
        <v>92</v>
      </c>
      <c r="I298" s="3">
        <v>0.41666666666666669</v>
      </c>
      <c r="J298" t="s">
        <v>92</v>
      </c>
      <c r="K298" s="3">
        <v>0.41666666666666669</v>
      </c>
      <c r="L298" t="s">
        <v>92</v>
      </c>
      <c r="M298" s="3">
        <v>0.41666666666666669</v>
      </c>
      <c r="N298" t="s">
        <v>92</v>
      </c>
      <c r="O298" s="3">
        <v>0.41666666666666669</v>
      </c>
      <c r="P298" t="s">
        <v>92</v>
      </c>
      <c r="Q298" s="3">
        <v>0.41666666666666669</v>
      </c>
      <c r="R298" t="b">
        <v>1</v>
      </c>
      <c r="S298" t="s">
        <v>1884</v>
      </c>
    </row>
    <row r="299" spans="1:19" hidden="1" x14ac:dyDescent="0.2">
      <c r="A299">
        <v>297</v>
      </c>
      <c r="B299" t="s">
        <v>381</v>
      </c>
      <c r="C299" t="s">
        <v>480</v>
      </c>
      <c r="D299">
        <v>92807</v>
      </c>
      <c r="E299">
        <v>30</v>
      </c>
      <c r="F299">
        <v>10299552</v>
      </c>
      <c r="G299" t="s">
        <v>914</v>
      </c>
      <c r="H299" t="s">
        <v>113</v>
      </c>
      <c r="I299" s="3">
        <v>0.33333333333333331</v>
      </c>
      <c r="J299" t="s">
        <v>113</v>
      </c>
      <c r="K299" s="3">
        <v>0.33333333333333331</v>
      </c>
      <c r="L299" t="s">
        <v>113</v>
      </c>
      <c r="M299" s="3">
        <v>0.33333333333333331</v>
      </c>
      <c r="N299" t="s">
        <v>113</v>
      </c>
      <c r="O299" s="3">
        <v>0.33333333333333331</v>
      </c>
      <c r="P299" t="s">
        <v>113</v>
      </c>
      <c r="Q299" s="3">
        <v>0.33333333333333331</v>
      </c>
      <c r="R299" t="b">
        <v>1</v>
      </c>
      <c r="S299" t="s">
        <v>1885</v>
      </c>
    </row>
    <row r="300" spans="1:19" hidden="1" x14ac:dyDescent="0.2">
      <c r="A300">
        <v>298</v>
      </c>
      <c r="B300" t="s">
        <v>960</v>
      </c>
      <c r="C300" t="s">
        <v>961</v>
      </c>
      <c r="D300">
        <v>91763</v>
      </c>
      <c r="E300">
        <v>2</v>
      </c>
      <c r="F300">
        <v>10368483</v>
      </c>
      <c r="G300" t="s">
        <v>914</v>
      </c>
      <c r="H300" t="s">
        <v>113</v>
      </c>
      <c r="I300" s="3">
        <v>0.25</v>
      </c>
      <c r="J300" t="s">
        <v>113</v>
      </c>
      <c r="K300" s="3">
        <v>0.25</v>
      </c>
      <c r="L300" t="s">
        <v>74</v>
      </c>
      <c r="M300" s="3">
        <v>0.25</v>
      </c>
      <c r="N300" t="s">
        <v>113</v>
      </c>
      <c r="O300" s="3">
        <v>0.25</v>
      </c>
      <c r="P300" t="s">
        <v>74</v>
      </c>
      <c r="Q300" s="3">
        <v>0.25</v>
      </c>
      <c r="R300" t="b">
        <v>1</v>
      </c>
      <c r="S300" t="s">
        <v>1886</v>
      </c>
    </row>
    <row r="301" spans="1:19" hidden="1" x14ac:dyDescent="0.2">
      <c r="A301">
        <v>299</v>
      </c>
      <c r="B301" t="s">
        <v>205</v>
      </c>
      <c r="C301" t="s">
        <v>204</v>
      </c>
      <c r="D301">
        <v>91767</v>
      </c>
      <c r="E301">
        <v>3</v>
      </c>
      <c r="F301">
        <v>103703221</v>
      </c>
      <c r="G301" t="s">
        <v>914</v>
      </c>
      <c r="H301" t="s">
        <v>113</v>
      </c>
      <c r="I301" s="3">
        <v>0.33333333333333331</v>
      </c>
      <c r="J301" t="s">
        <v>113</v>
      </c>
      <c r="K301" s="3">
        <v>0.33333333333333331</v>
      </c>
      <c r="L301" t="s">
        <v>113</v>
      </c>
      <c r="M301" s="3">
        <v>0.33333333333333331</v>
      </c>
      <c r="N301" t="s">
        <v>113</v>
      </c>
      <c r="O301" s="3">
        <v>0.33333333333333331</v>
      </c>
      <c r="P301" t="s">
        <v>113</v>
      </c>
      <c r="Q301" s="3">
        <v>0.33333333333333331</v>
      </c>
      <c r="R301" t="b">
        <v>1</v>
      </c>
      <c r="S301" t="s">
        <v>1887</v>
      </c>
    </row>
    <row r="302" spans="1:19" hidden="1" x14ac:dyDescent="0.2">
      <c r="A302">
        <v>300</v>
      </c>
      <c r="B302" t="s">
        <v>698</v>
      </c>
      <c r="C302" t="s">
        <v>697</v>
      </c>
      <c r="D302">
        <v>92345</v>
      </c>
      <c r="E302">
        <v>44</v>
      </c>
      <c r="F302">
        <v>10226387</v>
      </c>
      <c r="G302" t="s">
        <v>914</v>
      </c>
      <c r="H302" t="s">
        <v>103</v>
      </c>
      <c r="I302" s="3">
        <v>0.33333333333333331</v>
      </c>
      <c r="J302" t="s">
        <v>113</v>
      </c>
      <c r="K302" s="3">
        <v>0.33333333333333331</v>
      </c>
      <c r="L302" t="s">
        <v>113</v>
      </c>
      <c r="M302" s="3">
        <v>0.33333333333333331</v>
      </c>
      <c r="N302" t="s">
        <v>113</v>
      </c>
      <c r="O302" s="3">
        <v>0.33333333333333331</v>
      </c>
      <c r="P302" t="s">
        <v>103</v>
      </c>
      <c r="Q302" s="3">
        <v>0.33333333333333331</v>
      </c>
      <c r="R302" t="b">
        <v>1</v>
      </c>
      <c r="S302" t="s">
        <v>1888</v>
      </c>
    </row>
    <row r="303" spans="1:19" hidden="1" x14ac:dyDescent="0.2">
      <c r="A303">
        <v>301</v>
      </c>
      <c r="B303" t="s">
        <v>1889</v>
      </c>
      <c r="C303" t="s">
        <v>1890</v>
      </c>
      <c r="D303">
        <v>91711</v>
      </c>
      <c r="E303">
        <v>0.1</v>
      </c>
      <c r="F303">
        <v>10364958</v>
      </c>
      <c r="G303" t="s">
        <v>1632</v>
      </c>
      <c r="H303" t="s">
        <v>202</v>
      </c>
      <c r="I303" s="3">
        <v>0.25</v>
      </c>
      <c r="J303" t="s">
        <v>202</v>
      </c>
      <c r="K303" s="3">
        <v>0.25</v>
      </c>
      <c r="L303" t="s">
        <v>202</v>
      </c>
      <c r="M303" s="3">
        <v>0.25</v>
      </c>
      <c r="N303" t="s">
        <v>202</v>
      </c>
      <c r="O303" s="3">
        <v>0.25</v>
      </c>
      <c r="P303" t="s">
        <v>92</v>
      </c>
      <c r="Q303" s="3">
        <v>0.41666666666666669</v>
      </c>
      <c r="R303" t="b">
        <v>1</v>
      </c>
      <c r="S303" t="s">
        <v>1891</v>
      </c>
    </row>
    <row r="304" spans="1:19" hidden="1" x14ac:dyDescent="0.2">
      <c r="A304">
        <v>302</v>
      </c>
      <c r="B304" t="s">
        <v>365</v>
      </c>
      <c r="C304" t="s">
        <v>1014</v>
      </c>
      <c r="D304">
        <v>91767</v>
      </c>
      <c r="E304">
        <v>3.5</v>
      </c>
      <c r="F304" t="s">
        <v>1015</v>
      </c>
      <c r="G304" t="s">
        <v>919</v>
      </c>
      <c r="H304" t="s">
        <v>113</v>
      </c>
      <c r="I304" s="3">
        <v>0.33333333333333331</v>
      </c>
      <c r="J304" t="s">
        <v>113</v>
      </c>
      <c r="K304" s="3">
        <v>0.33333333333333331</v>
      </c>
      <c r="L304" t="s">
        <v>113</v>
      </c>
      <c r="M304" s="3">
        <v>0.33333333333333331</v>
      </c>
      <c r="N304" t="s">
        <v>113</v>
      </c>
      <c r="O304" s="3">
        <v>0.33333333333333331</v>
      </c>
      <c r="P304" t="s">
        <v>113</v>
      </c>
      <c r="Q304" s="3">
        <v>0.33333333333333331</v>
      </c>
      <c r="R304" t="b">
        <v>1</v>
      </c>
      <c r="S304" t="s">
        <v>1892</v>
      </c>
    </row>
    <row r="305" spans="1:19" hidden="1" x14ac:dyDescent="0.2">
      <c r="A305">
        <v>303</v>
      </c>
      <c r="B305" t="s">
        <v>966</v>
      </c>
      <c r="C305" t="s">
        <v>1893</v>
      </c>
      <c r="D305">
        <v>75093</v>
      </c>
      <c r="E305">
        <v>0.2</v>
      </c>
      <c r="F305">
        <v>10365001</v>
      </c>
      <c r="G305" t="s">
        <v>1632</v>
      </c>
      <c r="H305" t="s">
        <v>202</v>
      </c>
      <c r="I305" s="3">
        <v>0.45833333333333331</v>
      </c>
      <c r="J305" t="s">
        <v>202</v>
      </c>
      <c r="K305" s="3">
        <v>0.45833333333333331</v>
      </c>
      <c r="L305" t="s">
        <v>202</v>
      </c>
      <c r="M305" s="3">
        <v>0.45833333333333331</v>
      </c>
      <c r="N305" t="s">
        <v>202</v>
      </c>
      <c r="O305" s="3">
        <v>0.45833333333333331</v>
      </c>
      <c r="P305" t="s">
        <v>92</v>
      </c>
      <c r="Q305" s="3">
        <v>0.47916666666666669</v>
      </c>
      <c r="R305" t="b">
        <v>0</v>
      </c>
      <c r="S305" t="s">
        <v>1894</v>
      </c>
    </row>
    <row r="306" spans="1:19" hidden="1" x14ac:dyDescent="0.2">
      <c r="A306">
        <v>304</v>
      </c>
      <c r="B306" t="s">
        <v>1895</v>
      </c>
      <c r="C306" t="s">
        <v>927</v>
      </c>
      <c r="D306">
        <v>45249</v>
      </c>
      <c r="E306">
        <v>1</v>
      </c>
      <c r="F306">
        <v>20272683</v>
      </c>
      <c r="G306" t="s">
        <v>1638</v>
      </c>
      <c r="H306" t="s">
        <v>202</v>
      </c>
      <c r="I306" s="3">
        <v>0.25</v>
      </c>
      <c r="J306" t="s">
        <v>92</v>
      </c>
      <c r="K306" s="3">
        <v>0.41666666666666669</v>
      </c>
      <c r="L306" t="s">
        <v>202</v>
      </c>
      <c r="M306" s="3">
        <v>0.25</v>
      </c>
      <c r="N306" t="s">
        <v>92</v>
      </c>
      <c r="O306" s="3">
        <v>0.29166666666666669</v>
      </c>
      <c r="P306" t="s">
        <v>92</v>
      </c>
      <c r="Q306" s="3">
        <v>0.45833333333333331</v>
      </c>
      <c r="R306" t="b">
        <v>1</v>
      </c>
      <c r="S306" t="s">
        <v>1896</v>
      </c>
    </row>
    <row r="307" spans="1:19" hidden="1" x14ac:dyDescent="0.2">
      <c r="A307">
        <v>305</v>
      </c>
      <c r="B307" t="s">
        <v>759</v>
      </c>
      <c r="C307" t="s">
        <v>758</v>
      </c>
      <c r="D307">
        <v>91711</v>
      </c>
      <c r="E307">
        <v>1.5</v>
      </c>
      <c r="F307">
        <v>10031840</v>
      </c>
      <c r="G307" t="s">
        <v>914</v>
      </c>
      <c r="H307" t="s">
        <v>113</v>
      </c>
      <c r="I307" s="3">
        <v>0.375</v>
      </c>
      <c r="J307" t="s">
        <v>113</v>
      </c>
      <c r="K307" s="3">
        <v>0.375</v>
      </c>
      <c r="L307" t="s">
        <v>113</v>
      </c>
      <c r="M307" s="3">
        <v>0.375</v>
      </c>
      <c r="N307" t="s">
        <v>113</v>
      </c>
      <c r="O307" s="3">
        <v>0.375</v>
      </c>
      <c r="P307" t="s">
        <v>113</v>
      </c>
      <c r="Q307" s="3">
        <v>0.375</v>
      </c>
      <c r="R307" t="b">
        <v>1</v>
      </c>
      <c r="S307" t="s">
        <v>1897</v>
      </c>
    </row>
    <row r="308" spans="1:19" hidden="1" x14ac:dyDescent="0.2">
      <c r="A308">
        <v>306</v>
      </c>
      <c r="B308" t="s">
        <v>1898</v>
      </c>
      <c r="C308" t="s">
        <v>1301</v>
      </c>
      <c r="D308">
        <v>63376</v>
      </c>
      <c r="E308">
        <v>0.5</v>
      </c>
      <c r="F308">
        <v>10370029</v>
      </c>
      <c r="G308" t="s">
        <v>1632</v>
      </c>
      <c r="H308" t="s">
        <v>202</v>
      </c>
      <c r="I308" s="3">
        <v>0.45833333333333331</v>
      </c>
      <c r="J308" t="s">
        <v>202</v>
      </c>
      <c r="K308" s="3">
        <v>0.45833333333333331</v>
      </c>
      <c r="L308" t="s">
        <v>202</v>
      </c>
      <c r="M308" s="3">
        <v>0.45833333333333331</v>
      </c>
      <c r="N308" t="s">
        <v>202</v>
      </c>
      <c r="O308" s="3">
        <v>0.45833333333333331</v>
      </c>
      <c r="P308" t="s">
        <v>113</v>
      </c>
      <c r="Q308" s="3">
        <v>0.66666666666666663</v>
      </c>
      <c r="R308" t="b">
        <v>0</v>
      </c>
      <c r="S308" t="s">
        <v>1899</v>
      </c>
    </row>
    <row r="309" spans="1:19" hidden="1" x14ac:dyDescent="0.2">
      <c r="A309">
        <v>307</v>
      </c>
      <c r="B309" t="s">
        <v>1227</v>
      </c>
      <c r="C309" t="s">
        <v>1228</v>
      </c>
      <c r="D309">
        <v>92377</v>
      </c>
      <c r="E309">
        <v>20</v>
      </c>
      <c r="F309">
        <v>10234495</v>
      </c>
      <c r="G309" t="s">
        <v>914</v>
      </c>
      <c r="H309" t="s">
        <v>103</v>
      </c>
      <c r="I309" s="3">
        <v>0.33333333333333331</v>
      </c>
      <c r="J309" t="s">
        <v>103</v>
      </c>
      <c r="K309" s="3">
        <v>0.33333333333333331</v>
      </c>
      <c r="L309" t="s">
        <v>103</v>
      </c>
      <c r="M309" s="3">
        <v>0.33333333333333331</v>
      </c>
      <c r="N309" t="s">
        <v>103</v>
      </c>
      <c r="O309" s="3">
        <v>0.33333333333333331</v>
      </c>
      <c r="P309" t="s">
        <v>103</v>
      </c>
      <c r="Q309" s="3">
        <v>0.33333333333333331</v>
      </c>
      <c r="R309" t="b">
        <v>1</v>
      </c>
      <c r="S309" t="s">
        <v>1900</v>
      </c>
    </row>
    <row r="310" spans="1:19" hidden="1" x14ac:dyDescent="0.2">
      <c r="A310">
        <v>308</v>
      </c>
      <c r="B310" t="s">
        <v>367</v>
      </c>
      <c r="C310" t="s">
        <v>1901</v>
      </c>
      <c r="D310">
        <v>98005</v>
      </c>
      <c r="E310">
        <v>0</v>
      </c>
      <c r="F310">
        <v>10372422</v>
      </c>
      <c r="G310" t="s">
        <v>1632</v>
      </c>
      <c r="H310" t="s">
        <v>202</v>
      </c>
      <c r="I310" s="3">
        <v>0.25</v>
      </c>
      <c r="J310" t="s">
        <v>202</v>
      </c>
      <c r="K310" s="3">
        <v>0.25</v>
      </c>
      <c r="L310" t="s">
        <v>92</v>
      </c>
      <c r="M310" s="3">
        <v>0.54166666666666663</v>
      </c>
      <c r="N310" t="s">
        <v>92</v>
      </c>
      <c r="O310" s="3">
        <v>0.41666666666666669</v>
      </c>
      <c r="P310" t="s">
        <v>92</v>
      </c>
      <c r="Q310" s="3">
        <v>0.54166666666666663</v>
      </c>
      <c r="R310" t="b">
        <v>1</v>
      </c>
      <c r="S310" t="s">
        <v>1902</v>
      </c>
    </row>
    <row r="311" spans="1:19" hidden="1" x14ac:dyDescent="0.2">
      <c r="A311">
        <v>309</v>
      </c>
      <c r="B311" t="s">
        <v>1903</v>
      </c>
      <c r="C311" t="s">
        <v>1904</v>
      </c>
      <c r="D311">
        <v>91711</v>
      </c>
      <c r="E311">
        <v>0</v>
      </c>
      <c r="F311">
        <v>10364057</v>
      </c>
      <c r="G311" t="s">
        <v>1632</v>
      </c>
      <c r="H311" t="s">
        <v>92</v>
      </c>
      <c r="I311" s="3">
        <v>0.41666666666666669</v>
      </c>
      <c r="J311" t="s">
        <v>202</v>
      </c>
      <c r="K311" s="3">
        <v>0.25</v>
      </c>
      <c r="L311" t="s">
        <v>92</v>
      </c>
      <c r="M311" s="3">
        <v>0.45833333333333331</v>
      </c>
      <c r="N311" t="s">
        <v>92</v>
      </c>
      <c r="O311" s="3">
        <v>0.45833333333333331</v>
      </c>
      <c r="P311" t="s">
        <v>92</v>
      </c>
      <c r="Q311" s="3">
        <v>0.79166666666666663</v>
      </c>
      <c r="R311" t="b">
        <v>1</v>
      </c>
      <c r="S311" t="s">
        <v>1905</v>
      </c>
    </row>
    <row r="312" spans="1:19" hidden="1" x14ac:dyDescent="0.2">
      <c r="A312">
        <v>310</v>
      </c>
      <c r="B312" t="s">
        <v>249</v>
      </c>
      <c r="C312" t="s">
        <v>248</v>
      </c>
      <c r="D312">
        <v>91766</v>
      </c>
      <c r="E312">
        <v>9</v>
      </c>
      <c r="F312">
        <v>10090606</v>
      </c>
      <c r="G312" t="s">
        <v>914</v>
      </c>
      <c r="H312" t="s">
        <v>113</v>
      </c>
      <c r="I312" s="3">
        <v>0.33333333333333331</v>
      </c>
      <c r="J312" t="s">
        <v>113</v>
      </c>
      <c r="K312" s="3">
        <v>0.33333333333333331</v>
      </c>
      <c r="L312" t="s">
        <v>113</v>
      </c>
      <c r="M312" s="3">
        <v>0.33333333333333331</v>
      </c>
      <c r="N312" t="s">
        <v>113</v>
      </c>
      <c r="O312" s="3">
        <v>0.33333333333333331</v>
      </c>
      <c r="P312" t="s">
        <v>113</v>
      </c>
      <c r="Q312" s="3">
        <v>0.33333333333333331</v>
      </c>
      <c r="R312" t="b">
        <v>1</v>
      </c>
      <c r="S312" t="s">
        <v>1906</v>
      </c>
    </row>
    <row r="313" spans="1:19" hidden="1" x14ac:dyDescent="0.2">
      <c r="A313">
        <v>311</v>
      </c>
      <c r="B313" t="s">
        <v>723</v>
      </c>
      <c r="C313" t="s">
        <v>722</v>
      </c>
      <c r="D313">
        <v>91730</v>
      </c>
      <c r="E313">
        <v>10.7</v>
      </c>
      <c r="F313">
        <v>10354879</v>
      </c>
      <c r="G313" t="s">
        <v>914</v>
      </c>
      <c r="H313" t="s">
        <v>113</v>
      </c>
      <c r="I313" s="3">
        <v>0.33333333333333331</v>
      </c>
      <c r="J313" t="s">
        <v>113</v>
      </c>
      <c r="K313" s="3">
        <v>0.33333333333333331</v>
      </c>
      <c r="L313" t="s">
        <v>113</v>
      </c>
      <c r="M313" s="3">
        <v>0.33333333333333331</v>
      </c>
      <c r="N313" t="s">
        <v>113</v>
      </c>
      <c r="O313" s="3">
        <v>0.33333333333333331</v>
      </c>
      <c r="P313" t="s">
        <v>113</v>
      </c>
      <c r="Q313" s="3">
        <v>0.33333333333333331</v>
      </c>
      <c r="R313" t="b">
        <v>1</v>
      </c>
      <c r="S313" t="s">
        <v>1907</v>
      </c>
    </row>
    <row r="314" spans="1:19" hidden="1" x14ac:dyDescent="0.2">
      <c r="A314">
        <v>312</v>
      </c>
      <c r="B314" t="s">
        <v>1908</v>
      </c>
      <c r="C314" t="s">
        <v>642</v>
      </c>
      <c r="D314">
        <v>89122</v>
      </c>
      <c r="E314">
        <v>0</v>
      </c>
      <c r="F314">
        <v>10368543</v>
      </c>
      <c r="G314" t="s">
        <v>1632</v>
      </c>
      <c r="H314" t="s">
        <v>92</v>
      </c>
      <c r="I314" s="3">
        <v>0.45833333333333331</v>
      </c>
      <c r="J314" t="s">
        <v>202</v>
      </c>
      <c r="K314" s="3">
        <v>0.45833333333333331</v>
      </c>
      <c r="L314" t="s">
        <v>92</v>
      </c>
      <c r="M314" s="3">
        <v>0.45833333333333331</v>
      </c>
      <c r="N314" t="s">
        <v>202</v>
      </c>
      <c r="O314" s="3">
        <v>0.45833333333333331</v>
      </c>
      <c r="P314" t="s">
        <v>92</v>
      </c>
      <c r="Q314" s="3">
        <v>0.45833333333333331</v>
      </c>
      <c r="R314" t="b">
        <v>0</v>
      </c>
      <c r="S314" t="s">
        <v>1909</v>
      </c>
    </row>
    <row r="315" spans="1:19" hidden="1" x14ac:dyDescent="0.2">
      <c r="A315">
        <v>313</v>
      </c>
      <c r="B315" t="s">
        <v>1910</v>
      </c>
      <c r="C315" t="s">
        <v>1911</v>
      </c>
      <c r="D315">
        <v>91711</v>
      </c>
      <c r="E315">
        <v>0.2</v>
      </c>
      <c r="F315">
        <v>10371662</v>
      </c>
      <c r="G315" t="s">
        <v>1632</v>
      </c>
      <c r="H315" t="s">
        <v>92</v>
      </c>
      <c r="I315" s="3">
        <v>0.41666666666666669</v>
      </c>
      <c r="J315" t="s">
        <v>92</v>
      </c>
      <c r="K315" s="3">
        <v>0.41666666666666669</v>
      </c>
      <c r="L315" t="s">
        <v>92</v>
      </c>
      <c r="M315" s="3">
        <v>0.41666666666666669</v>
      </c>
      <c r="N315" t="s">
        <v>92</v>
      </c>
      <c r="O315" s="3">
        <v>0.41666666666666669</v>
      </c>
      <c r="P315" t="s">
        <v>92</v>
      </c>
      <c r="Q315" s="3">
        <v>0.41666666666666669</v>
      </c>
      <c r="R315" t="b">
        <v>1</v>
      </c>
      <c r="S315" t="s">
        <v>1912</v>
      </c>
    </row>
    <row r="316" spans="1:19" hidden="1" x14ac:dyDescent="0.2">
      <c r="A316">
        <v>314</v>
      </c>
      <c r="B316" t="s">
        <v>1271</v>
      </c>
      <c r="C316" t="s">
        <v>40</v>
      </c>
      <c r="D316">
        <v>92411</v>
      </c>
      <c r="E316">
        <v>28</v>
      </c>
      <c r="F316">
        <v>10284631</v>
      </c>
      <c r="G316" t="s">
        <v>914</v>
      </c>
      <c r="H316" t="s">
        <v>933</v>
      </c>
      <c r="I316" s="3">
        <v>0.3125</v>
      </c>
      <c r="J316" t="s">
        <v>113</v>
      </c>
      <c r="K316" s="3">
        <v>0.3125</v>
      </c>
      <c r="L316" t="s">
        <v>933</v>
      </c>
      <c r="M316" s="3">
        <v>0.3125</v>
      </c>
      <c r="N316" t="s">
        <v>933</v>
      </c>
      <c r="O316" s="3">
        <v>0.3125</v>
      </c>
      <c r="P316" t="s">
        <v>933</v>
      </c>
      <c r="Q316" s="3">
        <v>0.3125</v>
      </c>
      <c r="R316" t="b">
        <v>1</v>
      </c>
      <c r="S316" t="s">
        <v>1913</v>
      </c>
    </row>
    <row r="317" spans="1:19" hidden="1" x14ac:dyDescent="0.2">
      <c r="A317">
        <v>315</v>
      </c>
      <c r="B317" t="s">
        <v>1377</v>
      </c>
      <c r="C317" t="s">
        <v>791</v>
      </c>
      <c r="D317">
        <v>91711</v>
      </c>
      <c r="E317">
        <v>1</v>
      </c>
      <c r="F317">
        <v>266136</v>
      </c>
      <c r="G317" t="s">
        <v>1638</v>
      </c>
      <c r="H317" t="s">
        <v>202</v>
      </c>
      <c r="I317" s="3">
        <v>0.45833333333333331</v>
      </c>
      <c r="J317" t="s">
        <v>202</v>
      </c>
      <c r="K317" s="3">
        <v>0.45833333333333331</v>
      </c>
      <c r="L317" t="s">
        <v>98</v>
      </c>
      <c r="M317" s="3">
        <v>0.45833333333333331</v>
      </c>
      <c r="N317" t="s">
        <v>202</v>
      </c>
      <c r="O317" s="3">
        <v>0.45833333333333331</v>
      </c>
      <c r="P317" t="s">
        <v>202</v>
      </c>
      <c r="Q317" s="3">
        <v>0.45833333333333331</v>
      </c>
      <c r="R317" t="b">
        <v>0</v>
      </c>
      <c r="S317" t="s">
        <v>1914</v>
      </c>
    </row>
    <row r="318" spans="1:19" hidden="1" x14ac:dyDescent="0.2">
      <c r="A318">
        <v>316</v>
      </c>
      <c r="B318" t="s">
        <v>814</v>
      </c>
      <c r="C318" t="s">
        <v>813</v>
      </c>
      <c r="D318">
        <v>91767</v>
      </c>
      <c r="E318">
        <v>3.5</v>
      </c>
      <c r="F318">
        <v>1373855</v>
      </c>
      <c r="G318" t="s">
        <v>914</v>
      </c>
      <c r="H318" t="s">
        <v>1016</v>
      </c>
      <c r="I318" s="3">
        <v>0.33333333333333331</v>
      </c>
      <c r="J318" t="s">
        <v>1016</v>
      </c>
      <c r="K318" s="3">
        <v>0.33333333333333331</v>
      </c>
      <c r="L318" t="s">
        <v>1016</v>
      </c>
      <c r="M318" s="3">
        <v>0.33333333333333331</v>
      </c>
      <c r="N318" t="s">
        <v>1016</v>
      </c>
      <c r="O318" s="3">
        <v>0.33333333333333331</v>
      </c>
      <c r="P318" t="s">
        <v>1016</v>
      </c>
      <c r="Q318" s="3">
        <v>0.33333333333333331</v>
      </c>
      <c r="R318" t="b">
        <v>1</v>
      </c>
      <c r="S318" t="s">
        <v>1915</v>
      </c>
    </row>
    <row r="319" spans="1:19" x14ac:dyDescent="0.2">
      <c r="A319">
        <v>317</v>
      </c>
      <c r="B319" t="s">
        <v>1916</v>
      </c>
      <c r="C319" t="s">
        <v>1917</v>
      </c>
      <c r="D319">
        <v>90063</v>
      </c>
      <c r="E319">
        <v>32</v>
      </c>
      <c r="F319">
        <v>10351684</v>
      </c>
      <c r="G319" t="s">
        <v>1495</v>
      </c>
      <c r="H319" t="s">
        <v>113</v>
      </c>
      <c r="I319" s="3">
        <v>0.33333333333333331</v>
      </c>
      <c r="J319" t="s">
        <v>103</v>
      </c>
      <c r="K319" s="3">
        <v>0.35416666666666669</v>
      </c>
      <c r="L319" t="s">
        <v>85</v>
      </c>
      <c r="M319" s="3">
        <v>0.35416666666666669</v>
      </c>
      <c r="N319" t="s">
        <v>103</v>
      </c>
      <c r="O319" s="3">
        <v>0.35416666666666669</v>
      </c>
      <c r="P319" t="s">
        <v>103</v>
      </c>
      <c r="Q319" s="3">
        <v>0.35416666666666669</v>
      </c>
      <c r="R319" t="b">
        <v>1</v>
      </c>
      <c r="S319" t="s">
        <v>1918</v>
      </c>
    </row>
    <row r="320" spans="1:19" hidden="1" x14ac:dyDescent="0.2">
      <c r="A320">
        <v>318</v>
      </c>
      <c r="B320" t="s">
        <v>1281</v>
      </c>
      <c r="C320" t="s">
        <v>537</v>
      </c>
      <c r="D320">
        <v>90241</v>
      </c>
      <c r="E320">
        <v>30</v>
      </c>
      <c r="F320">
        <v>103667201</v>
      </c>
      <c r="G320" t="s">
        <v>919</v>
      </c>
      <c r="H320" t="s">
        <v>113</v>
      </c>
      <c r="I320" s="3">
        <v>0.33333333333333331</v>
      </c>
      <c r="J320" t="s">
        <v>113</v>
      </c>
      <c r="K320" s="3">
        <v>0.33333333333333331</v>
      </c>
      <c r="L320" t="s">
        <v>113</v>
      </c>
      <c r="M320" s="3">
        <v>0.33333333333333331</v>
      </c>
      <c r="N320" t="s">
        <v>113</v>
      </c>
      <c r="O320" s="3">
        <v>0.33333333333333331</v>
      </c>
      <c r="P320" t="s">
        <v>202</v>
      </c>
      <c r="Q320" s="3">
        <v>0.25</v>
      </c>
      <c r="R320" t="b">
        <v>1</v>
      </c>
      <c r="S320" t="s">
        <v>1919</v>
      </c>
    </row>
    <row r="321" spans="1:19" hidden="1" x14ac:dyDescent="0.2">
      <c r="A321">
        <v>319</v>
      </c>
      <c r="B321" t="s">
        <v>349</v>
      </c>
      <c r="C321" t="s">
        <v>348</v>
      </c>
      <c r="D321">
        <v>90242</v>
      </c>
      <c r="E321">
        <v>34</v>
      </c>
      <c r="F321">
        <v>102401522</v>
      </c>
      <c r="G321" t="s">
        <v>914</v>
      </c>
      <c r="H321" t="s">
        <v>113</v>
      </c>
      <c r="I321" s="3">
        <v>0.33333333333333331</v>
      </c>
      <c r="J321" t="s">
        <v>113</v>
      </c>
      <c r="K321" s="3">
        <v>0.33333333333333331</v>
      </c>
      <c r="L321" t="s">
        <v>113</v>
      </c>
      <c r="M321" s="3">
        <v>0.33333333333333331</v>
      </c>
      <c r="N321" t="s">
        <v>113</v>
      </c>
      <c r="O321" s="3">
        <v>0.33333333333333331</v>
      </c>
      <c r="P321" t="s">
        <v>113</v>
      </c>
      <c r="Q321" s="3">
        <v>0.33333333333333331</v>
      </c>
      <c r="R321" t="b">
        <v>1</v>
      </c>
      <c r="S321" t="s">
        <v>1920</v>
      </c>
    </row>
    <row r="322" spans="1:19" x14ac:dyDescent="0.2">
      <c r="A322">
        <v>320</v>
      </c>
      <c r="B322" t="s">
        <v>269</v>
      </c>
      <c r="C322" t="s">
        <v>1921</v>
      </c>
      <c r="D322">
        <v>91711</v>
      </c>
      <c r="E322">
        <v>1.1000000000000001</v>
      </c>
      <c r="F322">
        <v>10196894</v>
      </c>
      <c r="G322" t="s">
        <v>1495</v>
      </c>
      <c r="H322" t="s">
        <v>92</v>
      </c>
      <c r="I322" s="3">
        <v>0.33333333333333331</v>
      </c>
      <c r="J322" t="s">
        <v>113</v>
      </c>
      <c r="K322" s="3">
        <v>0.33333333333333331</v>
      </c>
      <c r="L322" t="s">
        <v>199</v>
      </c>
      <c r="M322" s="3">
        <v>0.25</v>
      </c>
      <c r="N322" t="s">
        <v>199</v>
      </c>
      <c r="O322" s="3">
        <v>0.25</v>
      </c>
      <c r="P322" t="s">
        <v>199</v>
      </c>
      <c r="Q322" s="3">
        <v>0.25</v>
      </c>
      <c r="R322" t="b">
        <v>1</v>
      </c>
      <c r="S322" t="s">
        <v>1922</v>
      </c>
    </row>
    <row r="323" spans="1:19" hidden="1" x14ac:dyDescent="0.2">
      <c r="A323">
        <v>321</v>
      </c>
      <c r="B323" t="s">
        <v>1289</v>
      </c>
      <c r="C323" t="s">
        <v>497</v>
      </c>
      <c r="D323">
        <v>92706</v>
      </c>
      <c r="E323">
        <v>33</v>
      </c>
      <c r="F323">
        <v>100311371</v>
      </c>
      <c r="G323" t="s">
        <v>914</v>
      </c>
      <c r="H323" t="s">
        <v>113</v>
      </c>
      <c r="I323" s="3">
        <v>0.3125</v>
      </c>
      <c r="J323" t="s">
        <v>113</v>
      </c>
      <c r="K323" s="3">
        <v>0.3125</v>
      </c>
      <c r="L323" t="s">
        <v>113</v>
      </c>
      <c r="M323" s="3">
        <v>0.3125</v>
      </c>
      <c r="N323" t="s">
        <v>113</v>
      </c>
      <c r="O323" s="3">
        <v>0.3125</v>
      </c>
      <c r="P323" t="s">
        <v>113</v>
      </c>
      <c r="Q323" s="3">
        <v>0.3125</v>
      </c>
      <c r="R323" t="b">
        <v>1</v>
      </c>
      <c r="S323" t="s">
        <v>1923</v>
      </c>
    </row>
    <row r="324" spans="1:19" x14ac:dyDescent="0.2">
      <c r="A324">
        <v>322</v>
      </c>
      <c r="B324" t="s">
        <v>1346</v>
      </c>
      <c r="C324" t="s">
        <v>1924</v>
      </c>
      <c r="D324">
        <v>91711</v>
      </c>
      <c r="E324">
        <v>1.5</v>
      </c>
      <c r="F324">
        <v>10040539</v>
      </c>
      <c r="G324" t="s">
        <v>1495</v>
      </c>
      <c r="H324" t="s">
        <v>113</v>
      </c>
      <c r="I324" s="3">
        <v>0.45833333333333331</v>
      </c>
      <c r="J324" t="s">
        <v>113</v>
      </c>
      <c r="K324" s="3">
        <v>0.39583333333333331</v>
      </c>
      <c r="L324" t="s">
        <v>92</v>
      </c>
      <c r="M324" s="3">
        <v>0.45833333333333331</v>
      </c>
      <c r="N324" t="s">
        <v>113</v>
      </c>
      <c r="O324" s="3">
        <v>0.39583333333333331</v>
      </c>
      <c r="P324" t="s">
        <v>92</v>
      </c>
      <c r="Q324" s="3">
        <v>0</v>
      </c>
      <c r="R324" t="b">
        <v>1</v>
      </c>
      <c r="S324" t="s">
        <v>1925</v>
      </c>
    </row>
    <row r="325" spans="1:19" x14ac:dyDescent="0.2">
      <c r="A325">
        <v>323</v>
      </c>
      <c r="B325" t="s">
        <v>899</v>
      </c>
      <c r="C325" t="s">
        <v>1926</v>
      </c>
      <c r="D325">
        <v>91711</v>
      </c>
      <c r="E325">
        <v>0.5</v>
      </c>
      <c r="F325">
        <v>103700251</v>
      </c>
      <c r="G325" t="s">
        <v>1495</v>
      </c>
      <c r="H325" t="s">
        <v>92</v>
      </c>
      <c r="I325" s="3">
        <v>0.95833333333333337</v>
      </c>
      <c r="J325" t="s">
        <v>92</v>
      </c>
      <c r="K325" s="3">
        <v>0.95833333333333337</v>
      </c>
      <c r="L325" t="s">
        <v>92</v>
      </c>
      <c r="M325" s="3">
        <v>0.95833333333333337</v>
      </c>
      <c r="N325" t="s">
        <v>92</v>
      </c>
      <c r="O325" s="3">
        <v>0.95833333333333337</v>
      </c>
      <c r="P325" t="s">
        <v>92</v>
      </c>
      <c r="Q325" s="3">
        <v>0.95833333333333337</v>
      </c>
      <c r="R325" t="b">
        <v>0</v>
      </c>
      <c r="S325" t="s">
        <v>1927</v>
      </c>
    </row>
    <row r="326" spans="1:19" hidden="1" x14ac:dyDescent="0.2">
      <c r="A326">
        <v>324</v>
      </c>
      <c r="B326" t="s">
        <v>223</v>
      </c>
      <c r="C326" t="s">
        <v>950</v>
      </c>
      <c r="D326">
        <v>91711</v>
      </c>
      <c r="E326">
        <v>1.2</v>
      </c>
      <c r="F326">
        <v>119251</v>
      </c>
      <c r="G326" t="s">
        <v>914</v>
      </c>
      <c r="H326" t="s">
        <v>92</v>
      </c>
      <c r="I326" s="3">
        <v>0.35416666666666669</v>
      </c>
      <c r="J326" t="s">
        <v>92</v>
      </c>
      <c r="K326" s="3">
        <v>0.35416666666666669</v>
      </c>
      <c r="L326" t="s">
        <v>113</v>
      </c>
      <c r="M326" s="3">
        <v>0.35416666666666669</v>
      </c>
      <c r="N326" t="s">
        <v>103</v>
      </c>
      <c r="O326" s="3">
        <v>0.35416666666666669</v>
      </c>
      <c r="P326" t="s">
        <v>103</v>
      </c>
      <c r="Q326" s="3">
        <v>0.35416666666666669</v>
      </c>
      <c r="R326" t="b">
        <v>1</v>
      </c>
      <c r="S326" t="s">
        <v>1928</v>
      </c>
    </row>
    <row r="327" spans="1:19" hidden="1" x14ac:dyDescent="0.2">
      <c r="A327">
        <v>325</v>
      </c>
      <c r="B327" t="s">
        <v>88</v>
      </c>
      <c r="C327" t="s">
        <v>87</v>
      </c>
      <c r="D327">
        <v>92646</v>
      </c>
      <c r="E327">
        <v>42</v>
      </c>
      <c r="F327">
        <v>103664392</v>
      </c>
      <c r="G327" t="s">
        <v>914</v>
      </c>
      <c r="H327" t="s">
        <v>74</v>
      </c>
      <c r="I327" s="3">
        <v>0.20833333333333334</v>
      </c>
      <c r="J327" t="s">
        <v>74</v>
      </c>
      <c r="K327" s="3">
        <v>0.20833333333333334</v>
      </c>
      <c r="L327" t="s">
        <v>74</v>
      </c>
      <c r="M327" s="3">
        <v>0.20833333333333334</v>
      </c>
      <c r="N327" t="s">
        <v>74</v>
      </c>
      <c r="O327" s="3">
        <v>0.20833333333333334</v>
      </c>
      <c r="P327" t="s">
        <v>74</v>
      </c>
      <c r="Q327" s="3">
        <v>0.1875</v>
      </c>
      <c r="R327" t="b">
        <v>0</v>
      </c>
      <c r="S327" t="s">
        <v>1929</v>
      </c>
    </row>
    <row r="328" spans="1:19" hidden="1" x14ac:dyDescent="0.2">
      <c r="A328">
        <v>326</v>
      </c>
      <c r="B328" t="s">
        <v>1930</v>
      </c>
      <c r="C328" t="s">
        <v>1931</v>
      </c>
      <c r="D328">
        <v>91711</v>
      </c>
      <c r="E328">
        <v>0.5</v>
      </c>
      <c r="F328">
        <v>40202436</v>
      </c>
      <c r="G328" t="s">
        <v>1638</v>
      </c>
      <c r="H328" t="s">
        <v>202</v>
      </c>
      <c r="I328" s="3">
        <v>0.45833333333333331</v>
      </c>
      <c r="J328" t="s">
        <v>202</v>
      </c>
      <c r="K328" s="3">
        <v>0.45833333333333331</v>
      </c>
      <c r="L328" t="s">
        <v>202</v>
      </c>
      <c r="M328" s="3">
        <v>0.45833333333333331</v>
      </c>
      <c r="N328" t="s">
        <v>98</v>
      </c>
      <c r="O328" s="3">
        <v>0.45833333333333331</v>
      </c>
      <c r="P328" t="s">
        <v>98</v>
      </c>
      <c r="Q328" s="3">
        <v>0.5</v>
      </c>
      <c r="R328" t="b">
        <v>0</v>
      </c>
      <c r="S328" t="s">
        <v>1932</v>
      </c>
    </row>
    <row r="329" spans="1:19" hidden="1" x14ac:dyDescent="0.2">
      <c r="A329">
        <v>327</v>
      </c>
      <c r="B329" t="s">
        <v>1933</v>
      </c>
      <c r="C329" t="s">
        <v>1934</v>
      </c>
      <c r="D329">
        <v>21704</v>
      </c>
      <c r="E329">
        <v>0.2</v>
      </c>
      <c r="F329">
        <v>10363141</v>
      </c>
      <c r="G329" t="s">
        <v>1632</v>
      </c>
      <c r="H329" t="s">
        <v>202</v>
      </c>
      <c r="I329" s="3">
        <v>0.45833333333333331</v>
      </c>
      <c r="J329" t="s">
        <v>92</v>
      </c>
      <c r="K329" s="3">
        <v>0.5</v>
      </c>
      <c r="L329" t="s">
        <v>202</v>
      </c>
      <c r="M329" s="3">
        <v>0.45833333333333331</v>
      </c>
      <c r="N329" t="s">
        <v>92</v>
      </c>
      <c r="O329" s="3">
        <v>0.5</v>
      </c>
      <c r="P329" t="s">
        <v>202</v>
      </c>
      <c r="Q329" s="3">
        <v>0.45833333333333331</v>
      </c>
      <c r="R329" t="b">
        <v>0</v>
      </c>
      <c r="S329" t="s">
        <v>1935</v>
      </c>
    </row>
    <row r="330" spans="1:19" hidden="1" x14ac:dyDescent="0.2">
      <c r="A330">
        <v>328</v>
      </c>
      <c r="B330" t="s">
        <v>1212</v>
      </c>
      <c r="C330" t="s">
        <v>1213</v>
      </c>
      <c r="D330">
        <v>92336</v>
      </c>
      <c r="E330">
        <v>18</v>
      </c>
      <c r="F330">
        <v>103731301</v>
      </c>
      <c r="G330" t="s">
        <v>919</v>
      </c>
      <c r="H330" t="s">
        <v>113</v>
      </c>
      <c r="I330" s="3">
        <v>0.33333333333333331</v>
      </c>
      <c r="J330" t="s">
        <v>113</v>
      </c>
      <c r="K330" s="3">
        <v>0.33333333333333331</v>
      </c>
      <c r="L330" t="s">
        <v>113</v>
      </c>
      <c r="M330" s="3">
        <v>0.33333333333333331</v>
      </c>
      <c r="N330" t="s">
        <v>113</v>
      </c>
      <c r="O330" s="3">
        <v>0.33333333333333331</v>
      </c>
      <c r="P330" t="s">
        <v>113</v>
      </c>
      <c r="Q330" s="3">
        <v>0.33333333333333331</v>
      </c>
      <c r="R330" t="b">
        <v>1</v>
      </c>
      <c r="S330" t="s">
        <v>1936</v>
      </c>
    </row>
    <row r="331" spans="1:19" hidden="1" x14ac:dyDescent="0.2">
      <c r="A331">
        <v>329</v>
      </c>
      <c r="B331" t="s">
        <v>1937</v>
      </c>
      <c r="C331" t="s">
        <v>1938</v>
      </c>
      <c r="D331">
        <v>91711</v>
      </c>
      <c r="E331">
        <v>1</v>
      </c>
      <c r="F331">
        <v>10364884</v>
      </c>
      <c r="G331" t="s">
        <v>1632</v>
      </c>
      <c r="H331" t="s">
        <v>202</v>
      </c>
      <c r="I331" s="3">
        <v>0.45833333333333331</v>
      </c>
      <c r="J331" t="s">
        <v>92</v>
      </c>
      <c r="K331" s="3">
        <v>0.45833333333333331</v>
      </c>
      <c r="L331" t="s">
        <v>92</v>
      </c>
      <c r="M331" s="3">
        <v>0.64583333333333337</v>
      </c>
      <c r="N331" t="s">
        <v>92</v>
      </c>
      <c r="O331" s="3">
        <v>0.54166666666666663</v>
      </c>
      <c r="P331" t="s">
        <v>92</v>
      </c>
      <c r="Q331" s="3">
        <v>0.5</v>
      </c>
      <c r="R331" t="b">
        <v>0</v>
      </c>
      <c r="S331" t="s">
        <v>1939</v>
      </c>
    </row>
    <row r="332" spans="1:19" hidden="1" x14ac:dyDescent="0.2">
      <c r="A332">
        <v>330</v>
      </c>
      <c r="B332" t="s">
        <v>1034</v>
      </c>
      <c r="C332" t="s">
        <v>317</v>
      </c>
      <c r="D332">
        <v>91784</v>
      </c>
      <c r="E332">
        <v>4.5</v>
      </c>
      <c r="F332">
        <v>10345447</v>
      </c>
      <c r="G332" t="s">
        <v>914</v>
      </c>
      <c r="H332" t="s">
        <v>103</v>
      </c>
      <c r="I332" s="3">
        <v>0.33333333333333331</v>
      </c>
      <c r="J332" t="s">
        <v>74</v>
      </c>
      <c r="K332" s="3">
        <v>0.33333333333333331</v>
      </c>
      <c r="L332" t="s">
        <v>74</v>
      </c>
      <c r="M332" s="3">
        <v>0.33333333333333331</v>
      </c>
      <c r="N332" t="s">
        <v>74</v>
      </c>
      <c r="O332" s="3">
        <v>0.33333333333333331</v>
      </c>
      <c r="P332" t="s">
        <v>74</v>
      </c>
      <c r="Q332" s="3">
        <v>0.33333333333333331</v>
      </c>
      <c r="R332" t="b">
        <v>1</v>
      </c>
      <c r="S332" t="s">
        <v>1940</v>
      </c>
    </row>
    <row r="333" spans="1:19" hidden="1" x14ac:dyDescent="0.2">
      <c r="A333">
        <v>331</v>
      </c>
      <c r="B333" t="s">
        <v>392</v>
      </c>
      <c r="C333" t="s">
        <v>390</v>
      </c>
      <c r="D333">
        <v>91711</v>
      </c>
      <c r="E333">
        <v>1</v>
      </c>
      <c r="F333">
        <v>100132351</v>
      </c>
      <c r="G333" t="s">
        <v>919</v>
      </c>
      <c r="H333" t="s">
        <v>202</v>
      </c>
      <c r="I333" s="3">
        <v>0.25</v>
      </c>
      <c r="J333" t="s">
        <v>202</v>
      </c>
      <c r="K333" s="3">
        <v>0.25</v>
      </c>
      <c r="L333" t="s">
        <v>202</v>
      </c>
      <c r="M333" s="3">
        <v>0.25</v>
      </c>
      <c r="N333" t="s">
        <v>202</v>
      </c>
      <c r="O333" s="3">
        <v>0.25</v>
      </c>
      <c r="P333" t="s">
        <v>202</v>
      </c>
      <c r="Q333" s="3">
        <v>0.25</v>
      </c>
      <c r="R333" t="b">
        <v>1</v>
      </c>
      <c r="S333" t="s">
        <v>1941</v>
      </c>
    </row>
    <row r="334" spans="1:19" hidden="1" x14ac:dyDescent="0.2">
      <c r="A334">
        <v>332</v>
      </c>
      <c r="B334" t="s">
        <v>975</v>
      </c>
      <c r="C334" t="s">
        <v>976</v>
      </c>
      <c r="D334">
        <v>91711</v>
      </c>
      <c r="E334">
        <v>2.5</v>
      </c>
      <c r="F334">
        <v>10362859</v>
      </c>
      <c r="G334" t="s">
        <v>914</v>
      </c>
      <c r="H334" t="s">
        <v>113</v>
      </c>
      <c r="I334" s="3">
        <v>0.33333333333333331</v>
      </c>
      <c r="J334" t="s">
        <v>113</v>
      </c>
      <c r="K334" s="3">
        <v>0.33333333333333331</v>
      </c>
      <c r="L334" t="s">
        <v>113</v>
      </c>
      <c r="M334" s="3">
        <v>0.33333333333333331</v>
      </c>
      <c r="N334" t="s">
        <v>113</v>
      </c>
      <c r="O334" s="3">
        <v>0.33333333333333331</v>
      </c>
      <c r="P334" t="s">
        <v>113</v>
      </c>
      <c r="Q334" s="3">
        <v>0.33333333333333331</v>
      </c>
      <c r="R334" t="b">
        <v>1</v>
      </c>
      <c r="S334" t="s">
        <v>1942</v>
      </c>
    </row>
    <row r="335" spans="1:19" hidden="1" x14ac:dyDescent="0.2">
      <c r="A335">
        <v>333</v>
      </c>
      <c r="B335" t="s">
        <v>1179</v>
      </c>
      <c r="C335" t="s">
        <v>1180</v>
      </c>
      <c r="D335">
        <v>92335</v>
      </c>
      <c r="E335">
        <v>15</v>
      </c>
      <c r="F335">
        <v>10043633</v>
      </c>
      <c r="G335" t="s">
        <v>914</v>
      </c>
      <c r="H335" t="s">
        <v>113</v>
      </c>
      <c r="I335" s="3">
        <v>0.22916666666666666</v>
      </c>
      <c r="J335" t="s">
        <v>113</v>
      </c>
      <c r="K335" s="3">
        <v>0.22916666666666666</v>
      </c>
      <c r="L335" t="s">
        <v>113</v>
      </c>
      <c r="M335" s="3">
        <v>0.22916666666666666</v>
      </c>
      <c r="N335" t="s">
        <v>113</v>
      </c>
      <c r="O335" s="3">
        <v>0.22916666666666666</v>
      </c>
      <c r="P335" t="s">
        <v>113</v>
      </c>
      <c r="Q335" s="3">
        <v>0.22916666666666666</v>
      </c>
      <c r="R335" t="b">
        <v>0</v>
      </c>
      <c r="S335" t="s">
        <v>1943</v>
      </c>
    </row>
    <row r="336" spans="1:19" hidden="1" x14ac:dyDescent="0.2">
      <c r="A336">
        <v>334</v>
      </c>
      <c r="B336" t="s">
        <v>1181</v>
      </c>
      <c r="C336" t="s">
        <v>1182</v>
      </c>
      <c r="D336">
        <v>91764</v>
      </c>
      <c r="E336">
        <v>15</v>
      </c>
      <c r="F336">
        <v>10356044</v>
      </c>
      <c r="G336" t="s">
        <v>914</v>
      </c>
      <c r="H336" t="s">
        <v>113</v>
      </c>
      <c r="I336" s="3">
        <v>0.25</v>
      </c>
      <c r="J336" t="s">
        <v>113</v>
      </c>
      <c r="K336" s="3">
        <v>0.25</v>
      </c>
      <c r="L336" t="s">
        <v>113</v>
      </c>
      <c r="M336" s="3">
        <v>0.25</v>
      </c>
      <c r="N336" t="s">
        <v>113</v>
      </c>
      <c r="O336" s="3">
        <v>0.25</v>
      </c>
      <c r="P336" t="s">
        <v>113</v>
      </c>
      <c r="Q336" s="3">
        <v>0.25</v>
      </c>
      <c r="R336" t="b">
        <v>1</v>
      </c>
      <c r="S336" t="s">
        <v>1944</v>
      </c>
    </row>
    <row r="337" spans="1:19" hidden="1" x14ac:dyDescent="0.2">
      <c r="A337">
        <v>335</v>
      </c>
      <c r="B337" t="s">
        <v>1116</v>
      </c>
      <c r="C337" t="s">
        <v>1117</v>
      </c>
      <c r="D337">
        <v>91709</v>
      </c>
      <c r="E337">
        <v>9</v>
      </c>
      <c r="F337">
        <v>10348107</v>
      </c>
      <c r="G337" t="s">
        <v>914</v>
      </c>
      <c r="H337" t="s">
        <v>113</v>
      </c>
      <c r="I337" s="3">
        <v>0.22916666666666666</v>
      </c>
      <c r="J337" t="s">
        <v>113</v>
      </c>
      <c r="K337" s="3">
        <v>0.22916666666666666</v>
      </c>
      <c r="L337" t="s">
        <v>113</v>
      </c>
      <c r="M337" s="3">
        <v>0.22916666666666666</v>
      </c>
      <c r="N337" t="s">
        <v>113</v>
      </c>
      <c r="O337" s="3">
        <v>0.22916666666666666</v>
      </c>
      <c r="P337" t="s">
        <v>113</v>
      </c>
      <c r="Q337" s="3">
        <v>0.22916666666666666</v>
      </c>
      <c r="R337" t="b">
        <v>0</v>
      </c>
      <c r="S337" t="s">
        <v>1945</v>
      </c>
    </row>
    <row r="338" spans="1:19" hidden="1" x14ac:dyDescent="0.2">
      <c r="A338">
        <v>336</v>
      </c>
      <c r="B338" t="s">
        <v>806</v>
      </c>
      <c r="C338" t="s">
        <v>805</v>
      </c>
      <c r="D338">
        <v>91768</v>
      </c>
      <c r="E338">
        <v>5</v>
      </c>
      <c r="F338">
        <v>10243224</v>
      </c>
      <c r="G338" t="s">
        <v>914</v>
      </c>
      <c r="H338" t="s">
        <v>113</v>
      </c>
      <c r="I338" s="3">
        <v>0.33333333333333331</v>
      </c>
      <c r="J338" t="s">
        <v>113</v>
      </c>
      <c r="K338" s="3">
        <v>0.33333333333333331</v>
      </c>
      <c r="L338" t="s">
        <v>113</v>
      </c>
      <c r="M338" s="3">
        <v>0.33333333333333331</v>
      </c>
      <c r="N338" t="s">
        <v>113</v>
      </c>
      <c r="O338" s="3">
        <v>0.33333333333333331</v>
      </c>
      <c r="P338" t="s">
        <v>113</v>
      </c>
      <c r="Q338" s="3">
        <v>0.33333333333333331</v>
      </c>
      <c r="R338" t="b">
        <v>1</v>
      </c>
      <c r="S338" t="s">
        <v>1946</v>
      </c>
    </row>
    <row r="339" spans="1:19" hidden="1" x14ac:dyDescent="0.2">
      <c r="A339">
        <v>337</v>
      </c>
      <c r="B339" t="s">
        <v>1183</v>
      </c>
      <c r="C339" t="s">
        <v>1184</v>
      </c>
      <c r="D339">
        <v>91730</v>
      </c>
      <c r="E339">
        <v>15</v>
      </c>
      <c r="F339">
        <v>102945942</v>
      </c>
      <c r="G339" t="s">
        <v>914</v>
      </c>
      <c r="H339" t="s">
        <v>113</v>
      </c>
      <c r="I339" s="3">
        <v>0.25</v>
      </c>
      <c r="J339" t="s">
        <v>113</v>
      </c>
      <c r="K339" s="3">
        <v>0.25</v>
      </c>
      <c r="L339" t="s">
        <v>113</v>
      </c>
      <c r="M339" s="3">
        <v>0.25</v>
      </c>
      <c r="N339" t="s">
        <v>113</v>
      </c>
      <c r="O339" s="3">
        <v>0.25</v>
      </c>
      <c r="P339" t="s">
        <v>113</v>
      </c>
      <c r="Q339" s="3">
        <v>0.25</v>
      </c>
      <c r="R339" t="b">
        <v>1</v>
      </c>
      <c r="S339" t="s">
        <v>1947</v>
      </c>
    </row>
    <row r="340" spans="1:19" hidden="1" x14ac:dyDescent="0.2">
      <c r="A340">
        <v>338</v>
      </c>
      <c r="B340" t="s">
        <v>1214</v>
      </c>
      <c r="C340" t="s">
        <v>653</v>
      </c>
      <c r="D340">
        <v>91706</v>
      </c>
      <c r="E340">
        <v>18</v>
      </c>
      <c r="F340">
        <v>10118280</v>
      </c>
      <c r="G340" t="s">
        <v>914</v>
      </c>
      <c r="H340" t="s">
        <v>103</v>
      </c>
      <c r="I340" s="3">
        <v>0.33333333333333331</v>
      </c>
      <c r="J340" t="s">
        <v>933</v>
      </c>
      <c r="K340" s="3">
        <v>0.33333333333333331</v>
      </c>
      <c r="L340" t="s">
        <v>933</v>
      </c>
      <c r="M340" s="3">
        <v>0.33333333333333331</v>
      </c>
      <c r="N340" t="s">
        <v>933</v>
      </c>
      <c r="O340" s="3">
        <v>0.33333333333333331</v>
      </c>
      <c r="P340" t="s">
        <v>933</v>
      </c>
      <c r="Q340" s="3">
        <v>0.33333333333333331</v>
      </c>
      <c r="R340" t="b">
        <v>1</v>
      </c>
      <c r="S340" t="s">
        <v>1948</v>
      </c>
    </row>
    <row r="341" spans="1:19" hidden="1" x14ac:dyDescent="0.2">
      <c r="A341">
        <v>339</v>
      </c>
      <c r="B341" t="s">
        <v>995</v>
      </c>
      <c r="C341" t="s">
        <v>996</v>
      </c>
      <c r="D341">
        <v>91767</v>
      </c>
      <c r="E341">
        <v>3</v>
      </c>
      <c r="F341">
        <v>10354662</v>
      </c>
      <c r="G341" t="s">
        <v>914</v>
      </c>
      <c r="H341" t="s">
        <v>113</v>
      </c>
      <c r="I341" s="3">
        <v>0.29166666666666669</v>
      </c>
      <c r="J341" t="s">
        <v>113</v>
      </c>
      <c r="K341" s="3">
        <v>0.41666666666666669</v>
      </c>
      <c r="L341" t="s">
        <v>113</v>
      </c>
      <c r="M341" s="3">
        <v>0.41666666666666669</v>
      </c>
      <c r="N341" t="s">
        <v>113</v>
      </c>
      <c r="O341" s="3">
        <v>0.47916666666666669</v>
      </c>
      <c r="P341" t="s">
        <v>113</v>
      </c>
      <c r="Q341" s="3">
        <v>0.25</v>
      </c>
      <c r="R341" t="b">
        <v>1</v>
      </c>
      <c r="S341" t="s">
        <v>1949</v>
      </c>
    </row>
    <row r="342" spans="1:19" hidden="1" x14ac:dyDescent="0.2">
      <c r="A342">
        <v>340</v>
      </c>
      <c r="B342" t="s">
        <v>1290</v>
      </c>
      <c r="C342" t="s">
        <v>523</v>
      </c>
      <c r="D342">
        <v>91205</v>
      </c>
      <c r="E342">
        <v>33</v>
      </c>
      <c r="F342" t="s">
        <v>1291</v>
      </c>
      <c r="G342" t="s">
        <v>914</v>
      </c>
      <c r="H342" t="s">
        <v>113</v>
      </c>
      <c r="I342" s="3">
        <v>0.54166666666666663</v>
      </c>
      <c r="J342" t="s">
        <v>113</v>
      </c>
      <c r="K342" s="3">
        <v>0.54166666666666663</v>
      </c>
      <c r="L342" t="s">
        <v>113</v>
      </c>
      <c r="M342" s="3">
        <v>0.54166666666666663</v>
      </c>
      <c r="N342" t="s">
        <v>113</v>
      </c>
      <c r="O342" s="3">
        <v>0.54166666666666663</v>
      </c>
      <c r="P342" t="s">
        <v>113</v>
      </c>
      <c r="Q342" s="3">
        <v>0.54166666666666663</v>
      </c>
      <c r="R342" t="b">
        <v>0</v>
      </c>
      <c r="S342" t="s">
        <v>1950</v>
      </c>
    </row>
    <row r="343" spans="1:19" hidden="1" x14ac:dyDescent="0.2">
      <c r="A343">
        <v>341</v>
      </c>
      <c r="B343" t="s">
        <v>940</v>
      </c>
      <c r="C343" t="s">
        <v>941</v>
      </c>
      <c r="D343">
        <v>91763</v>
      </c>
      <c r="E343">
        <v>1</v>
      </c>
      <c r="F343">
        <v>10043602</v>
      </c>
      <c r="G343" t="s">
        <v>914</v>
      </c>
      <c r="H343" t="s">
        <v>92</v>
      </c>
      <c r="I343" s="3">
        <v>0.25</v>
      </c>
      <c r="J343" t="s">
        <v>92</v>
      </c>
      <c r="K343" s="3">
        <v>0.25</v>
      </c>
      <c r="L343" t="s">
        <v>92</v>
      </c>
      <c r="M343" s="3">
        <v>0.25</v>
      </c>
      <c r="N343" t="s">
        <v>92</v>
      </c>
      <c r="O343" s="3">
        <v>0.25</v>
      </c>
      <c r="P343" t="s">
        <v>92</v>
      </c>
      <c r="Q343" s="3">
        <v>0.25</v>
      </c>
      <c r="R343" t="b">
        <v>1</v>
      </c>
      <c r="S343" t="s">
        <v>1951</v>
      </c>
    </row>
    <row r="344" spans="1:19" x14ac:dyDescent="0.2">
      <c r="A344">
        <v>342</v>
      </c>
      <c r="B344" t="s">
        <v>148</v>
      </c>
      <c r="C344" t="s">
        <v>1952</v>
      </c>
      <c r="D344">
        <v>91711</v>
      </c>
      <c r="E344">
        <v>0.5</v>
      </c>
      <c r="F344">
        <v>100354711</v>
      </c>
      <c r="G344" t="s">
        <v>1495</v>
      </c>
      <c r="H344" t="s">
        <v>98</v>
      </c>
      <c r="I344" s="3">
        <v>0.35416666666666669</v>
      </c>
      <c r="J344" t="s">
        <v>98</v>
      </c>
      <c r="K344" s="3">
        <v>0.35416666666666669</v>
      </c>
      <c r="L344" t="s">
        <v>98</v>
      </c>
      <c r="M344" s="3">
        <v>0.35416666666666669</v>
      </c>
      <c r="N344" t="s">
        <v>98</v>
      </c>
      <c r="O344" s="3">
        <v>0.35416666666666669</v>
      </c>
      <c r="P344" t="s">
        <v>98</v>
      </c>
      <c r="Q344" s="3">
        <v>0.35416666666666669</v>
      </c>
      <c r="R344" t="b">
        <v>1</v>
      </c>
      <c r="S344" t="s">
        <v>1953</v>
      </c>
    </row>
    <row r="345" spans="1:19" hidden="1" x14ac:dyDescent="0.2">
      <c r="A345">
        <v>343</v>
      </c>
      <c r="B345" t="s">
        <v>1073</v>
      </c>
      <c r="C345" t="s">
        <v>1074</v>
      </c>
      <c r="D345">
        <v>91768</v>
      </c>
      <c r="E345">
        <v>7</v>
      </c>
      <c r="F345">
        <v>10168793</v>
      </c>
      <c r="G345" t="s">
        <v>914</v>
      </c>
      <c r="H345" t="s">
        <v>113</v>
      </c>
      <c r="I345" s="3">
        <v>0.29166666666666669</v>
      </c>
      <c r="J345" t="s">
        <v>113</v>
      </c>
      <c r="K345" s="3">
        <v>0.29166666666666669</v>
      </c>
      <c r="L345" t="s">
        <v>113</v>
      </c>
      <c r="M345" s="3">
        <v>0.29166666666666669</v>
      </c>
      <c r="N345" t="s">
        <v>113</v>
      </c>
      <c r="O345" s="3">
        <v>0.29166666666666669</v>
      </c>
      <c r="P345" t="s">
        <v>113</v>
      </c>
      <c r="Q345" s="3">
        <v>0.29166666666666669</v>
      </c>
      <c r="R345" t="b">
        <v>1</v>
      </c>
      <c r="S345" t="s">
        <v>1954</v>
      </c>
    </row>
    <row r="346" spans="1:19" hidden="1" x14ac:dyDescent="0.2">
      <c r="A346">
        <v>344</v>
      </c>
      <c r="B346" t="s">
        <v>1282</v>
      </c>
      <c r="C346" t="s">
        <v>1278</v>
      </c>
      <c r="D346">
        <v>92404</v>
      </c>
      <c r="E346">
        <v>30</v>
      </c>
      <c r="F346">
        <v>10368864</v>
      </c>
      <c r="G346" t="s">
        <v>914</v>
      </c>
      <c r="H346" t="s">
        <v>113</v>
      </c>
      <c r="I346" s="3">
        <v>0.25</v>
      </c>
      <c r="J346" t="s">
        <v>113</v>
      </c>
      <c r="K346" s="3">
        <v>0.25</v>
      </c>
      <c r="L346" t="s">
        <v>113</v>
      </c>
      <c r="M346" s="3">
        <v>0.25</v>
      </c>
      <c r="N346" t="s">
        <v>113</v>
      </c>
      <c r="O346" s="3">
        <v>0.54166666666666663</v>
      </c>
      <c r="P346" t="s">
        <v>113</v>
      </c>
      <c r="Q346" s="3">
        <v>0.25</v>
      </c>
      <c r="R346" t="b">
        <v>1</v>
      </c>
      <c r="S346" t="s">
        <v>1955</v>
      </c>
    </row>
    <row r="347" spans="1:19" x14ac:dyDescent="0.2">
      <c r="A347">
        <v>345</v>
      </c>
      <c r="B347" t="s">
        <v>1956</v>
      </c>
      <c r="C347" t="s">
        <v>1957</v>
      </c>
      <c r="D347">
        <v>91711</v>
      </c>
      <c r="E347">
        <v>2</v>
      </c>
      <c r="F347">
        <v>101345531</v>
      </c>
      <c r="G347" t="s">
        <v>1495</v>
      </c>
      <c r="H347" t="s">
        <v>113</v>
      </c>
      <c r="I347" s="3">
        <v>0.375</v>
      </c>
      <c r="J347" t="s">
        <v>113</v>
      </c>
      <c r="K347" s="3">
        <v>0.375</v>
      </c>
      <c r="L347" t="s">
        <v>113</v>
      </c>
      <c r="M347" s="3">
        <v>0.375</v>
      </c>
      <c r="N347" t="s">
        <v>113</v>
      </c>
      <c r="O347" s="3">
        <v>0.375</v>
      </c>
      <c r="P347" t="s">
        <v>113</v>
      </c>
      <c r="Q347" s="3">
        <v>0.375</v>
      </c>
      <c r="R347" t="b">
        <v>1</v>
      </c>
      <c r="S347" t="s">
        <v>1958</v>
      </c>
    </row>
    <row r="348" spans="1:19" hidden="1" x14ac:dyDescent="0.2">
      <c r="A348">
        <v>346</v>
      </c>
      <c r="B348" t="s">
        <v>997</v>
      </c>
      <c r="C348" t="s">
        <v>558</v>
      </c>
      <c r="D348">
        <v>91763</v>
      </c>
      <c r="E348">
        <v>3</v>
      </c>
      <c r="F348">
        <v>10043664</v>
      </c>
      <c r="G348" t="s">
        <v>914</v>
      </c>
      <c r="H348" t="s">
        <v>113</v>
      </c>
      <c r="I348" s="3">
        <v>0.54166666666666663</v>
      </c>
      <c r="J348" t="s">
        <v>113</v>
      </c>
      <c r="K348" s="3">
        <v>0.54166666666666663</v>
      </c>
      <c r="L348" t="s">
        <v>113</v>
      </c>
      <c r="M348" s="3">
        <v>0.41666666666666669</v>
      </c>
      <c r="N348" t="s">
        <v>113</v>
      </c>
      <c r="O348" s="3">
        <v>0.25</v>
      </c>
      <c r="P348" t="s">
        <v>113</v>
      </c>
      <c r="Q348" s="3">
        <v>0.25</v>
      </c>
      <c r="R348" t="b">
        <v>1</v>
      </c>
      <c r="S348" t="s">
        <v>1959</v>
      </c>
    </row>
    <row r="349" spans="1:19" hidden="1" x14ac:dyDescent="0.2">
      <c r="A349">
        <v>347</v>
      </c>
      <c r="B349" t="s">
        <v>1035</v>
      </c>
      <c r="C349" t="s">
        <v>1036</v>
      </c>
      <c r="D349">
        <v>91786</v>
      </c>
      <c r="E349">
        <v>4.5999999999999996</v>
      </c>
      <c r="F349">
        <v>10361235</v>
      </c>
      <c r="G349" t="s">
        <v>914</v>
      </c>
      <c r="H349" t="s">
        <v>98</v>
      </c>
      <c r="I349" s="3">
        <v>0.39583333333333331</v>
      </c>
      <c r="J349" t="s">
        <v>98</v>
      </c>
      <c r="K349" s="3">
        <v>0.47916666666666669</v>
      </c>
      <c r="L349" t="s">
        <v>98</v>
      </c>
      <c r="M349" s="3">
        <v>0.375</v>
      </c>
      <c r="N349" t="s">
        <v>98</v>
      </c>
      <c r="O349" s="3">
        <v>0.54166666666666663</v>
      </c>
      <c r="P349" t="s">
        <v>98</v>
      </c>
      <c r="Q349" s="3">
        <v>0.54166666666666663</v>
      </c>
      <c r="R349" t="b">
        <v>1</v>
      </c>
      <c r="S349" t="s">
        <v>1960</v>
      </c>
    </row>
    <row r="350" spans="1:19" hidden="1" x14ac:dyDescent="0.2">
      <c r="A350">
        <v>348</v>
      </c>
      <c r="B350" t="s">
        <v>826</v>
      </c>
      <c r="C350" t="s">
        <v>825</v>
      </c>
      <c r="D350">
        <v>91710</v>
      </c>
      <c r="E350">
        <v>12</v>
      </c>
      <c r="F350" t="s">
        <v>1146</v>
      </c>
      <c r="G350" t="s">
        <v>914</v>
      </c>
      <c r="H350" t="s">
        <v>103</v>
      </c>
      <c r="I350" s="3">
        <v>0.33333333333333331</v>
      </c>
      <c r="J350" t="s">
        <v>113</v>
      </c>
      <c r="K350" s="3">
        <v>0.33333333333333331</v>
      </c>
      <c r="L350" t="s">
        <v>113</v>
      </c>
      <c r="M350" s="3">
        <v>0.33333333333333331</v>
      </c>
      <c r="N350" t="s">
        <v>113</v>
      </c>
      <c r="O350" s="3">
        <v>0.33333333333333331</v>
      </c>
      <c r="P350" t="s">
        <v>103</v>
      </c>
      <c r="Q350" s="3">
        <v>0.33333333333333331</v>
      </c>
      <c r="R350" t="b">
        <v>1</v>
      </c>
      <c r="S350" t="s">
        <v>1961</v>
      </c>
    </row>
    <row r="351" spans="1:19" hidden="1" x14ac:dyDescent="0.2">
      <c r="A351">
        <v>349</v>
      </c>
      <c r="B351" t="s">
        <v>1129</v>
      </c>
      <c r="C351" t="s">
        <v>1130</v>
      </c>
      <c r="D351">
        <v>91764</v>
      </c>
      <c r="E351">
        <v>10</v>
      </c>
      <c r="F351">
        <v>102894622</v>
      </c>
      <c r="G351" t="s">
        <v>914</v>
      </c>
      <c r="H351" t="s">
        <v>74</v>
      </c>
      <c r="I351" s="3">
        <v>0.33333333333333331</v>
      </c>
      <c r="J351" t="s">
        <v>103</v>
      </c>
      <c r="K351" s="3">
        <v>0.33333333333333331</v>
      </c>
      <c r="L351" t="s">
        <v>74</v>
      </c>
      <c r="M351" s="3">
        <v>0.33333333333333331</v>
      </c>
      <c r="N351" t="s">
        <v>74</v>
      </c>
      <c r="O351" s="3">
        <v>0.33333333333333331</v>
      </c>
      <c r="P351" t="s">
        <v>103</v>
      </c>
      <c r="Q351" s="3">
        <v>0.33333333333333331</v>
      </c>
      <c r="R351" t="b">
        <v>1</v>
      </c>
      <c r="S351" t="s">
        <v>1962</v>
      </c>
    </row>
    <row r="352" spans="1:19" x14ac:dyDescent="0.2">
      <c r="A352">
        <v>350</v>
      </c>
      <c r="B352" t="s">
        <v>412</v>
      </c>
      <c r="C352" t="s">
        <v>1963</v>
      </c>
      <c r="D352">
        <v>91711</v>
      </c>
      <c r="E352">
        <v>1.5</v>
      </c>
      <c r="F352">
        <v>10018386</v>
      </c>
      <c r="G352" t="s">
        <v>1495</v>
      </c>
      <c r="H352" t="s">
        <v>113</v>
      </c>
      <c r="I352" s="3">
        <v>0.35416666666666669</v>
      </c>
      <c r="J352" t="s">
        <v>113</v>
      </c>
      <c r="K352" s="3">
        <v>0.375</v>
      </c>
      <c r="L352" t="s">
        <v>113</v>
      </c>
      <c r="M352" s="3">
        <v>0.35416666666666669</v>
      </c>
      <c r="N352" t="s">
        <v>113</v>
      </c>
      <c r="O352" s="3">
        <v>0.375</v>
      </c>
      <c r="P352" t="s">
        <v>113</v>
      </c>
      <c r="Q352" s="3">
        <v>0.375</v>
      </c>
      <c r="R352" t="b">
        <v>1</v>
      </c>
      <c r="S352" t="s">
        <v>1964</v>
      </c>
    </row>
    <row r="353" spans="1:19" hidden="1" x14ac:dyDescent="0.2">
      <c r="A353">
        <v>351</v>
      </c>
      <c r="B353" t="s">
        <v>501</v>
      </c>
      <c r="C353" t="s">
        <v>962</v>
      </c>
      <c r="D353">
        <v>91786</v>
      </c>
      <c r="E353">
        <v>2</v>
      </c>
      <c r="F353">
        <v>10043620</v>
      </c>
      <c r="G353" t="s">
        <v>914</v>
      </c>
      <c r="H353" t="s">
        <v>113</v>
      </c>
      <c r="I353" s="3">
        <v>0.41666666666666669</v>
      </c>
      <c r="J353" t="s">
        <v>113</v>
      </c>
      <c r="K353" s="3">
        <v>0.29166666666666669</v>
      </c>
      <c r="L353" t="s">
        <v>113</v>
      </c>
      <c r="M353" s="3">
        <v>0.29166666666666669</v>
      </c>
      <c r="N353" t="s">
        <v>113</v>
      </c>
      <c r="O353" s="3">
        <v>0.41666666666666669</v>
      </c>
      <c r="P353" t="s">
        <v>113</v>
      </c>
      <c r="Q353" s="3">
        <v>0.41666666666666669</v>
      </c>
      <c r="R353" t="b">
        <v>1</v>
      </c>
      <c r="S353" t="s">
        <v>1965</v>
      </c>
    </row>
    <row r="354" spans="1:19" x14ac:dyDescent="0.2">
      <c r="A354">
        <v>352</v>
      </c>
      <c r="B354" t="s">
        <v>1966</v>
      </c>
      <c r="C354" t="s">
        <v>1967</v>
      </c>
      <c r="D354">
        <v>91711</v>
      </c>
      <c r="E354">
        <v>1</v>
      </c>
      <c r="F354">
        <v>10366463</v>
      </c>
      <c r="G354" t="s">
        <v>1495</v>
      </c>
      <c r="H354" t="s">
        <v>108</v>
      </c>
      <c r="I354" s="3">
        <v>0.5</v>
      </c>
      <c r="J354" t="s">
        <v>92</v>
      </c>
      <c r="K354" s="3">
        <v>0.41666666666666669</v>
      </c>
      <c r="L354" t="s">
        <v>933</v>
      </c>
      <c r="M354" s="3">
        <v>0.375</v>
      </c>
      <c r="N354" t="s">
        <v>92</v>
      </c>
      <c r="O354" s="3">
        <v>0.375</v>
      </c>
      <c r="P354" t="s">
        <v>92</v>
      </c>
      <c r="Q354" s="3">
        <v>0.375</v>
      </c>
      <c r="R354" t="b">
        <v>1</v>
      </c>
      <c r="S354" t="s">
        <v>1968</v>
      </c>
    </row>
    <row r="355" spans="1:19" x14ac:dyDescent="0.2">
      <c r="A355">
        <v>353</v>
      </c>
      <c r="B355" t="s">
        <v>1969</v>
      </c>
      <c r="C355" t="s">
        <v>369</v>
      </c>
      <c r="D355">
        <v>91711</v>
      </c>
      <c r="E355">
        <v>1</v>
      </c>
      <c r="F355">
        <v>100872241</v>
      </c>
      <c r="G355" t="s">
        <v>1495</v>
      </c>
      <c r="H355" t="s">
        <v>74</v>
      </c>
      <c r="I355" s="3">
        <v>0.35416666666666669</v>
      </c>
      <c r="J355" t="s">
        <v>74</v>
      </c>
      <c r="K355" s="3">
        <v>0.35416666666666669</v>
      </c>
      <c r="L355" t="s">
        <v>74</v>
      </c>
      <c r="M355" s="3">
        <v>0.35416666666666669</v>
      </c>
      <c r="N355" t="s">
        <v>74</v>
      </c>
      <c r="O355" s="3">
        <v>0.35416666666666669</v>
      </c>
      <c r="P355" t="s">
        <v>74</v>
      </c>
      <c r="Q355" s="3">
        <v>0.35416666666666669</v>
      </c>
      <c r="R355" t="b">
        <v>1</v>
      </c>
      <c r="S355" t="s">
        <v>1970</v>
      </c>
    </row>
    <row r="356" spans="1:19" hidden="1" x14ac:dyDescent="0.2">
      <c r="A356">
        <v>354</v>
      </c>
      <c r="B356" t="s">
        <v>619</v>
      </c>
      <c r="C356" t="s">
        <v>618</v>
      </c>
      <c r="D356">
        <v>92337</v>
      </c>
      <c r="E356">
        <v>30</v>
      </c>
      <c r="F356">
        <v>10256187</v>
      </c>
      <c r="G356" t="s">
        <v>914</v>
      </c>
      <c r="H356" t="s">
        <v>113</v>
      </c>
      <c r="I356" s="3">
        <v>0.25</v>
      </c>
      <c r="J356" t="s">
        <v>113</v>
      </c>
      <c r="K356" s="3">
        <v>0.25</v>
      </c>
      <c r="L356" t="s">
        <v>113</v>
      </c>
      <c r="M356" s="3">
        <v>0.25</v>
      </c>
      <c r="N356" t="s">
        <v>113</v>
      </c>
      <c r="O356" s="3">
        <v>0.25</v>
      </c>
      <c r="P356" t="s">
        <v>113</v>
      </c>
      <c r="Q356" s="3">
        <v>0.25</v>
      </c>
      <c r="R356" t="b">
        <v>1</v>
      </c>
      <c r="S356" t="s">
        <v>1971</v>
      </c>
    </row>
    <row r="357" spans="1:19" hidden="1" x14ac:dyDescent="0.2">
      <c r="A357">
        <v>355</v>
      </c>
      <c r="B357" t="s">
        <v>1972</v>
      </c>
      <c r="C357" t="s">
        <v>1973</v>
      </c>
      <c r="D357">
        <v>91711</v>
      </c>
      <c r="E357">
        <v>0</v>
      </c>
      <c r="F357">
        <v>10371017</v>
      </c>
      <c r="G357" t="s">
        <v>1632</v>
      </c>
      <c r="H357" t="s">
        <v>92</v>
      </c>
      <c r="I357" s="3">
        <v>0.58333333333333337</v>
      </c>
      <c r="J357" t="s">
        <v>202</v>
      </c>
      <c r="K357" s="3">
        <v>0.45833333333333331</v>
      </c>
      <c r="L357" t="s">
        <v>92</v>
      </c>
      <c r="M357" s="3">
        <v>0.58333333333333337</v>
      </c>
      <c r="N357" t="s">
        <v>92</v>
      </c>
      <c r="O357" s="3">
        <v>0.58333333333333337</v>
      </c>
      <c r="P357" t="s">
        <v>202</v>
      </c>
      <c r="Q357" s="3">
        <v>0.45833333333333331</v>
      </c>
      <c r="R357" t="b">
        <v>0</v>
      </c>
      <c r="S357" t="s">
        <v>1974</v>
      </c>
    </row>
    <row r="358" spans="1:19" hidden="1" x14ac:dyDescent="0.2">
      <c r="A358">
        <v>356</v>
      </c>
      <c r="B358" t="s">
        <v>1975</v>
      </c>
      <c r="C358" t="s">
        <v>1976</v>
      </c>
      <c r="D358">
        <v>91711</v>
      </c>
      <c r="E358">
        <v>0</v>
      </c>
      <c r="F358">
        <v>10368599</v>
      </c>
      <c r="G358" t="s">
        <v>1632</v>
      </c>
      <c r="H358" t="s">
        <v>202</v>
      </c>
      <c r="I358" s="3">
        <v>0.45833333333333331</v>
      </c>
      <c r="J358" t="s">
        <v>92</v>
      </c>
      <c r="K358" s="3">
        <v>0.95833333333333337</v>
      </c>
      <c r="L358" t="s">
        <v>202</v>
      </c>
      <c r="M358" s="3">
        <v>0.45833333333333331</v>
      </c>
      <c r="N358" t="s">
        <v>202</v>
      </c>
      <c r="O358" s="3">
        <v>0.45833333333333331</v>
      </c>
      <c r="P358" t="s">
        <v>202</v>
      </c>
      <c r="Q358" s="3">
        <v>0.45833333333333331</v>
      </c>
      <c r="R358" t="b">
        <v>0</v>
      </c>
      <c r="S358" t="s">
        <v>1977</v>
      </c>
    </row>
    <row r="359" spans="1:19" hidden="1" x14ac:dyDescent="0.2">
      <c r="A359">
        <v>357</v>
      </c>
      <c r="B359" t="s">
        <v>1035</v>
      </c>
      <c r="C359" t="s">
        <v>1324</v>
      </c>
      <c r="D359">
        <v>92394</v>
      </c>
      <c r="E359">
        <v>50</v>
      </c>
      <c r="F359">
        <v>10362633</v>
      </c>
      <c r="G359" t="s">
        <v>914</v>
      </c>
      <c r="H359" t="s">
        <v>113</v>
      </c>
      <c r="I359" s="3">
        <v>0.5</v>
      </c>
      <c r="J359" t="s">
        <v>113</v>
      </c>
      <c r="K359" s="3">
        <v>0.5</v>
      </c>
      <c r="L359" t="s">
        <v>113</v>
      </c>
      <c r="M359" s="3">
        <v>0.5</v>
      </c>
      <c r="N359" t="s">
        <v>113</v>
      </c>
      <c r="O359" s="3">
        <v>0.5</v>
      </c>
      <c r="P359" t="s">
        <v>113</v>
      </c>
      <c r="Q359" s="3">
        <v>0.5</v>
      </c>
      <c r="R359" t="b">
        <v>0</v>
      </c>
      <c r="S359" t="s">
        <v>1978</v>
      </c>
    </row>
    <row r="360" spans="1:19" hidden="1" x14ac:dyDescent="0.2">
      <c r="A360">
        <v>358</v>
      </c>
      <c r="B360" t="s">
        <v>864</v>
      </c>
      <c r="C360" t="s">
        <v>863</v>
      </c>
      <c r="D360">
        <v>92374</v>
      </c>
      <c r="E360">
        <v>37</v>
      </c>
      <c r="F360">
        <v>10292343</v>
      </c>
      <c r="G360" t="s">
        <v>914</v>
      </c>
      <c r="H360" t="s">
        <v>103</v>
      </c>
      <c r="I360" s="3">
        <v>0.3125</v>
      </c>
      <c r="J360" t="s">
        <v>103</v>
      </c>
      <c r="K360" s="3">
        <v>0.3125</v>
      </c>
      <c r="L360" t="s">
        <v>103</v>
      </c>
      <c r="M360" s="3">
        <v>0.3125</v>
      </c>
      <c r="N360" t="s">
        <v>103</v>
      </c>
      <c r="O360" s="3">
        <v>0.3125</v>
      </c>
      <c r="P360" t="s">
        <v>103</v>
      </c>
      <c r="Q360" s="3">
        <v>0.3125</v>
      </c>
      <c r="R360" t="b">
        <v>1</v>
      </c>
      <c r="S360" t="s">
        <v>1979</v>
      </c>
    </row>
    <row r="361" spans="1:19" x14ac:dyDescent="0.2">
      <c r="A361">
        <v>359</v>
      </c>
      <c r="B361" t="s">
        <v>1980</v>
      </c>
      <c r="C361" t="s">
        <v>1981</v>
      </c>
      <c r="D361">
        <v>92506</v>
      </c>
      <c r="E361">
        <v>20</v>
      </c>
      <c r="F361">
        <v>103613241</v>
      </c>
      <c r="G361" t="s">
        <v>1495</v>
      </c>
      <c r="H361" t="s">
        <v>113</v>
      </c>
      <c r="I361" s="3">
        <v>0.33333333333333331</v>
      </c>
      <c r="J361" t="s">
        <v>108</v>
      </c>
      <c r="K361" s="3">
        <v>0.375</v>
      </c>
      <c r="L361" t="s">
        <v>113</v>
      </c>
      <c r="M361" s="3">
        <v>0.33333333333333331</v>
      </c>
      <c r="N361" t="s">
        <v>108</v>
      </c>
      <c r="O361" s="3">
        <v>0.375</v>
      </c>
      <c r="P361" t="s">
        <v>113</v>
      </c>
      <c r="Q361" s="3">
        <v>0.33333333333333331</v>
      </c>
      <c r="R361" t="b">
        <v>1</v>
      </c>
      <c r="S361" t="s">
        <v>1982</v>
      </c>
    </row>
    <row r="362" spans="1:19" hidden="1" x14ac:dyDescent="0.2">
      <c r="A362">
        <v>360</v>
      </c>
      <c r="B362" t="s">
        <v>1200</v>
      </c>
      <c r="C362" t="s">
        <v>816</v>
      </c>
      <c r="D362">
        <v>91792</v>
      </c>
      <c r="E362">
        <v>16</v>
      </c>
      <c r="F362">
        <v>103702021</v>
      </c>
      <c r="G362" t="s">
        <v>914</v>
      </c>
      <c r="H362" t="s">
        <v>74</v>
      </c>
      <c r="I362" s="3">
        <v>0.33333333333333331</v>
      </c>
      <c r="J362" t="s">
        <v>74</v>
      </c>
      <c r="K362" s="3">
        <v>0.33333333333333331</v>
      </c>
      <c r="L362" t="s">
        <v>74</v>
      </c>
      <c r="M362" s="3">
        <v>0.33333333333333331</v>
      </c>
      <c r="N362" t="s">
        <v>103</v>
      </c>
      <c r="O362" s="3">
        <v>0.35416666666666669</v>
      </c>
      <c r="P362" t="s">
        <v>74</v>
      </c>
      <c r="Q362" s="3">
        <v>0.33333333333333331</v>
      </c>
      <c r="R362" t="b">
        <v>1</v>
      </c>
      <c r="S362" t="s">
        <v>1983</v>
      </c>
    </row>
    <row r="363" spans="1:19" x14ac:dyDescent="0.2">
      <c r="A363">
        <v>361</v>
      </c>
      <c r="B363" t="s">
        <v>1984</v>
      </c>
      <c r="C363" t="s">
        <v>1985</v>
      </c>
      <c r="D363">
        <v>91711</v>
      </c>
      <c r="E363">
        <v>0.5</v>
      </c>
      <c r="F363">
        <v>103701181</v>
      </c>
      <c r="G363" t="s">
        <v>1495</v>
      </c>
      <c r="H363" t="s">
        <v>92</v>
      </c>
      <c r="I363" s="3">
        <v>0.375</v>
      </c>
      <c r="J363" t="s">
        <v>92</v>
      </c>
      <c r="K363" s="3">
        <v>0.375</v>
      </c>
      <c r="L363" t="s">
        <v>92</v>
      </c>
      <c r="M363" s="3">
        <v>0.375</v>
      </c>
      <c r="N363" t="s">
        <v>92</v>
      </c>
      <c r="O363" s="3">
        <v>0.375</v>
      </c>
      <c r="P363" t="s">
        <v>202</v>
      </c>
      <c r="Q363" s="3">
        <v>0.25</v>
      </c>
      <c r="R363" t="b">
        <v>1</v>
      </c>
      <c r="S363" t="s">
        <v>1986</v>
      </c>
    </row>
    <row r="364" spans="1:19" x14ac:dyDescent="0.2">
      <c r="A364">
        <v>362</v>
      </c>
      <c r="B364" t="s">
        <v>318</v>
      </c>
      <c r="C364" t="s">
        <v>1987</v>
      </c>
      <c r="D364">
        <v>91711</v>
      </c>
      <c r="E364">
        <v>2</v>
      </c>
      <c r="F364">
        <v>10042125</v>
      </c>
      <c r="G364" t="s">
        <v>1495</v>
      </c>
      <c r="H364" t="s">
        <v>113</v>
      </c>
      <c r="I364" s="3">
        <v>0.375</v>
      </c>
      <c r="J364" t="s">
        <v>113</v>
      </c>
      <c r="K364" s="3">
        <v>0.375</v>
      </c>
      <c r="L364" t="s">
        <v>113</v>
      </c>
      <c r="M364" s="3">
        <v>0.375</v>
      </c>
      <c r="N364" t="s">
        <v>113</v>
      </c>
      <c r="O364" s="3">
        <v>0.375</v>
      </c>
      <c r="P364" t="s">
        <v>113</v>
      </c>
      <c r="Q364" s="3">
        <v>0.375</v>
      </c>
      <c r="R364" t="b">
        <v>1</v>
      </c>
      <c r="S364" t="s">
        <v>1988</v>
      </c>
    </row>
    <row r="365" spans="1:19" x14ac:dyDescent="0.2">
      <c r="A365">
        <v>363</v>
      </c>
      <c r="B365" t="s">
        <v>1989</v>
      </c>
      <c r="C365" t="s">
        <v>1990</v>
      </c>
      <c r="D365">
        <v>91711</v>
      </c>
      <c r="E365">
        <v>1.5</v>
      </c>
      <c r="F365">
        <v>10042434</v>
      </c>
      <c r="G365" t="s">
        <v>1495</v>
      </c>
      <c r="H365" t="s">
        <v>113</v>
      </c>
      <c r="I365" s="3">
        <v>0.375</v>
      </c>
      <c r="J365" t="s">
        <v>113</v>
      </c>
      <c r="K365" s="3">
        <v>0.39583333333333331</v>
      </c>
      <c r="L365" t="s">
        <v>113</v>
      </c>
      <c r="M365" s="3">
        <v>0.45833333333333331</v>
      </c>
      <c r="N365" t="s">
        <v>113</v>
      </c>
      <c r="O365" s="3">
        <v>0.375</v>
      </c>
      <c r="P365" t="s">
        <v>113</v>
      </c>
      <c r="Q365" s="3">
        <v>0.45833333333333331</v>
      </c>
      <c r="R365" t="b">
        <v>1</v>
      </c>
      <c r="S365" t="s">
        <v>1991</v>
      </c>
    </row>
    <row r="366" spans="1:19" hidden="1" x14ac:dyDescent="0.2">
      <c r="A366">
        <v>364</v>
      </c>
      <c r="B366" t="s">
        <v>323</v>
      </c>
      <c r="C366" t="s">
        <v>558</v>
      </c>
      <c r="D366">
        <v>91739</v>
      </c>
      <c r="E366">
        <v>12</v>
      </c>
      <c r="F366">
        <v>10349377</v>
      </c>
      <c r="G366" t="s">
        <v>914</v>
      </c>
      <c r="H366" t="s">
        <v>113</v>
      </c>
      <c r="I366" s="3">
        <v>0.33333333333333331</v>
      </c>
      <c r="J366" t="s">
        <v>113</v>
      </c>
      <c r="K366" s="3">
        <v>0.33333333333333331</v>
      </c>
      <c r="L366" t="s">
        <v>113</v>
      </c>
      <c r="M366" s="3">
        <v>0.33333333333333331</v>
      </c>
      <c r="N366" t="s">
        <v>113</v>
      </c>
      <c r="O366" s="3">
        <v>0.33333333333333331</v>
      </c>
      <c r="P366" t="s">
        <v>113</v>
      </c>
      <c r="Q366" s="3">
        <v>0.33333333333333331</v>
      </c>
      <c r="R366" t="b">
        <v>1</v>
      </c>
      <c r="S366" t="s">
        <v>1992</v>
      </c>
    </row>
    <row r="367" spans="1:19" hidden="1" x14ac:dyDescent="0.2">
      <c r="A367">
        <v>365</v>
      </c>
      <c r="B367" t="s">
        <v>1215</v>
      </c>
      <c r="C367" t="s">
        <v>1216</v>
      </c>
      <c r="D367">
        <v>92336</v>
      </c>
      <c r="E367">
        <v>18</v>
      </c>
      <c r="F367">
        <v>10243796</v>
      </c>
      <c r="G367" t="s">
        <v>914</v>
      </c>
      <c r="H367" t="s">
        <v>108</v>
      </c>
      <c r="I367" s="3">
        <v>0.29166666666666669</v>
      </c>
      <c r="J367" t="s">
        <v>1016</v>
      </c>
      <c r="K367" s="3">
        <v>0.29166666666666669</v>
      </c>
      <c r="L367" t="s">
        <v>1016</v>
      </c>
      <c r="M367" s="3">
        <v>0.29166666666666669</v>
      </c>
      <c r="N367" t="s">
        <v>108</v>
      </c>
      <c r="O367" s="3">
        <v>0.29166666666666669</v>
      </c>
      <c r="P367" t="s">
        <v>1016</v>
      </c>
      <c r="Q367" s="3">
        <v>0.29166666666666669</v>
      </c>
      <c r="R367" t="b">
        <v>1</v>
      </c>
      <c r="S367" t="s">
        <v>1993</v>
      </c>
    </row>
    <row r="368" spans="1:19" hidden="1" x14ac:dyDescent="0.2">
      <c r="A368">
        <v>366</v>
      </c>
      <c r="B368" t="s">
        <v>707</v>
      </c>
      <c r="C368" t="s">
        <v>706</v>
      </c>
      <c r="D368">
        <v>92562</v>
      </c>
      <c r="E368">
        <v>59</v>
      </c>
      <c r="F368">
        <v>1030744</v>
      </c>
      <c r="G368" t="s">
        <v>914</v>
      </c>
      <c r="H368" t="s">
        <v>103</v>
      </c>
      <c r="I368" s="3">
        <v>0.33333333333333331</v>
      </c>
      <c r="J368" t="s">
        <v>113</v>
      </c>
      <c r="K368" s="3">
        <v>0.375</v>
      </c>
      <c r="L368" t="s">
        <v>113</v>
      </c>
      <c r="M368" s="3">
        <v>0.35416666666666669</v>
      </c>
      <c r="N368" t="s">
        <v>191</v>
      </c>
      <c r="O368" s="3">
        <v>0.375</v>
      </c>
      <c r="P368" t="s">
        <v>191</v>
      </c>
      <c r="Q368" s="3">
        <v>0.33333333333333331</v>
      </c>
      <c r="R368" t="b">
        <v>1</v>
      </c>
      <c r="S368" t="s">
        <v>1994</v>
      </c>
    </row>
    <row r="369" spans="1:19" hidden="1" x14ac:dyDescent="0.2">
      <c r="A369">
        <v>367</v>
      </c>
      <c r="B369" t="s">
        <v>1995</v>
      </c>
      <c r="C369" t="s">
        <v>1996</v>
      </c>
      <c r="D369">
        <v>98004</v>
      </c>
      <c r="E369">
        <v>0</v>
      </c>
      <c r="F369">
        <v>10371145</v>
      </c>
      <c r="G369" t="s">
        <v>1632</v>
      </c>
      <c r="H369" t="s">
        <v>92</v>
      </c>
      <c r="I369" s="3">
        <v>0.375</v>
      </c>
      <c r="J369" t="s">
        <v>92</v>
      </c>
      <c r="K369" s="3">
        <v>0.375</v>
      </c>
      <c r="L369" t="s">
        <v>92</v>
      </c>
      <c r="M369" s="3">
        <v>0.375</v>
      </c>
      <c r="N369" t="s">
        <v>92</v>
      </c>
      <c r="O369" s="3">
        <v>0.375</v>
      </c>
      <c r="P369" t="s">
        <v>92</v>
      </c>
      <c r="Q369" s="3">
        <v>0.375</v>
      </c>
      <c r="R369" t="b">
        <v>1</v>
      </c>
      <c r="S369" t="s">
        <v>1997</v>
      </c>
    </row>
    <row r="370" spans="1:19" hidden="1" x14ac:dyDescent="0.2">
      <c r="A370">
        <v>368</v>
      </c>
      <c r="B370" t="s">
        <v>1998</v>
      </c>
      <c r="C370" t="s">
        <v>1999</v>
      </c>
      <c r="D370">
        <v>78414</v>
      </c>
      <c r="E370">
        <v>0.3</v>
      </c>
      <c r="F370">
        <v>10369612</v>
      </c>
      <c r="G370" t="s">
        <v>1632</v>
      </c>
      <c r="H370" t="s">
        <v>92</v>
      </c>
      <c r="I370" s="3">
        <v>0.41666666666666669</v>
      </c>
      <c r="J370" t="s">
        <v>92</v>
      </c>
      <c r="K370" s="3">
        <v>0.41666666666666669</v>
      </c>
      <c r="L370" t="s">
        <v>92</v>
      </c>
      <c r="M370" s="3">
        <v>0.41666666666666669</v>
      </c>
      <c r="N370" t="s">
        <v>92</v>
      </c>
      <c r="O370" s="3">
        <v>0.41666666666666669</v>
      </c>
      <c r="P370" t="s">
        <v>92</v>
      </c>
      <c r="Q370" s="3">
        <v>0.41666666666666669</v>
      </c>
      <c r="R370" t="b">
        <v>1</v>
      </c>
      <c r="S370" t="s">
        <v>2000</v>
      </c>
    </row>
    <row r="371" spans="1:19" hidden="1" x14ac:dyDescent="0.2">
      <c r="A371">
        <v>369</v>
      </c>
      <c r="B371" t="s">
        <v>1131</v>
      </c>
      <c r="C371" t="s">
        <v>1132</v>
      </c>
      <c r="D371">
        <v>91767</v>
      </c>
      <c r="E371">
        <v>10</v>
      </c>
      <c r="F371">
        <v>10043384</v>
      </c>
      <c r="G371" t="s">
        <v>914</v>
      </c>
      <c r="H371" t="s">
        <v>191</v>
      </c>
      <c r="I371" s="3">
        <v>0.20833333333333334</v>
      </c>
      <c r="J371" t="s">
        <v>195</v>
      </c>
      <c r="K371" s="3">
        <v>0.20833333333333334</v>
      </c>
      <c r="L371" t="s">
        <v>933</v>
      </c>
      <c r="M371" s="3">
        <v>0.20833333333333334</v>
      </c>
      <c r="N371" t="s">
        <v>933</v>
      </c>
      <c r="O371" s="3">
        <v>0.20833333333333334</v>
      </c>
      <c r="P371" t="s">
        <v>933</v>
      </c>
      <c r="Q371" s="3">
        <v>0.20833333333333334</v>
      </c>
      <c r="R371" t="b">
        <v>0</v>
      </c>
      <c r="S371" t="s">
        <v>2001</v>
      </c>
    </row>
    <row r="372" spans="1:19" hidden="1" x14ac:dyDescent="0.2">
      <c r="A372">
        <v>370</v>
      </c>
      <c r="B372" t="s">
        <v>210</v>
      </c>
      <c r="C372" t="s">
        <v>209</v>
      </c>
      <c r="D372">
        <v>90250</v>
      </c>
      <c r="E372">
        <v>46</v>
      </c>
      <c r="F372">
        <v>10366658</v>
      </c>
      <c r="G372" t="s">
        <v>914</v>
      </c>
      <c r="H372" t="s">
        <v>933</v>
      </c>
      <c r="I372" s="3">
        <v>0.64583333333333337</v>
      </c>
      <c r="J372" t="s">
        <v>933</v>
      </c>
      <c r="K372" s="3">
        <v>0.64583333333333337</v>
      </c>
      <c r="L372" t="s">
        <v>933</v>
      </c>
      <c r="M372" s="3">
        <v>0.64583333333333337</v>
      </c>
      <c r="N372" t="s">
        <v>195</v>
      </c>
      <c r="O372" s="3">
        <v>0.64583333333333337</v>
      </c>
      <c r="P372" t="s">
        <v>195</v>
      </c>
      <c r="Q372" s="3">
        <v>0.64583333333333337</v>
      </c>
      <c r="R372" t="b">
        <v>0</v>
      </c>
      <c r="S372" t="s">
        <v>2002</v>
      </c>
    </row>
    <row r="373" spans="1:19" hidden="1" x14ac:dyDescent="0.2">
      <c r="A373">
        <v>371</v>
      </c>
      <c r="B373" t="s">
        <v>2003</v>
      </c>
      <c r="C373" t="s">
        <v>2004</v>
      </c>
      <c r="D373">
        <v>92130</v>
      </c>
      <c r="E373">
        <v>0.2</v>
      </c>
      <c r="F373">
        <v>10372826</v>
      </c>
      <c r="G373" t="s">
        <v>1632</v>
      </c>
      <c r="H373" t="s">
        <v>92</v>
      </c>
      <c r="I373" s="3">
        <v>0.60416666666666663</v>
      </c>
      <c r="J373" t="s">
        <v>202</v>
      </c>
      <c r="K373" s="3">
        <v>0.45833333333333331</v>
      </c>
      <c r="L373" t="s">
        <v>92</v>
      </c>
      <c r="M373" s="3">
        <v>0.60416666666666663</v>
      </c>
      <c r="N373" t="s">
        <v>202</v>
      </c>
      <c r="O373" s="3">
        <v>0.45833333333333331</v>
      </c>
      <c r="P373" t="s">
        <v>202</v>
      </c>
      <c r="Q373" s="3">
        <v>0.45833333333333331</v>
      </c>
      <c r="R373" t="b">
        <v>0</v>
      </c>
      <c r="S373" t="s">
        <v>2005</v>
      </c>
    </row>
    <row r="374" spans="1:19" hidden="1" x14ac:dyDescent="0.2">
      <c r="A374">
        <v>372</v>
      </c>
      <c r="B374" t="s">
        <v>2006</v>
      </c>
      <c r="C374" t="s">
        <v>2007</v>
      </c>
      <c r="D374">
        <v>91711</v>
      </c>
      <c r="E374">
        <v>0.4</v>
      </c>
      <c r="F374">
        <v>10364712</v>
      </c>
      <c r="G374" t="s">
        <v>1632</v>
      </c>
      <c r="H374" t="s">
        <v>92</v>
      </c>
      <c r="I374" s="3">
        <v>0.625</v>
      </c>
      <c r="J374" t="s">
        <v>202</v>
      </c>
      <c r="K374" s="3">
        <v>0.25</v>
      </c>
      <c r="L374" t="s">
        <v>92</v>
      </c>
      <c r="M374" s="3">
        <v>0.41666666666666669</v>
      </c>
      <c r="N374" t="s">
        <v>202</v>
      </c>
      <c r="O374" s="3">
        <v>0.25</v>
      </c>
      <c r="P374" t="s">
        <v>92</v>
      </c>
      <c r="Q374" s="3">
        <v>0.54166666666666663</v>
      </c>
      <c r="R374" t="b">
        <v>1</v>
      </c>
      <c r="S374" t="s">
        <v>2008</v>
      </c>
    </row>
    <row r="375" spans="1:19" hidden="1" x14ac:dyDescent="0.2">
      <c r="A375">
        <v>373</v>
      </c>
      <c r="B375" t="s">
        <v>538</v>
      </c>
      <c r="C375" t="s">
        <v>1239</v>
      </c>
      <c r="D375">
        <v>91024</v>
      </c>
      <c r="E375">
        <v>22.8</v>
      </c>
      <c r="F375">
        <v>103087423</v>
      </c>
      <c r="G375" t="s">
        <v>914</v>
      </c>
      <c r="H375" t="s">
        <v>113</v>
      </c>
      <c r="I375" s="3">
        <v>0.33333333333333331</v>
      </c>
      <c r="J375" t="s">
        <v>113</v>
      </c>
      <c r="K375" s="3">
        <v>0.33333333333333331</v>
      </c>
      <c r="L375" t="s">
        <v>113</v>
      </c>
      <c r="M375" s="3">
        <v>0.33333333333333331</v>
      </c>
      <c r="N375" t="s">
        <v>113</v>
      </c>
      <c r="O375" s="3">
        <v>0.33333333333333331</v>
      </c>
      <c r="P375" t="s">
        <v>113</v>
      </c>
      <c r="Q375" s="3">
        <v>0.33333333333333331</v>
      </c>
      <c r="R375" t="b">
        <v>1</v>
      </c>
      <c r="S375" t="s">
        <v>2009</v>
      </c>
    </row>
    <row r="376" spans="1:19" hidden="1" x14ac:dyDescent="0.2">
      <c r="A376">
        <v>374</v>
      </c>
      <c r="B376" t="s">
        <v>1244</v>
      </c>
      <c r="C376" t="s">
        <v>701</v>
      </c>
      <c r="D376">
        <v>92376</v>
      </c>
      <c r="E376">
        <v>24</v>
      </c>
      <c r="F376">
        <v>10344423</v>
      </c>
      <c r="G376" t="s">
        <v>914</v>
      </c>
      <c r="H376" t="s">
        <v>933</v>
      </c>
      <c r="I376" s="3">
        <v>0.29166666666666669</v>
      </c>
      <c r="J376" t="s">
        <v>933</v>
      </c>
      <c r="K376" s="3">
        <v>0.29166666666666669</v>
      </c>
      <c r="L376" t="s">
        <v>933</v>
      </c>
      <c r="M376" s="3">
        <v>0.29166666666666669</v>
      </c>
      <c r="N376" t="s">
        <v>933</v>
      </c>
      <c r="O376" s="3">
        <v>0.29166666666666669</v>
      </c>
      <c r="P376" t="s">
        <v>933</v>
      </c>
      <c r="Q376" s="3">
        <v>0.29166666666666669</v>
      </c>
      <c r="R376" t="b">
        <v>1</v>
      </c>
      <c r="S376" t="s">
        <v>2010</v>
      </c>
    </row>
    <row r="377" spans="1:19" hidden="1" x14ac:dyDescent="0.2">
      <c r="A377">
        <v>375</v>
      </c>
      <c r="B377" t="s">
        <v>1022</v>
      </c>
      <c r="C377" t="s">
        <v>1259</v>
      </c>
      <c r="D377">
        <v>92316</v>
      </c>
      <c r="E377">
        <v>25</v>
      </c>
      <c r="F377">
        <v>10247799</v>
      </c>
      <c r="G377" t="s">
        <v>914</v>
      </c>
      <c r="H377" t="s">
        <v>933</v>
      </c>
      <c r="I377" s="3">
        <v>0.20833333333333334</v>
      </c>
      <c r="J377" t="s">
        <v>933</v>
      </c>
      <c r="K377" s="3">
        <v>0.20833333333333334</v>
      </c>
      <c r="L377" t="s">
        <v>933</v>
      </c>
      <c r="M377" s="3">
        <v>0.20833333333333334</v>
      </c>
      <c r="N377" t="s">
        <v>933</v>
      </c>
      <c r="O377" s="3">
        <v>0.20833333333333334</v>
      </c>
      <c r="P377" t="s">
        <v>933</v>
      </c>
      <c r="Q377" s="3">
        <v>0.20833333333333334</v>
      </c>
      <c r="R377" t="b">
        <v>0</v>
      </c>
      <c r="S377" t="s">
        <v>2011</v>
      </c>
    </row>
    <row r="378" spans="1:19" hidden="1" x14ac:dyDescent="0.2">
      <c r="A378">
        <v>376</v>
      </c>
      <c r="B378" t="s">
        <v>1217</v>
      </c>
      <c r="C378" t="s">
        <v>1218</v>
      </c>
      <c r="D378">
        <v>91752</v>
      </c>
      <c r="E378">
        <v>18</v>
      </c>
      <c r="F378">
        <v>103547202</v>
      </c>
      <c r="G378" t="s">
        <v>914</v>
      </c>
      <c r="H378" t="s">
        <v>191</v>
      </c>
      <c r="I378" s="3">
        <v>0.41666666666666669</v>
      </c>
      <c r="J378" t="s">
        <v>191</v>
      </c>
      <c r="K378" s="3">
        <v>0.41666666666666669</v>
      </c>
      <c r="L378" t="s">
        <v>113</v>
      </c>
      <c r="M378" s="3">
        <v>0.41666666666666669</v>
      </c>
      <c r="N378" t="s">
        <v>113</v>
      </c>
      <c r="O378" s="3">
        <v>0.41666666666666669</v>
      </c>
      <c r="P378" t="s">
        <v>113</v>
      </c>
      <c r="Q378" s="3">
        <v>0.41666666666666669</v>
      </c>
      <c r="R378" t="b">
        <v>1</v>
      </c>
      <c r="S378" t="s">
        <v>2012</v>
      </c>
    </row>
    <row r="379" spans="1:19" hidden="1" x14ac:dyDescent="0.2">
      <c r="A379">
        <v>377</v>
      </c>
      <c r="B379" t="s">
        <v>1006</v>
      </c>
      <c r="C379" t="s">
        <v>713</v>
      </c>
      <c r="D379">
        <v>91767</v>
      </c>
      <c r="E379">
        <v>3.2</v>
      </c>
      <c r="F379">
        <v>103752591</v>
      </c>
      <c r="G379" t="s">
        <v>914</v>
      </c>
      <c r="H379" t="s">
        <v>103</v>
      </c>
      <c r="I379" s="3">
        <v>0.33333333333333331</v>
      </c>
      <c r="J379" t="s">
        <v>103</v>
      </c>
      <c r="K379" s="3">
        <v>0.33333333333333331</v>
      </c>
      <c r="L379" t="s">
        <v>103</v>
      </c>
      <c r="M379" s="3">
        <v>0.33333333333333331</v>
      </c>
      <c r="N379" t="s">
        <v>103</v>
      </c>
      <c r="O379" s="3">
        <v>0.33333333333333331</v>
      </c>
      <c r="P379" t="s">
        <v>103</v>
      </c>
      <c r="Q379" s="3">
        <v>0.33333333333333331</v>
      </c>
      <c r="R379" t="b">
        <v>1</v>
      </c>
      <c r="S379" t="s">
        <v>2013</v>
      </c>
    </row>
    <row r="380" spans="1:19" x14ac:dyDescent="0.2">
      <c r="A380">
        <v>378</v>
      </c>
      <c r="B380" t="s">
        <v>333</v>
      </c>
      <c r="C380" t="s">
        <v>594</v>
      </c>
      <c r="D380">
        <v>91711</v>
      </c>
      <c r="E380">
        <v>1.5</v>
      </c>
      <c r="F380">
        <v>10092220</v>
      </c>
      <c r="G380" t="s">
        <v>1495</v>
      </c>
      <c r="H380" t="s">
        <v>92</v>
      </c>
      <c r="I380" s="3">
        <v>0.33333333333333331</v>
      </c>
      <c r="J380" t="s">
        <v>92</v>
      </c>
      <c r="K380" s="3">
        <v>0.33333333333333331</v>
      </c>
      <c r="L380" t="s">
        <v>92</v>
      </c>
      <c r="M380" s="3">
        <v>0.33333333333333331</v>
      </c>
      <c r="N380" t="s">
        <v>92</v>
      </c>
      <c r="O380" s="3">
        <v>0.33333333333333331</v>
      </c>
      <c r="P380" t="s">
        <v>92</v>
      </c>
      <c r="Q380" s="3">
        <v>0.33333333333333331</v>
      </c>
      <c r="R380" t="b">
        <v>1</v>
      </c>
      <c r="S380" t="s">
        <v>2014</v>
      </c>
    </row>
    <row r="381" spans="1:19" x14ac:dyDescent="0.2">
      <c r="A381">
        <v>379</v>
      </c>
      <c r="B381" t="s">
        <v>2015</v>
      </c>
      <c r="C381" t="s">
        <v>2016</v>
      </c>
      <c r="D381">
        <v>91711</v>
      </c>
      <c r="E381">
        <v>0.5</v>
      </c>
      <c r="F381">
        <v>103702151</v>
      </c>
      <c r="G381" t="s">
        <v>1495</v>
      </c>
      <c r="H381" t="s">
        <v>92</v>
      </c>
      <c r="I381" s="3">
        <v>0.33333333333333331</v>
      </c>
      <c r="J381" t="s">
        <v>92</v>
      </c>
      <c r="K381" s="3">
        <v>0.35416666666666669</v>
      </c>
      <c r="L381" t="s">
        <v>92</v>
      </c>
      <c r="M381" s="3">
        <v>0.35416666666666669</v>
      </c>
      <c r="N381" t="s">
        <v>92</v>
      </c>
      <c r="O381" s="3">
        <v>0.35416666666666669</v>
      </c>
      <c r="P381" t="s">
        <v>113</v>
      </c>
      <c r="Q381" s="3">
        <v>0.35416666666666669</v>
      </c>
      <c r="R381" t="b">
        <v>1</v>
      </c>
      <c r="S381" t="s">
        <v>2017</v>
      </c>
    </row>
    <row r="382" spans="1:19" hidden="1" x14ac:dyDescent="0.2">
      <c r="A382">
        <v>380</v>
      </c>
      <c r="B382" t="s">
        <v>942</v>
      </c>
      <c r="C382" t="s">
        <v>943</v>
      </c>
      <c r="D382">
        <v>91786</v>
      </c>
      <c r="E382">
        <v>1</v>
      </c>
      <c r="F382">
        <v>103731181</v>
      </c>
      <c r="G382" t="s">
        <v>914</v>
      </c>
      <c r="H382" t="s">
        <v>98</v>
      </c>
      <c r="I382" s="3">
        <v>0.33333333333333331</v>
      </c>
      <c r="J382" t="s">
        <v>92</v>
      </c>
      <c r="K382" s="3">
        <v>0.33333333333333331</v>
      </c>
      <c r="L382" t="s">
        <v>98</v>
      </c>
      <c r="M382" s="3">
        <v>0.33333333333333331</v>
      </c>
      <c r="N382" t="s">
        <v>191</v>
      </c>
      <c r="O382" s="3">
        <v>0.33333333333333331</v>
      </c>
      <c r="P382" t="s">
        <v>191</v>
      </c>
      <c r="Q382" s="3">
        <v>0.33333333333333331</v>
      </c>
      <c r="R382" t="b">
        <v>1</v>
      </c>
      <c r="S382" t="s">
        <v>2018</v>
      </c>
    </row>
    <row r="383" spans="1:19" hidden="1" x14ac:dyDescent="0.2">
      <c r="A383">
        <v>381</v>
      </c>
      <c r="B383" t="s">
        <v>1147</v>
      </c>
      <c r="C383" t="s">
        <v>306</v>
      </c>
      <c r="D383">
        <v>91739</v>
      </c>
      <c r="E383">
        <v>12</v>
      </c>
      <c r="F383">
        <v>10043576</v>
      </c>
      <c r="G383" t="s">
        <v>914</v>
      </c>
      <c r="H383" t="s">
        <v>113</v>
      </c>
      <c r="I383" s="3">
        <v>0.25</v>
      </c>
      <c r="J383" t="s">
        <v>113</v>
      </c>
      <c r="K383" s="3">
        <v>0.25</v>
      </c>
      <c r="L383" t="s">
        <v>113</v>
      </c>
      <c r="M383" s="3">
        <v>0.25</v>
      </c>
      <c r="N383" t="s">
        <v>113</v>
      </c>
      <c r="O383" s="3">
        <v>0.25</v>
      </c>
      <c r="P383" t="s">
        <v>113</v>
      </c>
      <c r="Q383" s="3">
        <v>0.25</v>
      </c>
      <c r="R383" t="b">
        <v>1</v>
      </c>
      <c r="S383" t="s">
        <v>2019</v>
      </c>
    </row>
    <row r="384" spans="1:19" hidden="1" x14ac:dyDescent="0.2">
      <c r="A384">
        <v>382</v>
      </c>
      <c r="B384" t="s">
        <v>2020</v>
      </c>
      <c r="C384" t="s">
        <v>2021</v>
      </c>
      <c r="D384">
        <v>91711</v>
      </c>
      <c r="E384">
        <v>0</v>
      </c>
      <c r="F384">
        <v>103693923</v>
      </c>
      <c r="G384" t="s">
        <v>1632</v>
      </c>
      <c r="H384" t="s">
        <v>92</v>
      </c>
      <c r="I384" s="3">
        <v>0.45833333333333331</v>
      </c>
      <c r="J384" t="s">
        <v>92</v>
      </c>
      <c r="K384" s="3">
        <v>0.39583333333333331</v>
      </c>
      <c r="L384" t="s">
        <v>92</v>
      </c>
      <c r="M384" s="3">
        <v>0.39583333333333331</v>
      </c>
      <c r="N384" t="s">
        <v>92</v>
      </c>
      <c r="O384" s="3">
        <v>0.39583333333333331</v>
      </c>
      <c r="P384" t="s">
        <v>92</v>
      </c>
      <c r="Q384" s="3">
        <v>0.39583333333333331</v>
      </c>
      <c r="R384" t="b">
        <v>1</v>
      </c>
      <c r="S384" t="s">
        <v>2022</v>
      </c>
    </row>
    <row r="385" spans="1:19" hidden="1" x14ac:dyDescent="0.2">
      <c r="A385">
        <v>383</v>
      </c>
      <c r="B385" t="s">
        <v>2023</v>
      </c>
      <c r="C385" t="s">
        <v>1833</v>
      </c>
      <c r="D385">
        <v>11215</v>
      </c>
      <c r="E385">
        <v>1</v>
      </c>
      <c r="F385">
        <v>10371644</v>
      </c>
      <c r="G385" t="s">
        <v>1632</v>
      </c>
      <c r="H385" t="s">
        <v>92</v>
      </c>
      <c r="I385" s="3">
        <v>0.66666666666666663</v>
      </c>
      <c r="J385" t="s">
        <v>202</v>
      </c>
      <c r="K385" s="3">
        <v>0.25</v>
      </c>
      <c r="L385" t="s">
        <v>202</v>
      </c>
      <c r="M385" s="3">
        <v>0.25</v>
      </c>
      <c r="N385" t="s">
        <v>202</v>
      </c>
      <c r="O385" s="3">
        <v>0.25</v>
      </c>
      <c r="P385" t="s">
        <v>92</v>
      </c>
      <c r="Q385" s="3">
        <v>0.375</v>
      </c>
      <c r="R385" t="b">
        <v>1</v>
      </c>
      <c r="S385" t="s">
        <v>2024</v>
      </c>
    </row>
    <row r="386" spans="1:19" hidden="1" x14ac:dyDescent="0.2">
      <c r="A386">
        <v>384</v>
      </c>
      <c r="B386" t="s">
        <v>1206</v>
      </c>
      <c r="C386" t="s">
        <v>2025</v>
      </c>
      <c r="D386">
        <v>70001</v>
      </c>
      <c r="E386">
        <v>0.05</v>
      </c>
      <c r="F386">
        <v>10370931</v>
      </c>
      <c r="G386" t="s">
        <v>1632</v>
      </c>
      <c r="H386" t="s">
        <v>202</v>
      </c>
      <c r="I386" s="3">
        <v>0.45833333333333331</v>
      </c>
      <c r="J386" t="s">
        <v>202</v>
      </c>
      <c r="K386" s="3">
        <v>0.45833333333333331</v>
      </c>
      <c r="L386" t="s">
        <v>202</v>
      </c>
      <c r="M386" s="3">
        <v>0.45833333333333331</v>
      </c>
      <c r="N386" t="s">
        <v>92</v>
      </c>
      <c r="O386" s="3">
        <v>0.45833333333333331</v>
      </c>
      <c r="P386" t="s">
        <v>92</v>
      </c>
      <c r="Q386" s="3">
        <v>0.54166666666666663</v>
      </c>
      <c r="R386" t="b">
        <v>0</v>
      </c>
      <c r="S386" t="s">
        <v>2026</v>
      </c>
    </row>
    <row r="387" spans="1:19" hidden="1" x14ac:dyDescent="0.2">
      <c r="A387">
        <v>385</v>
      </c>
      <c r="B387" t="s">
        <v>1051</v>
      </c>
      <c r="C387" t="s">
        <v>675</v>
      </c>
      <c r="D387">
        <v>91763</v>
      </c>
      <c r="E387">
        <v>5</v>
      </c>
      <c r="F387" t="s">
        <v>1052</v>
      </c>
      <c r="G387" t="s">
        <v>914</v>
      </c>
      <c r="H387" t="s">
        <v>103</v>
      </c>
      <c r="I387" s="3">
        <v>0.25</v>
      </c>
      <c r="J387" t="s">
        <v>103</v>
      </c>
      <c r="K387" s="3">
        <v>0.25</v>
      </c>
      <c r="L387" t="s">
        <v>103</v>
      </c>
      <c r="M387" s="3">
        <v>0.25</v>
      </c>
      <c r="N387" t="s">
        <v>103</v>
      </c>
      <c r="O387" s="3">
        <v>0.25</v>
      </c>
      <c r="P387" t="s">
        <v>103</v>
      </c>
      <c r="Q387" s="3">
        <v>0.25</v>
      </c>
      <c r="R387" t="b">
        <v>1</v>
      </c>
      <c r="S387" t="s">
        <v>2027</v>
      </c>
    </row>
    <row r="388" spans="1:19" hidden="1" x14ac:dyDescent="0.2">
      <c r="A388">
        <v>386</v>
      </c>
      <c r="B388" t="s">
        <v>754</v>
      </c>
      <c r="C388" t="s">
        <v>753</v>
      </c>
      <c r="D388">
        <v>91750</v>
      </c>
      <c r="E388">
        <v>7</v>
      </c>
      <c r="F388">
        <v>10362550</v>
      </c>
      <c r="G388" t="s">
        <v>914</v>
      </c>
      <c r="H388" t="s">
        <v>103</v>
      </c>
      <c r="I388" s="3">
        <v>0.33333333333333331</v>
      </c>
      <c r="J388" t="s">
        <v>113</v>
      </c>
      <c r="K388" s="3">
        <v>0.33333333333333331</v>
      </c>
      <c r="L388" t="s">
        <v>113</v>
      </c>
      <c r="M388" s="3">
        <v>0.33333333333333331</v>
      </c>
      <c r="N388" t="s">
        <v>113</v>
      </c>
      <c r="O388" s="3">
        <v>0.33333333333333331</v>
      </c>
      <c r="P388" t="s">
        <v>113</v>
      </c>
      <c r="Q388" s="3">
        <v>0.33333333333333331</v>
      </c>
      <c r="R388" t="b">
        <v>1</v>
      </c>
      <c r="S388" t="s">
        <v>2028</v>
      </c>
    </row>
    <row r="389" spans="1:19" x14ac:dyDescent="0.2">
      <c r="A389">
        <v>387</v>
      </c>
      <c r="B389" t="s">
        <v>2029</v>
      </c>
      <c r="C389" t="s">
        <v>2030</v>
      </c>
      <c r="D389">
        <v>92620</v>
      </c>
      <c r="E389">
        <v>27</v>
      </c>
      <c r="F389">
        <v>100081153</v>
      </c>
      <c r="G389" t="s">
        <v>1495</v>
      </c>
      <c r="H389" t="s">
        <v>199</v>
      </c>
      <c r="I389" s="3">
        <v>0.25</v>
      </c>
      <c r="J389" t="s">
        <v>199</v>
      </c>
      <c r="K389" s="3">
        <v>0.25</v>
      </c>
      <c r="L389" t="s">
        <v>199</v>
      </c>
      <c r="M389" s="3">
        <v>0.25</v>
      </c>
      <c r="N389" t="s">
        <v>199</v>
      </c>
      <c r="O389" s="3">
        <v>0.25</v>
      </c>
      <c r="P389" t="s">
        <v>199</v>
      </c>
      <c r="Q389" s="3">
        <v>0.25</v>
      </c>
      <c r="R389" t="b">
        <v>1</v>
      </c>
      <c r="S389" t="s">
        <v>2031</v>
      </c>
    </row>
    <row r="390" spans="1:19" hidden="1" x14ac:dyDescent="0.2">
      <c r="A390">
        <v>388</v>
      </c>
      <c r="B390" t="s">
        <v>1018</v>
      </c>
      <c r="C390" t="s">
        <v>1321</v>
      </c>
      <c r="D390">
        <v>91607</v>
      </c>
      <c r="E390">
        <v>47</v>
      </c>
      <c r="F390">
        <v>100230941</v>
      </c>
      <c r="G390" t="s">
        <v>914</v>
      </c>
      <c r="H390" t="s">
        <v>103</v>
      </c>
      <c r="I390" s="3">
        <v>0.35416666666666669</v>
      </c>
      <c r="J390" t="s">
        <v>103</v>
      </c>
      <c r="K390" s="3">
        <v>0.35416666666666669</v>
      </c>
      <c r="L390" t="s">
        <v>74</v>
      </c>
      <c r="M390" s="3">
        <v>0.35416666666666669</v>
      </c>
      <c r="N390" t="s">
        <v>103</v>
      </c>
      <c r="O390" s="3">
        <v>0.375</v>
      </c>
      <c r="P390" t="s">
        <v>202</v>
      </c>
      <c r="Q390" s="3">
        <v>0.25</v>
      </c>
      <c r="R390" t="b">
        <v>1</v>
      </c>
      <c r="S390" t="s">
        <v>2032</v>
      </c>
    </row>
    <row r="391" spans="1:19" x14ac:dyDescent="0.2">
      <c r="A391">
        <v>389</v>
      </c>
      <c r="B391" t="s">
        <v>2033</v>
      </c>
      <c r="C391" t="s">
        <v>1376</v>
      </c>
      <c r="D391">
        <v>91711</v>
      </c>
      <c r="E391">
        <v>1</v>
      </c>
      <c r="F391">
        <v>102711961</v>
      </c>
      <c r="G391" t="s">
        <v>1495</v>
      </c>
      <c r="H391" t="s">
        <v>74</v>
      </c>
      <c r="I391" s="3">
        <v>0.3125</v>
      </c>
      <c r="J391" t="s">
        <v>74</v>
      </c>
      <c r="K391" s="3">
        <v>0.3125</v>
      </c>
      <c r="L391" t="s">
        <v>74</v>
      </c>
      <c r="M391" s="3">
        <v>0.3125</v>
      </c>
      <c r="N391" t="s">
        <v>74</v>
      </c>
      <c r="O391" s="3">
        <v>0.3125</v>
      </c>
      <c r="P391" t="s">
        <v>74</v>
      </c>
      <c r="Q391" s="3">
        <v>0.3125</v>
      </c>
      <c r="R391" t="b">
        <v>1</v>
      </c>
      <c r="S391" t="s">
        <v>2034</v>
      </c>
    </row>
    <row r="392" spans="1:19" hidden="1" x14ac:dyDescent="0.2">
      <c r="A392">
        <v>390</v>
      </c>
      <c r="B392" t="s">
        <v>887</v>
      </c>
      <c r="C392" t="s">
        <v>886</v>
      </c>
      <c r="D392">
        <v>91104</v>
      </c>
      <c r="E392">
        <v>27</v>
      </c>
      <c r="F392">
        <v>10353364</v>
      </c>
      <c r="G392" t="s">
        <v>914</v>
      </c>
      <c r="H392" t="s">
        <v>113</v>
      </c>
      <c r="I392" s="3">
        <v>0.33333333333333331</v>
      </c>
      <c r="J392" t="s">
        <v>113</v>
      </c>
      <c r="K392" s="3">
        <v>0.33333333333333331</v>
      </c>
      <c r="L392" t="s">
        <v>113</v>
      </c>
      <c r="M392" s="3">
        <v>0.33333333333333331</v>
      </c>
      <c r="N392" t="s">
        <v>113</v>
      </c>
      <c r="O392" s="3">
        <v>0.33333333333333331</v>
      </c>
      <c r="P392" t="s">
        <v>113</v>
      </c>
      <c r="Q392" s="3">
        <v>0.33333333333333331</v>
      </c>
      <c r="R392" t="b">
        <v>1</v>
      </c>
      <c r="S392" t="s">
        <v>2035</v>
      </c>
    </row>
    <row r="393" spans="1:19" hidden="1" x14ac:dyDescent="0.2">
      <c r="A393">
        <v>391</v>
      </c>
      <c r="B393" t="s">
        <v>968</v>
      </c>
      <c r="C393" t="s">
        <v>2036</v>
      </c>
      <c r="D393">
        <v>91711</v>
      </c>
      <c r="E393">
        <v>0.5</v>
      </c>
      <c r="F393">
        <v>10365104</v>
      </c>
      <c r="G393" t="s">
        <v>1632</v>
      </c>
      <c r="H393" t="s">
        <v>202</v>
      </c>
      <c r="I393" s="3">
        <v>0.45833333333333331</v>
      </c>
      <c r="J393" t="s">
        <v>202</v>
      </c>
      <c r="K393" s="3">
        <v>0.45833333333333331</v>
      </c>
      <c r="L393" t="s">
        <v>92</v>
      </c>
      <c r="M393" s="3">
        <v>0.77083333333333337</v>
      </c>
      <c r="N393" t="s">
        <v>202</v>
      </c>
      <c r="O393" s="3">
        <v>0.45833333333333331</v>
      </c>
      <c r="P393" t="s">
        <v>202</v>
      </c>
      <c r="Q393" s="3">
        <v>0.45833333333333331</v>
      </c>
      <c r="R393" t="b">
        <v>0</v>
      </c>
      <c r="S393" t="s">
        <v>2037</v>
      </c>
    </row>
    <row r="394" spans="1:19" hidden="1" x14ac:dyDescent="0.2">
      <c r="A394">
        <v>392</v>
      </c>
      <c r="B394" t="s">
        <v>925</v>
      </c>
      <c r="C394" t="s">
        <v>200</v>
      </c>
      <c r="D394">
        <v>91711</v>
      </c>
      <c r="E394">
        <v>0.5</v>
      </c>
      <c r="F394" t="s">
        <v>201</v>
      </c>
      <c r="G394" t="s">
        <v>914</v>
      </c>
      <c r="H394" t="s">
        <v>113</v>
      </c>
      <c r="I394" s="3">
        <v>0.29166666666666669</v>
      </c>
      <c r="J394" t="s">
        <v>113</v>
      </c>
      <c r="K394" s="3">
        <v>0.29166666666666669</v>
      </c>
      <c r="L394" t="s">
        <v>113</v>
      </c>
      <c r="M394" s="3">
        <v>0.29166666666666669</v>
      </c>
      <c r="N394" t="s">
        <v>113</v>
      </c>
      <c r="O394" s="3">
        <v>0.29166666666666669</v>
      </c>
      <c r="P394" t="s">
        <v>113</v>
      </c>
      <c r="Q394" s="3">
        <v>0.29166666666666669</v>
      </c>
      <c r="R394" t="b">
        <v>1</v>
      </c>
      <c r="S394" t="s">
        <v>2038</v>
      </c>
    </row>
    <row r="395" spans="1:19" hidden="1" x14ac:dyDescent="0.2">
      <c r="A395">
        <v>393</v>
      </c>
      <c r="B395" t="s">
        <v>462</v>
      </c>
      <c r="C395" t="s">
        <v>358</v>
      </c>
      <c r="D395">
        <v>92570</v>
      </c>
      <c r="E395">
        <v>48</v>
      </c>
      <c r="F395">
        <v>103667961</v>
      </c>
      <c r="G395" t="s">
        <v>914</v>
      </c>
      <c r="H395" t="s">
        <v>113</v>
      </c>
      <c r="I395" s="3">
        <v>0.5</v>
      </c>
      <c r="J395" t="s">
        <v>113</v>
      </c>
      <c r="K395" s="3">
        <v>0.5</v>
      </c>
      <c r="L395" t="s">
        <v>113</v>
      </c>
      <c r="M395" s="3">
        <v>0.5</v>
      </c>
      <c r="N395" t="s">
        <v>113</v>
      </c>
      <c r="O395" s="3">
        <v>0.5</v>
      </c>
      <c r="P395" t="s">
        <v>113</v>
      </c>
      <c r="Q395" s="3">
        <v>0.5</v>
      </c>
      <c r="R395" t="b">
        <v>0</v>
      </c>
      <c r="S395" t="s">
        <v>2039</v>
      </c>
    </row>
    <row r="396" spans="1:19" hidden="1" x14ac:dyDescent="0.2">
      <c r="A396">
        <v>394</v>
      </c>
      <c r="B396" t="s">
        <v>1053</v>
      </c>
      <c r="C396" t="s">
        <v>1054</v>
      </c>
      <c r="D396">
        <v>91786</v>
      </c>
      <c r="E396">
        <v>5</v>
      </c>
      <c r="F396">
        <v>10366717</v>
      </c>
      <c r="G396" t="s">
        <v>914</v>
      </c>
      <c r="H396" t="s">
        <v>113</v>
      </c>
      <c r="I396" s="3">
        <v>0.54166666666666663</v>
      </c>
      <c r="J396" t="s">
        <v>113</v>
      </c>
      <c r="K396" s="3">
        <v>0.54166666666666663</v>
      </c>
      <c r="L396" t="s">
        <v>113</v>
      </c>
      <c r="M396" s="3">
        <v>0.54166666666666663</v>
      </c>
      <c r="N396" t="s">
        <v>113</v>
      </c>
      <c r="O396" s="3">
        <v>0.54166666666666663</v>
      </c>
      <c r="P396" t="s">
        <v>113</v>
      </c>
      <c r="Q396" s="3">
        <v>0.54166666666666663</v>
      </c>
      <c r="R396" t="b">
        <v>0</v>
      </c>
      <c r="S396" t="s">
        <v>2040</v>
      </c>
    </row>
    <row r="397" spans="1:19" hidden="1" x14ac:dyDescent="0.2">
      <c r="A397">
        <v>395</v>
      </c>
      <c r="B397" t="s">
        <v>462</v>
      </c>
      <c r="C397" t="s">
        <v>558</v>
      </c>
      <c r="D397">
        <v>91763</v>
      </c>
      <c r="E397">
        <v>3</v>
      </c>
      <c r="F397">
        <v>10366670</v>
      </c>
      <c r="G397" t="s">
        <v>914</v>
      </c>
      <c r="H397" t="s">
        <v>933</v>
      </c>
      <c r="I397" s="3">
        <v>0.47916666666666669</v>
      </c>
      <c r="J397" t="s">
        <v>933</v>
      </c>
      <c r="K397" s="3">
        <v>0.47916666666666669</v>
      </c>
      <c r="L397" t="s">
        <v>933</v>
      </c>
      <c r="M397" s="3">
        <v>0.47916666666666669</v>
      </c>
      <c r="N397" t="s">
        <v>933</v>
      </c>
      <c r="O397" s="3">
        <v>0.47916666666666669</v>
      </c>
      <c r="P397" t="s">
        <v>933</v>
      </c>
      <c r="Q397" s="3">
        <v>0.47916666666666669</v>
      </c>
      <c r="R397" t="b">
        <v>0</v>
      </c>
      <c r="S397" t="s">
        <v>2041</v>
      </c>
    </row>
    <row r="398" spans="1:19" hidden="1" x14ac:dyDescent="0.2">
      <c r="A398">
        <v>396</v>
      </c>
      <c r="B398" t="s">
        <v>998</v>
      </c>
      <c r="C398" t="s">
        <v>558</v>
      </c>
      <c r="D398">
        <v>91763</v>
      </c>
      <c r="E398">
        <v>3</v>
      </c>
      <c r="F398">
        <v>10373435</v>
      </c>
      <c r="G398" t="s">
        <v>914</v>
      </c>
      <c r="H398" t="s">
        <v>933</v>
      </c>
      <c r="I398" s="3">
        <v>0.47916666666666669</v>
      </c>
      <c r="J398" t="s">
        <v>933</v>
      </c>
      <c r="K398" s="3">
        <v>0.47916666666666669</v>
      </c>
      <c r="L398" t="s">
        <v>933</v>
      </c>
      <c r="M398" s="3">
        <v>0.47916666666666669</v>
      </c>
      <c r="N398" t="s">
        <v>933</v>
      </c>
      <c r="O398" s="3">
        <v>0.47916666666666669</v>
      </c>
      <c r="P398" t="s">
        <v>933</v>
      </c>
      <c r="Q398" s="3">
        <v>0.47916666666666669</v>
      </c>
      <c r="R398" t="b">
        <v>0</v>
      </c>
      <c r="S398" t="s">
        <v>2042</v>
      </c>
    </row>
    <row r="399" spans="1:19" hidden="1" x14ac:dyDescent="0.2">
      <c r="A399">
        <v>397</v>
      </c>
      <c r="B399" t="s">
        <v>999</v>
      </c>
      <c r="C399" t="s">
        <v>1000</v>
      </c>
      <c r="D399">
        <v>91763</v>
      </c>
      <c r="E399">
        <v>3</v>
      </c>
      <c r="F399">
        <v>10043611</v>
      </c>
      <c r="G399" t="s">
        <v>914</v>
      </c>
      <c r="H399" t="s">
        <v>113</v>
      </c>
      <c r="I399" s="3">
        <v>0.47916666666666669</v>
      </c>
      <c r="J399" t="s">
        <v>113</v>
      </c>
      <c r="K399" s="3">
        <v>0.47916666666666669</v>
      </c>
      <c r="L399" t="s">
        <v>113</v>
      </c>
      <c r="M399" s="3">
        <v>0.47916666666666669</v>
      </c>
      <c r="N399" t="s">
        <v>113</v>
      </c>
      <c r="O399" s="3">
        <v>0.25</v>
      </c>
      <c r="P399" t="s">
        <v>113</v>
      </c>
      <c r="Q399" s="3">
        <v>0.25</v>
      </c>
      <c r="R399" t="b">
        <v>1</v>
      </c>
      <c r="S399" t="s">
        <v>2043</v>
      </c>
    </row>
    <row r="400" spans="1:19" hidden="1" x14ac:dyDescent="0.2">
      <c r="A400">
        <v>398</v>
      </c>
      <c r="B400" t="s">
        <v>1231</v>
      </c>
      <c r="C400" t="s">
        <v>1232</v>
      </c>
      <c r="D400">
        <v>92377</v>
      </c>
      <c r="E400">
        <v>21</v>
      </c>
      <c r="F400">
        <v>10357060</v>
      </c>
      <c r="G400" t="s">
        <v>914</v>
      </c>
      <c r="H400" t="s">
        <v>113</v>
      </c>
      <c r="I400" s="3">
        <v>0.25</v>
      </c>
      <c r="J400" t="s">
        <v>113</v>
      </c>
      <c r="K400" s="3">
        <v>0.47916666666666669</v>
      </c>
      <c r="L400" t="s">
        <v>113</v>
      </c>
      <c r="M400" s="3">
        <v>0.47916666666666669</v>
      </c>
      <c r="N400" t="s">
        <v>113</v>
      </c>
      <c r="O400" s="3">
        <v>0.375</v>
      </c>
      <c r="P400" t="s">
        <v>113</v>
      </c>
      <c r="Q400" s="3">
        <v>0.25</v>
      </c>
      <c r="R400" t="b">
        <v>1</v>
      </c>
      <c r="S400" t="s">
        <v>2044</v>
      </c>
    </row>
    <row r="401" spans="1:19" hidden="1" x14ac:dyDescent="0.2">
      <c r="A401">
        <v>399</v>
      </c>
      <c r="B401" t="s">
        <v>465</v>
      </c>
      <c r="C401" t="s">
        <v>1148</v>
      </c>
      <c r="D401">
        <v>91709</v>
      </c>
      <c r="E401">
        <v>12</v>
      </c>
      <c r="F401">
        <v>10318478</v>
      </c>
      <c r="G401" t="s">
        <v>914</v>
      </c>
      <c r="H401" t="s">
        <v>113</v>
      </c>
      <c r="I401" s="3">
        <v>0.25</v>
      </c>
      <c r="J401" t="s">
        <v>113</v>
      </c>
      <c r="K401" s="3">
        <v>0.25</v>
      </c>
      <c r="L401" t="s">
        <v>113</v>
      </c>
      <c r="M401" s="3">
        <v>0.25</v>
      </c>
      <c r="N401" t="s">
        <v>113</v>
      </c>
      <c r="O401" s="3">
        <v>0.25</v>
      </c>
      <c r="P401" t="s">
        <v>113</v>
      </c>
      <c r="Q401" s="3">
        <v>0.25</v>
      </c>
      <c r="R401" t="b">
        <v>1</v>
      </c>
      <c r="S401" t="s">
        <v>2045</v>
      </c>
    </row>
    <row r="402" spans="1:19" x14ac:dyDescent="0.2">
      <c r="A402">
        <v>400</v>
      </c>
      <c r="B402" t="s">
        <v>2046</v>
      </c>
      <c r="C402" t="s">
        <v>2047</v>
      </c>
      <c r="D402">
        <v>91711</v>
      </c>
      <c r="E402">
        <v>1</v>
      </c>
      <c r="F402">
        <v>10257490</v>
      </c>
      <c r="G402" t="s">
        <v>1495</v>
      </c>
      <c r="H402" t="s">
        <v>98</v>
      </c>
      <c r="I402" s="3">
        <v>0.33333333333333331</v>
      </c>
      <c r="J402" t="s">
        <v>113</v>
      </c>
      <c r="K402" s="3">
        <v>0.33333333333333331</v>
      </c>
      <c r="L402" t="s">
        <v>98</v>
      </c>
      <c r="M402" s="3">
        <v>0.33333333333333331</v>
      </c>
      <c r="N402" t="s">
        <v>113</v>
      </c>
      <c r="O402" s="3">
        <v>0.33333333333333331</v>
      </c>
      <c r="P402" t="s">
        <v>98</v>
      </c>
      <c r="Q402" s="3">
        <v>0.33333333333333331</v>
      </c>
      <c r="R402" t="b">
        <v>1</v>
      </c>
      <c r="S402" t="s">
        <v>2048</v>
      </c>
    </row>
    <row r="403" spans="1:19" hidden="1" x14ac:dyDescent="0.2">
      <c r="A403">
        <v>401</v>
      </c>
      <c r="B403" t="s">
        <v>1162</v>
      </c>
      <c r="C403" t="s">
        <v>735</v>
      </c>
      <c r="D403">
        <v>92405</v>
      </c>
      <c r="E403">
        <v>26</v>
      </c>
      <c r="F403">
        <v>100043616</v>
      </c>
      <c r="G403" t="s">
        <v>914</v>
      </c>
      <c r="H403" t="s">
        <v>113</v>
      </c>
      <c r="I403" s="3">
        <v>0.25</v>
      </c>
      <c r="J403" t="s">
        <v>113</v>
      </c>
      <c r="K403" s="3">
        <v>0.25</v>
      </c>
      <c r="L403" t="s">
        <v>113</v>
      </c>
      <c r="M403" s="3">
        <v>0.25</v>
      </c>
      <c r="N403" t="s">
        <v>113</v>
      </c>
      <c r="O403" s="3">
        <v>0.25</v>
      </c>
      <c r="P403" t="s">
        <v>113</v>
      </c>
      <c r="Q403" s="3">
        <v>0.25</v>
      </c>
      <c r="R403" t="b">
        <v>1</v>
      </c>
      <c r="S403" t="s">
        <v>2049</v>
      </c>
    </row>
    <row r="404" spans="1:19" hidden="1" x14ac:dyDescent="0.2">
      <c r="A404">
        <v>402</v>
      </c>
      <c r="B404" t="s">
        <v>356</v>
      </c>
      <c r="C404" t="s">
        <v>558</v>
      </c>
      <c r="D404">
        <v>94210</v>
      </c>
      <c r="E404">
        <v>30</v>
      </c>
      <c r="F404">
        <v>10373647</v>
      </c>
      <c r="G404" t="s">
        <v>914</v>
      </c>
      <c r="H404" t="s">
        <v>113</v>
      </c>
      <c r="I404" s="3">
        <v>0.47916666666666669</v>
      </c>
      <c r="J404" t="s">
        <v>113</v>
      </c>
      <c r="K404" s="3">
        <v>0.47916666666666669</v>
      </c>
      <c r="L404" t="s">
        <v>113</v>
      </c>
      <c r="M404" s="3">
        <v>0.47916666666666669</v>
      </c>
      <c r="N404" t="s">
        <v>113</v>
      </c>
      <c r="O404" s="3">
        <v>0.25</v>
      </c>
      <c r="P404" t="s">
        <v>113</v>
      </c>
      <c r="Q404" s="3">
        <v>0.25</v>
      </c>
      <c r="R404" t="b">
        <v>1</v>
      </c>
      <c r="S404" t="s">
        <v>2050</v>
      </c>
    </row>
    <row r="405" spans="1:19" hidden="1" x14ac:dyDescent="0.2">
      <c r="A405">
        <v>403</v>
      </c>
      <c r="B405" t="s">
        <v>1001</v>
      </c>
      <c r="C405" t="s">
        <v>1002</v>
      </c>
      <c r="D405">
        <v>91786</v>
      </c>
      <c r="E405">
        <v>3</v>
      </c>
      <c r="F405">
        <v>103611295</v>
      </c>
      <c r="G405" t="s">
        <v>914</v>
      </c>
      <c r="H405" t="s">
        <v>113</v>
      </c>
      <c r="I405" s="3">
        <v>0.47916666666666669</v>
      </c>
      <c r="J405" t="s">
        <v>113</v>
      </c>
      <c r="K405" s="3">
        <v>0.47916666666666669</v>
      </c>
      <c r="L405" t="s">
        <v>113</v>
      </c>
      <c r="M405" s="3">
        <v>0.25</v>
      </c>
      <c r="N405" t="s">
        <v>113</v>
      </c>
      <c r="O405" s="3">
        <v>0.25</v>
      </c>
      <c r="P405" t="s">
        <v>113</v>
      </c>
      <c r="Q405" s="3">
        <v>0.25</v>
      </c>
      <c r="R405" t="b">
        <v>1</v>
      </c>
      <c r="S405" t="s">
        <v>2051</v>
      </c>
    </row>
    <row r="406" spans="1:19" hidden="1" x14ac:dyDescent="0.2">
      <c r="A406">
        <v>404</v>
      </c>
      <c r="B406" t="s">
        <v>1320</v>
      </c>
      <c r="C406" t="s">
        <v>336</v>
      </c>
      <c r="D406">
        <v>90631</v>
      </c>
      <c r="E406">
        <v>45</v>
      </c>
      <c r="F406">
        <v>10370772</v>
      </c>
      <c r="G406" t="s">
        <v>914</v>
      </c>
      <c r="H406" t="s">
        <v>113</v>
      </c>
      <c r="I406" s="3">
        <v>0.4375</v>
      </c>
      <c r="J406" t="s">
        <v>113</v>
      </c>
      <c r="K406" s="3">
        <v>0.4375</v>
      </c>
      <c r="L406" t="s">
        <v>113</v>
      </c>
      <c r="M406" s="3">
        <v>0.4375</v>
      </c>
      <c r="N406" t="s">
        <v>113</v>
      </c>
      <c r="O406" s="3">
        <v>0.4375</v>
      </c>
      <c r="P406" t="s">
        <v>113</v>
      </c>
      <c r="Q406" s="3">
        <v>0.4375</v>
      </c>
      <c r="R406" t="b">
        <v>0</v>
      </c>
      <c r="S406" t="s">
        <v>2052</v>
      </c>
    </row>
    <row r="407" spans="1:19" hidden="1" x14ac:dyDescent="0.2">
      <c r="A407">
        <v>405</v>
      </c>
      <c r="B407" t="s">
        <v>1025</v>
      </c>
      <c r="C407" t="s">
        <v>1026</v>
      </c>
      <c r="D407">
        <v>91768</v>
      </c>
      <c r="E407">
        <v>4</v>
      </c>
      <c r="F407">
        <v>10366750</v>
      </c>
      <c r="G407" t="s">
        <v>914</v>
      </c>
      <c r="H407" t="s">
        <v>113</v>
      </c>
      <c r="I407" s="3">
        <v>0.47916666666666669</v>
      </c>
      <c r="J407" t="s">
        <v>113</v>
      </c>
      <c r="K407" s="3">
        <v>0.47916666666666669</v>
      </c>
      <c r="L407" t="s">
        <v>113</v>
      </c>
      <c r="M407" s="3">
        <v>0.47916666666666669</v>
      </c>
      <c r="N407" t="s">
        <v>113</v>
      </c>
      <c r="O407" s="3">
        <v>0.47916666666666669</v>
      </c>
      <c r="P407" t="s">
        <v>113</v>
      </c>
      <c r="Q407" s="3">
        <v>0.47916666666666669</v>
      </c>
      <c r="R407" t="b">
        <v>0</v>
      </c>
      <c r="S407" t="s">
        <v>2053</v>
      </c>
    </row>
    <row r="408" spans="1:19" hidden="1" x14ac:dyDescent="0.2">
      <c r="A408">
        <v>406</v>
      </c>
      <c r="B408" t="s">
        <v>963</v>
      </c>
      <c r="C408" t="s">
        <v>964</v>
      </c>
      <c r="D408">
        <v>91711</v>
      </c>
      <c r="E408">
        <v>2</v>
      </c>
      <c r="F408">
        <v>10368863</v>
      </c>
      <c r="G408" t="s">
        <v>914</v>
      </c>
      <c r="H408" t="s">
        <v>108</v>
      </c>
      <c r="I408" s="3">
        <v>0.54166666666666663</v>
      </c>
      <c r="J408" t="s">
        <v>108</v>
      </c>
      <c r="K408" s="3">
        <v>0.54166666666666663</v>
      </c>
      <c r="L408" t="s">
        <v>202</v>
      </c>
      <c r="M408" s="3">
        <v>0.45833333333333331</v>
      </c>
      <c r="N408" t="s">
        <v>202</v>
      </c>
      <c r="O408" s="3">
        <v>0.45833333333333331</v>
      </c>
      <c r="P408" t="s">
        <v>108</v>
      </c>
      <c r="Q408" s="3">
        <v>0.54166666666666663</v>
      </c>
      <c r="R408" t="b">
        <v>0</v>
      </c>
      <c r="S408" t="s">
        <v>2054</v>
      </c>
    </row>
    <row r="409" spans="1:19" x14ac:dyDescent="0.2">
      <c r="A409">
        <v>407</v>
      </c>
      <c r="B409" t="s">
        <v>2055</v>
      </c>
      <c r="C409" t="s">
        <v>2056</v>
      </c>
      <c r="D409">
        <v>91711</v>
      </c>
      <c r="E409">
        <v>1</v>
      </c>
      <c r="F409">
        <v>103666441</v>
      </c>
      <c r="G409" t="s">
        <v>1495</v>
      </c>
      <c r="H409" t="s">
        <v>92</v>
      </c>
      <c r="I409" s="3">
        <v>0.41666666666666669</v>
      </c>
      <c r="J409" t="s">
        <v>92</v>
      </c>
      <c r="K409" s="3">
        <v>0.41666666666666669</v>
      </c>
      <c r="L409" t="s">
        <v>92</v>
      </c>
      <c r="M409" s="3">
        <v>0.41666666666666669</v>
      </c>
      <c r="N409" t="s">
        <v>92</v>
      </c>
      <c r="O409" s="3">
        <v>0.41666666666666669</v>
      </c>
      <c r="P409" t="s">
        <v>92</v>
      </c>
      <c r="Q409" s="3">
        <v>0.41666666666666669</v>
      </c>
      <c r="R409" t="b">
        <v>1</v>
      </c>
      <c r="S409" t="s">
        <v>2057</v>
      </c>
    </row>
    <row r="410" spans="1:19" hidden="1" x14ac:dyDescent="0.2">
      <c r="A410">
        <v>408</v>
      </c>
      <c r="B410" t="s">
        <v>1185</v>
      </c>
      <c r="C410" t="s">
        <v>1186</v>
      </c>
      <c r="D410">
        <v>91762</v>
      </c>
      <c r="E410">
        <v>15</v>
      </c>
      <c r="F410">
        <v>100563</v>
      </c>
      <c r="G410" t="s">
        <v>914</v>
      </c>
      <c r="H410" t="s">
        <v>113</v>
      </c>
      <c r="I410" s="3">
        <v>0.54166666666666663</v>
      </c>
      <c r="J410" t="s">
        <v>113</v>
      </c>
      <c r="K410" s="3">
        <v>0.54166666666666663</v>
      </c>
      <c r="L410" t="s">
        <v>113</v>
      </c>
      <c r="M410" s="3">
        <v>0.54166666666666663</v>
      </c>
      <c r="N410" t="s">
        <v>113</v>
      </c>
      <c r="O410" s="3">
        <v>0.54166666666666663</v>
      </c>
      <c r="P410" t="s">
        <v>113</v>
      </c>
      <c r="Q410" s="3">
        <v>0.54166666666666663</v>
      </c>
      <c r="R410" t="b">
        <v>0</v>
      </c>
      <c r="S410" t="s">
        <v>2058</v>
      </c>
    </row>
    <row r="411" spans="1:19" hidden="1" x14ac:dyDescent="0.2">
      <c r="A411">
        <v>409</v>
      </c>
      <c r="B411" t="s">
        <v>1031</v>
      </c>
      <c r="C411" t="s">
        <v>1032</v>
      </c>
      <c r="D411">
        <v>91768</v>
      </c>
      <c r="E411">
        <v>4.2</v>
      </c>
      <c r="F411">
        <v>117889</v>
      </c>
      <c r="G411" t="s">
        <v>914</v>
      </c>
      <c r="H411" t="s">
        <v>113</v>
      </c>
      <c r="I411" s="3">
        <v>0.33333333333333331</v>
      </c>
      <c r="J411" t="s">
        <v>113</v>
      </c>
      <c r="K411" s="3">
        <v>0.33333333333333331</v>
      </c>
      <c r="L411" t="s">
        <v>113</v>
      </c>
      <c r="M411" s="3">
        <v>0.33333333333333331</v>
      </c>
      <c r="N411" t="s">
        <v>113</v>
      </c>
      <c r="O411" s="3">
        <v>0.33333333333333331</v>
      </c>
      <c r="P411" t="s">
        <v>113</v>
      </c>
      <c r="Q411" s="3">
        <v>0.33333333333333331</v>
      </c>
      <c r="R411" t="b">
        <v>1</v>
      </c>
      <c r="S411" t="s">
        <v>2059</v>
      </c>
    </row>
    <row r="412" spans="1:19" hidden="1" x14ac:dyDescent="0.2">
      <c r="A412">
        <v>410</v>
      </c>
      <c r="B412" t="s">
        <v>966</v>
      </c>
      <c r="C412" t="s">
        <v>2060</v>
      </c>
      <c r="D412">
        <v>90275</v>
      </c>
      <c r="E412">
        <v>0</v>
      </c>
      <c r="F412">
        <v>10362879</v>
      </c>
      <c r="G412" t="s">
        <v>1632</v>
      </c>
      <c r="H412" t="s">
        <v>92</v>
      </c>
      <c r="I412" s="3">
        <v>0.79166666666666663</v>
      </c>
      <c r="J412" t="s">
        <v>202</v>
      </c>
      <c r="K412" s="3">
        <v>0.45833333333333331</v>
      </c>
      <c r="L412" t="s">
        <v>202</v>
      </c>
      <c r="M412" s="3">
        <v>0.45833333333333331</v>
      </c>
      <c r="N412" t="s">
        <v>202</v>
      </c>
      <c r="O412" s="3">
        <v>0.45833333333333331</v>
      </c>
      <c r="P412" t="s">
        <v>202</v>
      </c>
      <c r="Q412" s="3">
        <v>0.45833333333333331</v>
      </c>
      <c r="R412" t="b">
        <v>0</v>
      </c>
      <c r="S412" t="s">
        <v>2061</v>
      </c>
    </row>
    <row r="413" spans="1:19" hidden="1" x14ac:dyDescent="0.2">
      <c r="A413">
        <v>411</v>
      </c>
      <c r="B413" t="s">
        <v>2062</v>
      </c>
      <c r="C413" t="s">
        <v>2063</v>
      </c>
      <c r="D413">
        <v>33157</v>
      </c>
      <c r="E413">
        <v>0.4</v>
      </c>
      <c r="F413">
        <v>10371116</v>
      </c>
      <c r="G413" t="s">
        <v>1632</v>
      </c>
      <c r="H413" t="s">
        <v>92</v>
      </c>
      <c r="I413" s="3">
        <v>0.33333333333333331</v>
      </c>
      <c r="J413" t="s">
        <v>202</v>
      </c>
      <c r="K413" s="3">
        <v>0.25</v>
      </c>
      <c r="L413" t="s">
        <v>92</v>
      </c>
      <c r="M413" s="3">
        <v>0.33333333333333331</v>
      </c>
      <c r="N413" t="s">
        <v>202</v>
      </c>
      <c r="O413" s="3">
        <v>0.25</v>
      </c>
      <c r="P413" t="s">
        <v>195</v>
      </c>
      <c r="Q413" s="3">
        <v>0.33333333333333331</v>
      </c>
      <c r="R413" t="b">
        <v>1</v>
      </c>
      <c r="S413" t="s">
        <v>2064</v>
      </c>
    </row>
    <row r="414" spans="1:19" hidden="1" x14ac:dyDescent="0.2">
      <c r="A414">
        <v>412</v>
      </c>
      <c r="B414" t="s">
        <v>2065</v>
      </c>
      <c r="C414" t="s">
        <v>2066</v>
      </c>
      <c r="D414">
        <v>91711</v>
      </c>
      <c r="E414">
        <v>0</v>
      </c>
      <c r="F414">
        <v>103726801</v>
      </c>
      <c r="G414" t="s">
        <v>1632</v>
      </c>
      <c r="H414" t="s">
        <v>202</v>
      </c>
      <c r="I414" s="3">
        <v>0.45833333333333331</v>
      </c>
      <c r="J414" t="s">
        <v>202</v>
      </c>
      <c r="K414" s="3">
        <v>0.45833333333333331</v>
      </c>
      <c r="L414" t="s">
        <v>92</v>
      </c>
      <c r="M414" s="3">
        <v>0.625</v>
      </c>
      <c r="N414" t="s">
        <v>92</v>
      </c>
      <c r="O414" s="3">
        <v>0.625</v>
      </c>
      <c r="P414" t="s">
        <v>92</v>
      </c>
      <c r="Q414" s="3">
        <v>0.625</v>
      </c>
      <c r="R414" t="b">
        <v>0</v>
      </c>
      <c r="S414" t="s">
        <v>2067</v>
      </c>
    </row>
    <row r="415" spans="1:19" hidden="1" x14ac:dyDescent="0.2">
      <c r="A415">
        <v>413</v>
      </c>
      <c r="B415" t="s">
        <v>965</v>
      </c>
      <c r="C415" t="s">
        <v>642</v>
      </c>
      <c r="D415">
        <v>91786</v>
      </c>
      <c r="E415">
        <v>2</v>
      </c>
      <c r="F415">
        <v>10043601</v>
      </c>
      <c r="G415" t="s">
        <v>914</v>
      </c>
      <c r="H415" t="s">
        <v>113</v>
      </c>
      <c r="I415" s="3">
        <v>0.22916666666666666</v>
      </c>
      <c r="J415" t="s">
        <v>113</v>
      </c>
      <c r="K415" s="3">
        <v>0.22916666666666666</v>
      </c>
      <c r="L415" t="s">
        <v>113</v>
      </c>
      <c r="M415" s="3">
        <v>0.22916666666666666</v>
      </c>
      <c r="N415" t="s">
        <v>113</v>
      </c>
      <c r="O415" s="3">
        <v>0.22916666666666666</v>
      </c>
      <c r="P415" t="s">
        <v>113</v>
      </c>
      <c r="Q415" s="3">
        <v>0.22916666666666666</v>
      </c>
      <c r="R415" t="b">
        <v>0</v>
      </c>
      <c r="S415" t="s">
        <v>2068</v>
      </c>
    </row>
    <row r="416" spans="1:19" x14ac:dyDescent="0.2">
      <c r="A416">
        <v>414</v>
      </c>
      <c r="B416" t="s">
        <v>2069</v>
      </c>
      <c r="C416" t="s">
        <v>1027</v>
      </c>
      <c r="D416">
        <v>91711</v>
      </c>
      <c r="E416">
        <v>0.2</v>
      </c>
      <c r="F416">
        <v>101751431</v>
      </c>
      <c r="G416" t="s">
        <v>1495</v>
      </c>
      <c r="H416" t="s">
        <v>92</v>
      </c>
      <c r="I416" s="3">
        <v>0.375</v>
      </c>
      <c r="J416" t="s">
        <v>92</v>
      </c>
      <c r="K416" s="3">
        <v>0.35416666666666669</v>
      </c>
      <c r="L416" t="s">
        <v>92</v>
      </c>
      <c r="M416" s="3">
        <v>0.375</v>
      </c>
      <c r="N416" t="s">
        <v>92</v>
      </c>
      <c r="O416" s="3">
        <v>0.41666666666666669</v>
      </c>
      <c r="P416" t="s">
        <v>92</v>
      </c>
      <c r="Q416" s="3">
        <v>0.375</v>
      </c>
      <c r="R416" t="b">
        <v>1</v>
      </c>
      <c r="S416" t="s">
        <v>2070</v>
      </c>
    </row>
    <row r="417" spans="1:19" hidden="1" x14ac:dyDescent="0.2">
      <c r="A417">
        <v>415</v>
      </c>
      <c r="B417" t="s">
        <v>1075</v>
      </c>
      <c r="C417" t="s">
        <v>1076</v>
      </c>
      <c r="D417">
        <v>91750</v>
      </c>
      <c r="E417">
        <v>7</v>
      </c>
      <c r="F417">
        <v>10279896</v>
      </c>
      <c r="G417" t="s">
        <v>914</v>
      </c>
      <c r="H417" t="s">
        <v>1016</v>
      </c>
      <c r="I417" s="3">
        <v>0.33333333333333331</v>
      </c>
      <c r="J417" t="s">
        <v>1016</v>
      </c>
      <c r="K417" s="3">
        <v>0.33333333333333331</v>
      </c>
      <c r="L417" t="s">
        <v>1016</v>
      </c>
      <c r="M417" s="3">
        <v>0.33333333333333331</v>
      </c>
      <c r="N417" t="s">
        <v>1016</v>
      </c>
      <c r="O417" s="3">
        <v>0.33333333333333331</v>
      </c>
      <c r="P417" t="s">
        <v>1016</v>
      </c>
      <c r="Q417" s="3">
        <v>0.33333333333333331</v>
      </c>
      <c r="R417" t="b">
        <v>1</v>
      </c>
      <c r="S417" t="s">
        <v>2071</v>
      </c>
    </row>
    <row r="418" spans="1:19" hidden="1" x14ac:dyDescent="0.2">
      <c r="A418">
        <v>416</v>
      </c>
      <c r="B418" t="s">
        <v>1283</v>
      </c>
      <c r="C418" t="s">
        <v>601</v>
      </c>
      <c r="D418">
        <v>90247</v>
      </c>
      <c r="E418">
        <v>30</v>
      </c>
      <c r="F418">
        <v>10361238</v>
      </c>
      <c r="G418" t="s">
        <v>914</v>
      </c>
      <c r="H418" t="s">
        <v>113</v>
      </c>
      <c r="I418" s="3">
        <v>0.25</v>
      </c>
      <c r="J418" t="s">
        <v>113</v>
      </c>
      <c r="K418" s="3">
        <v>0.25</v>
      </c>
      <c r="L418" t="s">
        <v>113</v>
      </c>
      <c r="M418" s="3">
        <v>0.25</v>
      </c>
      <c r="N418" t="s">
        <v>113</v>
      </c>
      <c r="O418" s="3">
        <v>0.25</v>
      </c>
      <c r="P418" t="s">
        <v>113</v>
      </c>
      <c r="Q418" s="3">
        <v>0.25</v>
      </c>
      <c r="R418" t="b">
        <v>1</v>
      </c>
      <c r="S418" t="s">
        <v>2072</v>
      </c>
    </row>
    <row r="419" spans="1:19" x14ac:dyDescent="0.2">
      <c r="A419">
        <v>417</v>
      </c>
      <c r="B419" t="s">
        <v>243</v>
      </c>
      <c r="C419" t="s">
        <v>2073</v>
      </c>
      <c r="D419">
        <v>91711</v>
      </c>
      <c r="E419">
        <v>3</v>
      </c>
      <c r="F419">
        <v>10353349</v>
      </c>
      <c r="G419" t="s">
        <v>1495</v>
      </c>
      <c r="H419" t="s">
        <v>103</v>
      </c>
      <c r="I419" s="3">
        <v>0.35416666666666669</v>
      </c>
      <c r="J419" t="s">
        <v>74</v>
      </c>
      <c r="K419" s="3">
        <v>0.35416666666666669</v>
      </c>
      <c r="L419" t="s">
        <v>103</v>
      </c>
      <c r="M419" s="3">
        <v>0.35416666666666669</v>
      </c>
      <c r="N419" t="s">
        <v>74</v>
      </c>
      <c r="O419" s="3">
        <v>0.35416666666666669</v>
      </c>
      <c r="P419" t="s">
        <v>103</v>
      </c>
      <c r="Q419" s="3">
        <v>0.35416666666666669</v>
      </c>
      <c r="R419" t="b">
        <v>1</v>
      </c>
      <c r="S419" t="s">
        <v>2074</v>
      </c>
    </row>
    <row r="420" spans="1:19" hidden="1" x14ac:dyDescent="0.2">
      <c r="A420">
        <v>418</v>
      </c>
      <c r="B420" t="s">
        <v>1237</v>
      </c>
      <c r="C420" t="s">
        <v>1238</v>
      </c>
      <c r="D420">
        <v>92335</v>
      </c>
      <c r="E420">
        <v>22</v>
      </c>
      <c r="F420">
        <v>10043613</v>
      </c>
      <c r="G420" t="s">
        <v>914</v>
      </c>
      <c r="H420" t="s">
        <v>113</v>
      </c>
      <c r="I420" s="3">
        <v>0.25</v>
      </c>
      <c r="J420" t="s">
        <v>113</v>
      </c>
      <c r="K420" s="3">
        <v>0.25</v>
      </c>
      <c r="L420" t="s">
        <v>113</v>
      </c>
      <c r="M420" s="3">
        <v>0.25</v>
      </c>
      <c r="N420" t="s">
        <v>113</v>
      </c>
      <c r="O420" s="3">
        <v>0.25</v>
      </c>
      <c r="P420" t="s">
        <v>113</v>
      </c>
      <c r="Q420" s="3">
        <v>0.25</v>
      </c>
      <c r="R420" t="b">
        <v>1</v>
      </c>
      <c r="S420" t="s">
        <v>2075</v>
      </c>
    </row>
    <row r="421" spans="1:19" hidden="1" x14ac:dyDescent="0.2">
      <c r="A421">
        <v>419</v>
      </c>
      <c r="B421" t="s">
        <v>1284</v>
      </c>
      <c r="C421" t="s">
        <v>218</v>
      </c>
      <c r="D421">
        <v>90606</v>
      </c>
      <c r="E421">
        <v>30</v>
      </c>
      <c r="F421">
        <v>10278358</v>
      </c>
      <c r="G421" t="s">
        <v>914</v>
      </c>
      <c r="H421" t="s">
        <v>113</v>
      </c>
      <c r="I421" s="3">
        <v>0.20833333333333334</v>
      </c>
      <c r="J421" t="s">
        <v>113</v>
      </c>
      <c r="K421" s="3">
        <v>0.20833333333333334</v>
      </c>
      <c r="L421" t="s">
        <v>113</v>
      </c>
      <c r="M421" s="3">
        <v>0.20833333333333334</v>
      </c>
      <c r="N421" t="s">
        <v>113</v>
      </c>
      <c r="O421" s="3">
        <v>0.20833333333333334</v>
      </c>
      <c r="P421" t="s">
        <v>113</v>
      </c>
      <c r="Q421" s="3">
        <v>0.20833333333333334</v>
      </c>
      <c r="R421" t="b">
        <v>0</v>
      </c>
      <c r="S421" t="s">
        <v>2076</v>
      </c>
    </row>
    <row r="422" spans="1:19" hidden="1" x14ac:dyDescent="0.2">
      <c r="A422">
        <v>420</v>
      </c>
      <c r="B422" t="s">
        <v>1102</v>
      </c>
      <c r="C422" t="s">
        <v>1103</v>
      </c>
      <c r="D422">
        <v>91764</v>
      </c>
      <c r="E422">
        <v>8</v>
      </c>
      <c r="F422" t="s">
        <v>1104</v>
      </c>
      <c r="G422" t="s">
        <v>914</v>
      </c>
      <c r="H422" t="s">
        <v>113</v>
      </c>
      <c r="I422" s="3">
        <v>0.20833333333333334</v>
      </c>
      <c r="J422" t="s">
        <v>113</v>
      </c>
      <c r="K422" s="3">
        <v>0.20833333333333334</v>
      </c>
      <c r="L422" t="s">
        <v>113</v>
      </c>
      <c r="M422" s="3">
        <v>0.20833333333333334</v>
      </c>
      <c r="N422" t="s">
        <v>113</v>
      </c>
      <c r="O422" s="3">
        <v>0.22916666666666666</v>
      </c>
      <c r="P422" t="s">
        <v>113</v>
      </c>
      <c r="Q422" s="3">
        <v>0.20833333333333334</v>
      </c>
      <c r="R422" t="b">
        <v>0</v>
      </c>
      <c r="S422" t="s">
        <v>2077</v>
      </c>
    </row>
    <row r="423" spans="1:19" x14ac:dyDescent="0.2">
      <c r="A423">
        <v>421</v>
      </c>
      <c r="B423" t="s">
        <v>569</v>
      </c>
      <c r="C423" t="s">
        <v>1298</v>
      </c>
      <c r="D423">
        <v>91711</v>
      </c>
      <c r="E423">
        <v>1</v>
      </c>
      <c r="F423" t="s">
        <v>2078</v>
      </c>
      <c r="G423" t="s">
        <v>1495</v>
      </c>
      <c r="H423" t="s">
        <v>98</v>
      </c>
      <c r="I423" s="3">
        <v>0.375</v>
      </c>
      <c r="J423" t="s">
        <v>98</v>
      </c>
      <c r="K423" s="3">
        <v>0.375</v>
      </c>
      <c r="L423" t="s">
        <v>98</v>
      </c>
      <c r="M423" s="3">
        <v>0.375</v>
      </c>
      <c r="N423" t="s">
        <v>98</v>
      </c>
      <c r="O423" s="3">
        <v>0.375</v>
      </c>
      <c r="P423" t="s">
        <v>98</v>
      </c>
      <c r="Q423" s="3">
        <v>0.375</v>
      </c>
      <c r="R423" t="b">
        <v>1</v>
      </c>
      <c r="S423" t="s">
        <v>2079</v>
      </c>
    </row>
    <row r="424" spans="1:19" hidden="1" x14ac:dyDescent="0.2">
      <c r="A424">
        <v>422</v>
      </c>
      <c r="B424" t="s">
        <v>193</v>
      </c>
      <c r="C424" t="s">
        <v>192</v>
      </c>
      <c r="D424">
        <v>91702</v>
      </c>
      <c r="E424">
        <v>17</v>
      </c>
      <c r="F424">
        <v>103666132</v>
      </c>
      <c r="G424" t="s">
        <v>914</v>
      </c>
      <c r="H424" t="s">
        <v>113</v>
      </c>
      <c r="I424" s="3">
        <v>0.35416666666666669</v>
      </c>
      <c r="J424" t="s">
        <v>113</v>
      </c>
      <c r="K424" s="3">
        <v>0.35416666666666669</v>
      </c>
      <c r="L424" t="s">
        <v>113</v>
      </c>
      <c r="M424" s="3">
        <v>0.35416666666666669</v>
      </c>
      <c r="N424" t="s">
        <v>113</v>
      </c>
      <c r="O424" s="3">
        <v>0.35416666666666669</v>
      </c>
      <c r="P424" t="s">
        <v>113</v>
      </c>
      <c r="Q424" s="3">
        <v>0.35416666666666669</v>
      </c>
      <c r="R424" t="b">
        <v>1</v>
      </c>
      <c r="S424" t="s">
        <v>2080</v>
      </c>
    </row>
    <row r="425" spans="1:19" hidden="1" x14ac:dyDescent="0.2">
      <c r="A425">
        <v>423</v>
      </c>
      <c r="B425" t="s">
        <v>269</v>
      </c>
      <c r="C425" t="s">
        <v>268</v>
      </c>
      <c r="D425">
        <v>91101</v>
      </c>
      <c r="E425">
        <v>37</v>
      </c>
      <c r="F425">
        <v>1037037911</v>
      </c>
      <c r="G425" t="s">
        <v>914</v>
      </c>
      <c r="H425" t="s">
        <v>113</v>
      </c>
      <c r="I425" s="3">
        <v>0.33333333333333331</v>
      </c>
      <c r="J425" t="s">
        <v>113</v>
      </c>
      <c r="K425" s="3">
        <v>0.33333333333333331</v>
      </c>
      <c r="L425" t="s">
        <v>113</v>
      </c>
      <c r="M425" s="3">
        <v>0.33333333333333331</v>
      </c>
      <c r="N425" t="s">
        <v>113</v>
      </c>
      <c r="O425" s="3">
        <v>0.33333333333333331</v>
      </c>
      <c r="P425" t="s">
        <v>113</v>
      </c>
      <c r="Q425" s="3">
        <v>0.33333333333333331</v>
      </c>
      <c r="R425" t="b">
        <v>1</v>
      </c>
      <c r="S425" t="s">
        <v>2081</v>
      </c>
    </row>
    <row r="426" spans="1:19" hidden="1" x14ac:dyDescent="0.2">
      <c r="A426">
        <v>424</v>
      </c>
      <c r="B426" t="s">
        <v>246</v>
      </c>
      <c r="C426" t="s">
        <v>245</v>
      </c>
      <c r="D426">
        <v>91711</v>
      </c>
      <c r="E426">
        <v>1.2</v>
      </c>
      <c r="F426">
        <v>103664621</v>
      </c>
      <c r="G426" t="s">
        <v>919</v>
      </c>
      <c r="H426" t="s">
        <v>113</v>
      </c>
      <c r="I426" s="3">
        <v>0.33333333333333331</v>
      </c>
      <c r="J426" t="s">
        <v>113</v>
      </c>
      <c r="K426" s="3">
        <v>0.33333333333333331</v>
      </c>
      <c r="L426" t="s">
        <v>113</v>
      </c>
      <c r="M426" s="3">
        <v>0.33333333333333331</v>
      </c>
      <c r="N426" t="s">
        <v>113</v>
      </c>
      <c r="O426" s="3">
        <v>0.33333333333333331</v>
      </c>
      <c r="P426" t="s">
        <v>113</v>
      </c>
      <c r="Q426" s="3">
        <v>0.33333333333333331</v>
      </c>
      <c r="R426" t="b">
        <v>1</v>
      </c>
      <c r="S426" t="s">
        <v>2082</v>
      </c>
    </row>
    <row r="427" spans="1:19" hidden="1" x14ac:dyDescent="0.2">
      <c r="A427">
        <v>425</v>
      </c>
      <c r="B427" t="s">
        <v>890</v>
      </c>
      <c r="C427" t="s">
        <v>889</v>
      </c>
      <c r="D427">
        <v>91773</v>
      </c>
      <c r="E427">
        <v>8</v>
      </c>
      <c r="F427">
        <v>10260863</v>
      </c>
      <c r="G427" t="s">
        <v>914</v>
      </c>
      <c r="H427" t="s">
        <v>113</v>
      </c>
      <c r="I427" s="3">
        <v>0.33333333333333331</v>
      </c>
      <c r="J427" t="s">
        <v>113</v>
      </c>
      <c r="K427" s="3">
        <v>0.33333333333333331</v>
      </c>
      <c r="L427" t="s">
        <v>113</v>
      </c>
      <c r="M427" s="3">
        <v>0.33333333333333331</v>
      </c>
      <c r="N427" t="s">
        <v>113</v>
      </c>
      <c r="O427" s="3">
        <v>0.33333333333333331</v>
      </c>
      <c r="P427" t="s">
        <v>113</v>
      </c>
      <c r="Q427" s="3">
        <v>0.33333333333333331</v>
      </c>
      <c r="R427" t="b">
        <v>1</v>
      </c>
      <c r="S427" t="s">
        <v>2083</v>
      </c>
    </row>
    <row r="428" spans="1:19" hidden="1" x14ac:dyDescent="0.2">
      <c r="A428">
        <v>426</v>
      </c>
      <c r="B428" t="s">
        <v>148</v>
      </c>
      <c r="C428" t="s">
        <v>348</v>
      </c>
      <c r="D428">
        <v>92336</v>
      </c>
      <c r="E428">
        <v>20</v>
      </c>
      <c r="F428">
        <v>10372591</v>
      </c>
      <c r="G428" t="s">
        <v>914</v>
      </c>
      <c r="H428" t="s">
        <v>103</v>
      </c>
      <c r="I428" s="3">
        <v>0.33333333333333331</v>
      </c>
      <c r="J428" t="s">
        <v>113</v>
      </c>
      <c r="K428" s="3">
        <v>0.3125</v>
      </c>
      <c r="L428" t="s">
        <v>113</v>
      </c>
      <c r="M428" s="3">
        <v>0.3125</v>
      </c>
      <c r="N428" t="s">
        <v>113</v>
      </c>
      <c r="O428" s="3">
        <v>0.3125</v>
      </c>
      <c r="P428" t="s">
        <v>103</v>
      </c>
      <c r="Q428" s="3">
        <v>0.33333333333333331</v>
      </c>
      <c r="R428" t="b">
        <v>1</v>
      </c>
      <c r="S428" t="s">
        <v>2084</v>
      </c>
    </row>
    <row r="429" spans="1:19" hidden="1" x14ac:dyDescent="0.2">
      <c r="A429">
        <v>427</v>
      </c>
      <c r="B429" t="s">
        <v>680</v>
      </c>
      <c r="C429" t="s">
        <v>679</v>
      </c>
      <c r="D429">
        <v>91711</v>
      </c>
      <c r="E429">
        <v>1</v>
      </c>
      <c r="F429">
        <v>10355937</v>
      </c>
      <c r="G429" t="s">
        <v>914</v>
      </c>
      <c r="H429" t="s">
        <v>92</v>
      </c>
      <c r="I429" s="3">
        <v>0.375</v>
      </c>
      <c r="J429" t="s">
        <v>92</v>
      </c>
      <c r="K429" s="3">
        <v>0.35416666666666669</v>
      </c>
      <c r="L429" t="s">
        <v>98</v>
      </c>
      <c r="M429" s="3">
        <v>0.375</v>
      </c>
      <c r="N429" t="s">
        <v>98</v>
      </c>
      <c r="O429" s="3">
        <v>0.35416666666666669</v>
      </c>
      <c r="P429" t="s">
        <v>92</v>
      </c>
      <c r="Q429" s="3">
        <v>0.375</v>
      </c>
      <c r="R429" t="b">
        <v>1</v>
      </c>
      <c r="S429" t="s">
        <v>2085</v>
      </c>
    </row>
    <row r="430" spans="1:19" hidden="1" x14ac:dyDescent="0.2">
      <c r="A430">
        <v>428</v>
      </c>
      <c r="B430" t="s">
        <v>767</v>
      </c>
      <c r="C430" t="s">
        <v>766</v>
      </c>
      <c r="D430">
        <v>92627</v>
      </c>
      <c r="E430">
        <v>41</v>
      </c>
      <c r="F430">
        <v>103615121</v>
      </c>
      <c r="G430" t="s">
        <v>914</v>
      </c>
      <c r="H430" t="s">
        <v>113</v>
      </c>
      <c r="I430" s="3">
        <v>0.33333333333333331</v>
      </c>
      <c r="J430" t="s">
        <v>113</v>
      </c>
      <c r="K430" s="3">
        <v>0.33333333333333331</v>
      </c>
      <c r="L430" t="s">
        <v>113</v>
      </c>
      <c r="M430" s="3">
        <v>0.33333333333333331</v>
      </c>
      <c r="N430" t="s">
        <v>113</v>
      </c>
      <c r="O430" s="3">
        <v>0.33333333333333331</v>
      </c>
      <c r="P430" t="s">
        <v>113</v>
      </c>
      <c r="Q430" s="3">
        <v>0.33333333333333331</v>
      </c>
      <c r="R430" t="b">
        <v>1</v>
      </c>
      <c r="S430" t="s">
        <v>2086</v>
      </c>
    </row>
    <row r="431" spans="1:19" hidden="1" x14ac:dyDescent="0.2">
      <c r="A431">
        <v>429</v>
      </c>
      <c r="B431" t="s">
        <v>1245</v>
      </c>
      <c r="C431" t="s">
        <v>1246</v>
      </c>
      <c r="D431">
        <v>92886</v>
      </c>
      <c r="E431">
        <v>24</v>
      </c>
      <c r="F431">
        <v>101008</v>
      </c>
      <c r="G431" t="s">
        <v>914</v>
      </c>
      <c r="H431" t="s">
        <v>113</v>
      </c>
      <c r="I431" s="3">
        <v>0.3125</v>
      </c>
      <c r="J431" t="s">
        <v>113</v>
      </c>
      <c r="K431" s="3">
        <v>0.3125</v>
      </c>
      <c r="L431" t="s">
        <v>113</v>
      </c>
      <c r="M431" s="3">
        <v>0.3125</v>
      </c>
      <c r="N431" t="s">
        <v>103</v>
      </c>
      <c r="O431" s="3">
        <v>0.3125</v>
      </c>
      <c r="P431" t="s">
        <v>103</v>
      </c>
      <c r="Q431" s="3">
        <v>0.3125</v>
      </c>
      <c r="R431" t="b">
        <v>1</v>
      </c>
      <c r="S431" t="s">
        <v>2087</v>
      </c>
    </row>
    <row r="432" spans="1:19" hidden="1" x14ac:dyDescent="0.2">
      <c r="A432">
        <v>430</v>
      </c>
      <c r="B432" t="s">
        <v>1237</v>
      </c>
      <c r="C432" t="s">
        <v>1301</v>
      </c>
      <c r="D432">
        <v>90280</v>
      </c>
      <c r="E432">
        <v>38</v>
      </c>
      <c r="F432">
        <v>103734162</v>
      </c>
      <c r="G432" t="s">
        <v>914</v>
      </c>
      <c r="H432" t="s">
        <v>933</v>
      </c>
      <c r="I432" s="3">
        <v>0.33333333333333331</v>
      </c>
      <c r="J432" t="s">
        <v>933</v>
      </c>
      <c r="K432" s="3">
        <v>0.33333333333333331</v>
      </c>
      <c r="L432" t="s">
        <v>933</v>
      </c>
      <c r="M432" s="3">
        <v>0.33333333333333331</v>
      </c>
      <c r="N432" t="s">
        <v>933</v>
      </c>
      <c r="O432" s="3">
        <v>0.33333333333333331</v>
      </c>
      <c r="P432" t="s">
        <v>933</v>
      </c>
      <c r="Q432" s="3">
        <v>0.33333333333333331</v>
      </c>
      <c r="R432" t="b">
        <v>1</v>
      </c>
      <c r="S432" t="s">
        <v>2087</v>
      </c>
    </row>
    <row r="433" spans="1:19" x14ac:dyDescent="0.2">
      <c r="A433">
        <v>431</v>
      </c>
      <c r="B433" t="s">
        <v>2088</v>
      </c>
      <c r="C433" t="s">
        <v>2089</v>
      </c>
      <c r="D433">
        <v>91711</v>
      </c>
      <c r="E433">
        <v>1</v>
      </c>
      <c r="F433">
        <v>100923561</v>
      </c>
      <c r="G433" t="s">
        <v>1495</v>
      </c>
      <c r="H433" t="s">
        <v>92</v>
      </c>
      <c r="I433" s="3">
        <v>0.41666666666666669</v>
      </c>
      <c r="J433" t="s">
        <v>92</v>
      </c>
      <c r="K433" s="3">
        <v>0.41666666666666669</v>
      </c>
      <c r="L433" t="s">
        <v>92</v>
      </c>
      <c r="M433" s="3">
        <v>0.41666666666666669</v>
      </c>
      <c r="N433" t="s">
        <v>92</v>
      </c>
      <c r="O433" s="3">
        <v>0.41666666666666669</v>
      </c>
      <c r="P433" t="s">
        <v>202</v>
      </c>
      <c r="Q433" s="3">
        <v>0.25</v>
      </c>
      <c r="R433" t="b">
        <v>1</v>
      </c>
      <c r="S433" t="s">
        <v>2090</v>
      </c>
    </row>
    <row r="434" spans="1:19" hidden="1" x14ac:dyDescent="0.2">
      <c r="A434">
        <v>432</v>
      </c>
      <c r="B434" t="s">
        <v>1067</v>
      </c>
      <c r="C434" t="s">
        <v>1068</v>
      </c>
      <c r="D434">
        <v>91784</v>
      </c>
      <c r="E434">
        <v>6</v>
      </c>
      <c r="F434">
        <v>103730312</v>
      </c>
      <c r="G434" t="s">
        <v>919</v>
      </c>
      <c r="H434" t="s">
        <v>113</v>
      </c>
      <c r="I434" s="3">
        <v>0.35416666666666669</v>
      </c>
      <c r="J434" t="s">
        <v>113</v>
      </c>
      <c r="K434" s="3">
        <v>0.35416666666666669</v>
      </c>
      <c r="L434" t="s">
        <v>113</v>
      </c>
      <c r="M434" s="3">
        <v>0.35416666666666669</v>
      </c>
      <c r="N434" t="s">
        <v>113</v>
      </c>
      <c r="O434" s="3">
        <v>0.35416666666666669</v>
      </c>
      <c r="P434" t="s">
        <v>113</v>
      </c>
      <c r="Q434" s="3">
        <v>0.35416666666666669</v>
      </c>
      <c r="R434" t="b">
        <v>1</v>
      </c>
      <c r="S434" t="s">
        <v>2091</v>
      </c>
    </row>
    <row r="435" spans="1:19" hidden="1" x14ac:dyDescent="0.2">
      <c r="A435">
        <v>433</v>
      </c>
      <c r="B435" t="s">
        <v>966</v>
      </c>
      <c r="C435" t="s">
        <v>967</v>
      </c>
      <c r="D435">
        <v>91711</v>
      </c>
      <c r="E435">
        <v>2</v>
      </c>
      <c r="F435">
        <v>100184</v>
      </c>
      <c r="G435" t="s">
        <v>914</v>
      </c>
      <c r="H435" t="s">
        <v>195</v>
      </c>
      <c r="I435" s="3">
        <v>0.33333333333333331</v>
      </c>
      <c r="J435" t="s">
        <v>113</v>
      </c>
      <c r="K435" s="3">
        <v>0.33333333333333331</v>
      </c>
      <c r="L435" t="s">
        <v>113</v>
      </c>
      <c r="M435" s="3">
        <v>0.33333333333333331</v>
      </c>
      <c r="N435" t="s">
        <v>113</v>
      </c>
      <c r="O435" s="3">
        <v>0.33333333333333331</v>
      </c>
      <c r="P435" t="s">
        <v>113</v>
      </c>
      <c r="Q435" s="3">
        <v>0.33333333333333331</v>
      </c>
      <c r="R435" t="b">
        <v>1</v>
      </c>
      <c r="S435" t="s">
        <v>2092</v>
      </c>
    </row>
    <row r="436" spans="1:19" hidden="1" x14ac:dyDescent="0.2">
      <c r="A436">
        <v>434</v>
      </c>
      <c r="B436" t="s">
        <v>1285</v>
      </c>
      <c r="C436" t="s">
        <v>556</v>
      </c>
      <c r="D436">
        <v>90012</v>
      </c>
      <c r="E436">
        <v>30</v>
      </c>
      <c r="F436">
        <v>10340122</v>
      </c>
      <c r="G436" t="s">
        <v>914</v>
      </c>
      <c r="H436" t="s">
        <v>103</v>
      </c>
      <c r="I436" s="3">
        <v>0.33333333333333331</v>
      </c>
      <c r="J436" t="s">
        <v>113</v>
      </c>
      <c r="K436" s="3">
        <v>0.33333333333333331</v>
      </c>
      <c r="L436" t="s">
        <v>113</v>
      </c>
      <c r="M436" s="3">
        <v>0.33333333333333331</v>
      </c>
      <c r="N436" t="s">
        <v>113</v>
      </c>
      <c r="O436" s="3">
        <v>0.33333333333333331</v>
      </c>
      <c r="P436" t="s">
        <v>103</v>
      </c>
      <c r="Q436" s="3">
        <v>0.33333333333333331</v>
      </c>
      <c r="R436" t="b">
        <v>1</v>
      </c>
      <c r="S436" t="s">
        <v>2093</v>
      </c>
    </row>
    <row r="437" spans="1:19" x14ac:dyDescent="0.2">
      <c r="A437">
        <v>435</v>
      </c>
      <c r="B437" t="s">
        <v>2094</v>
      </c>
      <c r="C437" t="s">
        <v>2095</v>
      </c>
      <c r="D437">
        <v>91711</v>
      </c>
      <c r="E437">
        <v>1.5</v>
      </c>
      <c r="F437">
        <v>100058701</v>
      </c>
      <c r="G437" t="s">
        <v>1495</v>
      </c>
      <c r="H437" t="s">
        <v>113</v>
      </c>
      <c r="I437" s="3">
        <v>0.41666666666666669</v>
      </c>
      <c r="J437" t="s">
        <v>113</v>
      </c>
      <c r="K437" s="3">
        <v>0.41666666666666669</v>
      </c>
      <c r="L437" t="s">
        <v>113</v>
      </c>
      <c r="M437" s="3">
        <v>0.41666666666666669</v>
      </c>
      <c r="N437" t="s">
        <v>113</v>
      </c>
      <c r="O437" s="3">
        <v>0.41666666666666669</v>
      </c>
      <c r="P437" t="s">
        <v>113</v>
      </c>
      <c r="Q437" s="3">
        <v>0.41666666666666669</v>
      </c>
      <c r="R437" t="b">
        <v>1</v>
      </c>
      <c r="S437" t="s">
        <v>2096</v>
      </c>
    </row>
    <row r="438" spans="1:19" hidden="1" x14ac:dyDescent="0.2">
      <c r="A438">
        <v>436</v>
      </c>
      <c r="B438" t="s">
        <v>462</v>
      </c>
      <c r="C438" t="s">
        <v>461</v>
      </c>
      <c r="D438">
        <v>91767</v>
      </c>
      <c r="E438">
        <v>2.6</v>
      </c>
      <c r="F438">
        <v>10373208</v>
      </c>
      <c r="G438" t="s">
        <v>914</v>
      </c>
      <c r="H438" t="s">
        <v>113</v>
      </c>
      <c r="I438" s="3">
        <v>0.33333333333333331</v>
      </c>
      <c r="J438" t="s">
        <v>113</v>
      </c>
      <c r="K438" s="3">
        <v>0.33333333333333331</v>
      </c>
      <c r="L438" t="s">
        <v>113</v>
      </c>
      <c r="M438" s="3">
        <v>0.33333333333333331</v>
      </c>
      <c r="N438" t="s">
        <v>113</v>
      </c>
      <c r="O438" s="3">
        <v>0.33333333333333331</v>
      </c>
      <c r="P438" t="s">
        <v>113</v>
      </c>
      <c r="Q438" s="3">
        <v>0.33333333333333331</v>
      </c>
      <c r="R438" t="b">
        <v>1</v>
      </c>
      <c r="S438" t="s">
        <v>2097</v>
      </c>
    </row>
    <row r="439" spans="1:19" hidden="1" x14ac:dyDescent="0.2">
      <c r="A439">
        <v>437</v>
      </c>
      <c r="B439" t="s">
        <v>954</v>
      </c>
      <c r="C439" t="s">
        <v>955</v>
      </c>
      <c r="D439">
        <v>91711</v>
      </c>
      <c r="E439">
        <v>1.6</v>
      </c>
      <c r="F439">
        <v>10357480</v>
      </c>
      <c r="G439" t="s">
        <v>919</v>
      </c>
      <c r="H439" t="s">
        <v>113</v>
      </c>
      <c r="I439" s="3">
        <v>0.39583333333333331</v>
      </c>
      <c r="J439" t="s">
        <v>113</v>
      </c>
      <c r="K439" s="3">
        <v>0.47916666666666669</v>
      </c>
      <c r="L439" t="s">
        <v>113</v>
      </c>
      <c r="M439" s="3">
        <v>0.54166666666666663</v>
      </c>
      <c r="N439" t="s">
        <v>113</v>
      </c>
      <c r="O439" s="3">
        <v>0.45833333333333331</v>
      </c>
      <c r="P439" t="s">
        <v>113</v>
      </c>
      <c r="Q439" s="3">
        <v>0.125</v>
      </c>
      <c r="R439" t="b">
        <v>1</v>
      </c>
      <c r="S439" t="s">
        <v>2098</v>
      </c>
    </row>
    <row r="440" spans="1:19" hidden="1" x14ac:dyDescent="0.2">
      <c r="A440">
        <v>438</v>
      </c>
      <c r="B440" t="s">
        <v>1302</v>
      </c>
      <c r="C440" t="s">
        <v>832</v>
      </c>
      <c r="D440">
        <v>90650</v>
      </c>
      <c r="E440">
        <v>39</v>
      </c>
      <c r="F440">
        <v>103560671</v>
      </c>
      <c r="G440" t="s">
        <v>914</v>
      </c>
      <c r="H440" t="s">
        <v>933</v>
      </c>
      <c r="I440" s="3">
        <v>0.29166666666666669</v>
      </c>
      <c r="J440" t="s">
        <v>933</v>
      </c>
      <c r="K440" s="3">
        <v>0.29166666666666669</v>
      </c>
      <c r="L440" t="s">
        <v>933</v>
      </c>
      <c r="M440" s="3">
        <v>0.29166666666666669</v>
      </c>
      <c r="N440" t="s">
        <v>933</v>
      </c>
      <c r="O440" s="3">
        <v>0.29166666666666669</v>
      </c>
      <c r="P440" t="s">
        <v>933</v>
      </c>
      <c r="Q440" s="3">
        <v>0.29166666666666669</v>
      </c>
      <c r="R440" t="b">
        <v>1</v>
      </c>
      <c r="S440" t="s">
        <v>2099</v>
      </c>
    </row>
    <row r="441" spans="1:19" hidden="1" x14ac:dyDescent="0.2">
      <c r="A441">
        <v>439</v>
      </c>
      <c r="B441" t="s">
        <v>356</v>
      </c>
      <c r="C441" t="s">
        <v>355</v>
      </c>
      <c r="D441">
        <v>91786</v>
      </c>
      <c r="E441">
        <v>4</v>
      </c>
      <c r="F441">
        <v>10043581</v>
      </c>
      <c r="G441" t="s">
        <v>914</v>
      </c>
      <c r="H441" t="s">
        <v>113</v>
      </c>
      <c r="I441" s="3">
        <v>0.20833333333333334</v>
      </c>
      <c r="J441" t="s">
        <v>113</v>
      </c>
      <c r="K441" s="3">
        <v>0.20833333333333334</v>
      </c>
      <c r="L441" t="s">
        <v>113</v>
      </c>
      <c r="M441" s="3">
        <v>0.20833333333333334</v>
      </c>
      <c r="N441" t="s">
        <v>113</v>
      </c>
      <c r="O441" s="3">
        <v>0.20833333333333334</v>
      </c>
      <c r="P441" t="s">
        <v>113</v>
      </c>
      <c r="Q441" s="3">
        <v>0.20833333333333334</v>
      </c>
      <c r="R441" t="b">
        <v>0</v>
      </c>
      <c r="S441" t="s">
        <v>2100</v>
      </c>
    </row>
    <row r="442" spans="1:19" x14ac:dyDescent="0.2">
      <c r="A442">
        <v>440</v>
      </c>
      <c r="B442" t="s">
        <v>1136</v>
      </c>
      <c r="C442" t="s">
        <v>1383</v>
      </c>
      <c r="D442">
        <v>91711</v>
      </c>
      <c r="E442">
        <v>1</v>
      </c>
      <c r="F442">
        <v>10014411</v>
      </c>
      <c r="G442" t="s">
        <v>1495</v>
      </c>
      <c r="H442" t="s">
        <v>103</v>
      </c>
      <c r="I442" s="3">
        <v>0.3125</v>
      </c>
      <c r="J442" t="s">
        <v>98</v>
      </c>
      <c r="K442" s="3">
        <v>0.33333333333333331</v>
      </c>
      <c r="L442" t="s">
        <v>103</v>
      </c>
      <c r="M442" s="3">
        <v>0.3125</v>
      </c>
      <c r="N442" t="s">
        <v>98</v>
      </c>
      <c r="O442" s="3">
        <v>0.375</v>
      </c>
      <c r="P442" t="s">
        <v>98</v>
      </c>
      <c r="Q442" s="3">
        <v>0.33333333333333331</v>
      </c>
      <c r="R442" t="b">
        <v>1</v>
      </c>
      <c r="S442" t="s">
        <v>2101</v>
      </c>
    </row>
    <row r="443" spans="1:19" hidden="1" x14ac:dyDescent="0.2">
      <c r="A443">
        <v>441</v>
      </c>
      <c r="B443" t="s">
        <v>1307</v>
      </c>
      <c r="C443" t="s">
        <v>1308</v>
      </c>
      <c r="D443">
        <v>90027</v>
      </c>
      <c r="E443">
        <v>40</v>
      </c>
      <c r="F443">
        <v>103727751</v>
      </c>
      <c r="G443" t="s">
        <v>914</v>
      </c>
      <c r="H443" t="s">
        <v>113</v>
      </c>
      <c r="I443" s="3">
        <v>0.33333333333333331</v>
      </c>
      <c r="J443" t="s">
        <v>113</v>
      </c>
      <c r="K443" s="3">
        <v>0.33333333333333331</v>
      </c>
      <c r="L443" t="s">
        <v>202</v>
      </c>
      <c r="M443" s="3">
        <v>0.25</v>
      </c>
      <c r="N443" t="s">
        <v>202</v>
      </c>
      <c r="O443" s="3">
        <v>0.25</v>
      </c>
      <c r="P443" t="s">
        <v>113</v>
      </c>
      <c r="Q443" s="3">
        <v>0.33333333333333331</v>
      </c>
      <c r="R443" t="b">
        <v>1</v>
      </c>
      <c r="S443" t="s">
        <v>2102</v>
      </c>
    </row>
    <row r="444" spans="1:19" hidden="1" x14ac:dyDescent="0.2">
      <c r="A444">
        <v>442</v>
      </c>
      <c r="B444" t="s">
        <v>829</v>
      </c>
      <c r="C444" t="s">
        <v>828</v>
      </c>
      <c r="D444">
        <v>91030</v>
      </c>
      <c r="E444">
        <v>30</v>
      </c>
      <c r="F444">
        <v>103746631</v>
      </c>
      <c r="G444" t="s">
        <v>914</v>
      </c>
      <c r="H444" t="s">
        <v>74</v>
      </c>
      <c r="I444" s="3">
        <v>0.375</v>
      </c>
      <c r="J444" t="s">
        <v>74</v>
      </c>
      <c r="K444" s="3">
        <v>0.375</v>
      </c>
      <c r="L444" t="s">
        <v>74</v>
      </c>
      <c r="M444" s="3">
        <v>0.375</v>
      </c>
      <c r="N444" t="s">
        <v>103</v>
      </c>
      <c r="O444" s="3">
        <v>0.375</v>
      </c>
      <c r="P444" t="s">
        <v>103</v>
      </c>
      <c r="Q444" s="3">
        <v>0.375</v>
      </c>
      <c r="R444" t="b">
        <v>1</v>
      </c>
      <c r="S444" t="s">
        <v>2103</v>
      </c>
    </row>
    <row r="445" spans="1:19" hidden="1" x14ac:dyDescent="0.2">
      <c r="A445">
        <v>443</v>
      </c>
      <c r="B445" t="s">
        <v>622</v>
      </c>
      <c r="C445" t="s">
        <v>621</v>
      </c>
      <c r="D445">
        <v>90640</v>
      </c>
      <c r="E445">
        <v>30</v>
      </c>
      <c r="F445">
        <v>103739531</v>
      </c>
      <c r="G445" t="s">
        <v>919</v>
      </c>
      <c r="H445" t="s">
        <v>103</v>
      </c>
      <c r="I445" s="3">
        <v>0.375</v>
      </c>
      <c r="J445" t="s">
        <v>113</v>
      </c>
      <c r="K445" s="3">
        <v>0.375</v>
      </c>
      <c r="L445" t="s">
        <v>103</v>
      </c>
      <c r="M445" s="3">
        <v>0.375</v>
      </c>
      <c r="N445" t="s">
        <v>113</v>
      </c>
      <c r="O445" s="3">
        <v>0.375</v>
      </c>
      <c r="P445" t="s">
        <v>103</v>
      </c>
      <c r="Q445" s="3">
        <v>0.375</v>
      </c>
      <c r="R445" t="b">
        <v>1</v>
      </c>
      <c r="S445" t="s">
        <v>2104</v>
      </c>
    </row>
    <row r="446" spans="1:19" hidden="1" x14ac:dyDescent="0.2">
      <c r="A446">
        <v>444</v>
      </c>
      <c r="B446" t="s">
        <v>754</v>
      </c>
      <c r="C446" t="s">
        <v>1077</v>
      </c>
      <c r="D446">
        <v>91740</v>
      </c>
      <c r="E446">
        <v>7</v>
      </c>
      <c r="F446">
        <v>103726683</v>
      </c>
      <c r="G446" t="s">
        <v>914</v>
      </c>
      <c r="H446" t="s">
        <v>113</v>
      </c>
      <c r="I446" s="3">
        <v>0.35416666666666669</v>
      </c>
      <c r="J446" t="s">
        <v>103</v>
      </c>
      <c r="K446" s="3">
        <v>0.35416666666666669</v>
      </c>
      <c r="L446" t="s">
        <v>113</v>
      </c>
      <c r="M446" s="3">
        <v>0.35416666666666669</v>
      </c>
      <c r="N446" t="s">
        <v>113</v>
      </c>
      <c r="O446" s="3">
        <v>0.35416666666666669</v>
      </c>
      <c r="P446" t="s">
        <v>103</v>
      </c>
      <c r="Q446" s="3">
        <v>0.35416666666666669</v>
      </c>
      <c r="R446" t="b">
        <v>1</v>
      </c>
      <c r="S446" t="s">
        <v>2105</v>
      </c>
    </row>
    <row r="447" spans="1:19" hidden="1" x14ac:dyDescent="0.2">
      <c r="A447">
        <v>445</v>
      </c>
      <c r="B447" t="s">
        <v>1133</v>
      </c>
      <c r="C447" t="s">
        <v>686</v>
      </c>
      <c r="D447">
        <v>91773</v>
      </c>
      <c r="E447">
        <v>10</v>
      </c>
      <c r="F447">
        <v>103666773</v>
      </c>
      <c r="G447" t="s">
        <v>914</v>
      </c>
      <c r="H447" t="s">
        <v>113</v>
      </c>
      <c r="I447" s="3">
        <v>0.54166666666666663</v>
      </c>
      <c r="J447" t="s">
        <v>113</v>
      </c>
      <c r="K447" s="3">
        <v>0.54166666666666663</v>
      </c>
      <c r="L447" t="s">
        <v>113</v>
      </c>
      <c r="M447" s="3">
        <v>0.54166666666666663</v>
      </c>
      <c r="N447" t="s">
        <v>113</v>
      </c>
      <c r="O447" s="3">
        <v>0.54166666666666663</v>
      </c>
      <c r="P447" t="s">
        <v>113</v>
      </c>
      <c r="Q447" s="3">
        <v>0.54166666666666663</v>
      </c>
      <c r="R447" t="b">
        <v>0</v>
      </c>
      <c r="S447" t="s">
        <v>2106</v>
      </c>
    </row>
    <row r="448" spans="1:19" hidden="1" x14ac:dyDescent="0.2">
      <c r="A448">
        <v>446</v>
      </c>
      <c r="B448" t="s">
        <v>1084</v>
      </c>
      <c r="C448" t="s">
        <v>1085</v>
      </c>
      <c r="D448">
        <v>91773</v>
      </c>
      <c r="E448">
        <v>7.8</v>
      </c>
      <c r="F448">
        <v>103742191</v>
      </c>
      <c r="G448" t="s">
        <v>919</v>
      </c>
      <c r="H448" t="s">
        <v>113</v>
      </c>
      <c r="I448" s="3">
        <v>0.35416666666666669</v>
      </c>
      <c r="J448" t="s">
        <v>113</v>
      </c>
      <c r="K448" s="3">
        <v>0.35416666666666669</v>
      </c>
      <c r="L448" t="s">
        <v>933</v>
      </c>
      <c r="M448" s="3">
        <v>0.33333333333333331</v>
      </c>
      <c r="N448" t="s">
        <v>113</v>
      </c>
      <c r="O448" s="3">
        <v>0.35416666666666669</v>
      </c>
      <c r="P448" t="s">
        <v>113</v>
      </c>
      <c r="Q448" s="3">
        <v>0.35416666666666669</v>
      </c>
      <c r="R448" t="b">
        <v>1</v>
      </c>
      <c r="S448" t="s">
        <v>2107</v>
      </c>
    </row>
    <row r="449" spans="1:19" x14ac:dyDescent="0.2">
      <c r="A449">
        <v>447</v>
      </c>
      <c r="B449" t="s">
        <v>2108</v>
      </c>
      <c r="C449" t="s">
        <v>143</v>
      </c>
      <c r="D449">
        <v>90065</v>
      </c>
      <c r="E449">
        <v>35</v>
      </c>
      <c r="F449">
        <v>100910191</v>
      </c>
      <c r="G449" t="s">
        <v>1495</v>
      </c>
      <c r="H449" t="s">
        <v>202</v>
      </c>
      <c r="I449" s="3">
        <v>0.25</v>
      </c>
      <c r="J449" t="s">
        <v>113</v>
      </c>
      <c r="K449" s="3">
        <v>0.39583333333333331</v>
      </c>
      <c r="L449" t="s">
        <v>202</v>
      </c>
      <c r="M449" s="3">
        <v>0.25</v>
      </c>
      <c r="N449" t="s">
        <v>202</v>
      </c>
      <c r="O449" s="3">
        <v>0.25</v>
      </c>
      <c r="P449" t="s">
        <v>202</v>
      </c>
      <c r="Q449" s="3">
        <v>0.25</v>
      </c>
      <c r="R449" t="b">
        <v>1</v>
      </c>
      <c r="S449" t="s">
        <v>2109</v>
      </c>
    </row>
    <row r="450" spans="1:19" hidden="1" x14ac:dyDescent="0.2">
      <c r="A450">
        <v>448</v>
      </c>
      <c r="B450" t="s">
        <v>12</v>
      </c>
      <c r="C450" t="s">
        <v>1286</v>
      </c>
      <c r="D450">
        <v>92506</v>
      </c>
      <c r="E450">
        <v>30</v>
      </c>
      <c r="F450">
        <v>10366592</v>
      </c>
      <c r="G450" t="s">
        <v>914</v>
      </c>
      <c r="H450" t="s">
        <v>113</v>
      </c>
      <c r="I450" s="3">
        <v>0.33333333333333331</v>
      </c>
      <c r="J450" t="s">
        <v>933</v>
      </c>
      <c r="K450" s="3">
        <v>0.33333333333333331</v>
      </c>
      <c r="L450" t="s">
        <v>103</v>
      </c>
      <c r="M450" s="3">
        <v>0.33333333333333331</v>
      </c>
      <c r="N450" t="s">
        <v>113</v>
      </c>
      <c r="O450" s="3">
        <v>0.33333333333333331</v>
      </c>
      <c r="P450" t="s">
        <v>103</v>
      </c>
      <c r="Q450" s="3">
        <v>0.33333333333333331</v>
      </c>
      <c r="R450" t="b">
        <v>1</v>
      </c>
      <c r="S450" t="s">
        <v>2110</v>
      </c>
    </row>
    <row r="451" spans="1:19" hidden="1" x14ac:dyDescent="0.2">
      <c r="A451">
        <v>449</v>
      </c>
      <c r="B451" t="s">
        <v>702</v>
      </c>
      <c r="C451" t="s">
        <v>701</v>
      </c>
      <c r="D451">
        <v>91702</v>
      </c>
      <c r="E451">
        <v>5</v>
      </c>
      <c r="F451">
        <v>10334912</v>
      </c>
      <c r="G451" t="s">
        <v>919</v>
      </c>
      <c r="H451" t="s">
        <v>113</v>
      </c>
      <c r="I451" s="3">
        <v>0.33333333333333331</v>
      </c>
      <c r="J451" t="s">
        <v>113</v>
      </c>
      <c r="K451" s="3">
        <v>0.33333333333333331</v>
      </c>
      <c r="L451" t="s">
        <v>113</v>
      </c>
      <c r="M451" s="3">
        <v>0.33333333333333331</v>
      </c>
      <c r="N451" t="s">
        <v>113</v>
      </c>
      <c r="O451" s="3">
        <v>0.33333333333333331</v>
      </c>
      <c r="P451" t="s">
        <v>113</v>
      </c>
      <c r="Q451" s="3">
        <v>0.33333333333333331</v>
      </c>
      <c r="R451" t="b">
        <v>1</v>
      </c>
      <c r="S451" t="s">
        <v>2111</v>
      </c>
    </row>
    <row r="452" spans="1:19" hidden="1" x14ac:dyDescent="0.2">
      <c r="A452">
        <v>450</v>
      </c>
      <c r="B452" t="s">
        <v>595</v>
      </c>
      <c r="C452" t="s">
        <v>594</v>
      </c>
      <c r="D452">
        <v>91701</v>
      </c>
      <c r="E452">
        <v>10</v>
      </c>
      <c r="F452">
        <v>10024942</v>
      </c>
      <c r="G452" t="s">
        <v>914</v>
      </c>
      <c r="H452" t="s">
        <v>195</v>
      </c>
      <c r="I452" s="3">
        <v>0.33333333333333331</v>
      </c>
      <c r="J452" t="s">
        <v>195</v>
      </c>
      <c r="K452" s="3">
        <v>0.33333333333333331</v>
      </c>
      <c r="L452" t="s">
        <v>195</v>
      </c>
      <c r="M452" s="3">
        <v>0.33333333333333331</v>
      </c>
      <c r="N452" t="s">
        <v>195</v>
      </c>
      <c r="O452" s="3">
        <v>0.33333333333333331</v>
      </c>
      <c r="P452" t="s">
        <v>195</v>
      </c>
      <c r="Q452" s="3">
        <v>0.33333333333333331</v>
      </c>
      <c r="R452" t="b">
        <v>1</v>
      </c>
      <c r="S452" t="s">
        <v>2112</v>
      </c>
    </row>
    <row r="453" spans="1:19" hidden="1" x14ac:dyDescent="0.2">
      <c r="A453">
        <v>451</v>
      </c>
      <c r="B453" t="s">
        <v>646</v>
      </c>
      <c r="C453" t="s">
        <v>645</v>
      </c>
      <c r="D453">
        <v>90631</v>
      </c>
      <c r="E453">
        <v>22</v>
      </c>
      <c r="F453">
        <v>10371573</v>
      </c>
      <c r="G453" t="s">
        <v>919</v>
      </c>
      <c r="H453" t="s">
        <v>113</v>
      </c>
      <c r="I453" s="3">
        <v>0.35416666666666669</v>
      </c>
      <c r="J453" t="s">
        <v>113</v>
      </c>
      <c r="K453" s="3">
        <v>0.35416666666666669</v>
      </c>
      <c r="L453" t="s">
        <v>113</v>
      </c>
      <c r="M453" s="3">
        <v>0.35416666666666669</v>
      </c>
      <c r="N453" t="s">
        <v>202</v>
      </c>
      <c r="O453" s="3">
        <v>0.25</v>
      </c>
      <c r="P453" t="s">
        <v>113</v>
      </c>
      <c r="Q453" s="3">
        <v>0.47916666666666669</v>
      </c>
      <c r="R453" t="b">
        <v>1</v>
      </c>
      <c r="S453" t="s">
        <v>2113</v>
      </c>
    </row>
    <row r="454" spans="1:19" x14ac:dyDescent="0.2">
      <c r="A454">
        <v>452</v>
      </c>
      <c r="B454" t="s">
        <v>1382</v>
      </c>
      <c r="C454" t="s">
        <v>2114</v>
      </c>
      <c r="D454">
        <v>91711</v>
      </c>
      <c r="E454">
        <v>0.5</v>
      </c>
      <c r="F454">
        <v>100229942</v>
      </c>
      <c r="G454" t="s">
        <v>1495</v>
      </c>
      <c r="H454" t="s">
        <v>199</v>
      </c>
      <c r="I454" s="3">
        <v>0.25</v>
      </c>
      <c r="J454" t="s">
        <v>199</v>
      </c>
      <c r="K454" s="3">
        <v>0.25</v>
      </c>
      <c r="L454" t="s">
        <v>199</v>
      </c>
      <c r="M454" s="3">
        <v>0.25</v>
      </c>
      <c r="N454" t="s">
        <v>199</v>
      </c>
      <c r="O454" s="3">
        <v>0.25</v>
      </c>
      <c r="P454" t="s">
        <v>199</v>
      </c>
      <c r="Q454" s="3">
        <v>0.25</v>
      </c>
      <c r="R454" t="b">
        <v>1</v>
      </c>
      <c r="S454" t="s">
        <v>2115</v>
      </c>
    </row>
    <row r="455" spans="1:19" hidden="1" x14ac:dyDescent="0.2">
      <c r="A455">
        <v>453</v>
      </c>
      <c r="B455" t="s">
        <v>291</v>
      </c>
      <c r="C455" t="s">
        <v>756</v>
      </c>
      <c r="D455">
        <v>91786</v>
      </c>
      <c r="E455">
        <v>2</v>
      </c>
      <c r="F455">
        <v>10372340</v>
      </c>
      <c r="G455" t="s">
        <v>914</v>
      </c>
      <c r="H455" t="s">
        <v>113</v>
      </c>
      <c r="I455" s="3">
        <v>0.33333333333333331</v>
      </c>
      <c r="J455" t="s">
        <v>113</v>
      </c>
      <c r="K455" s="3">
        <v>0.33333333333333331</v>
      </c>
      <c r="L455" t="s">
        <v>113</v>
      </c>
      <c r="M455" s="3">
        <v>0.33333333333333331</v>
      </c>
      <c r="N455" t="s">
        <v>113</v>
      </c>
      <c r="O455" s="3">
        <v>0.33333333333333331</v>
      </c>
      <c r="P455" t="s">
        <v>113</v>
      </c>
      <c r="Q455" s="3">
        <v>0.33333333333333331</v>
      </c>
      <c r="R455" t="b">
        <v>1</v>
      </c>
      <c r="S455" t="s">
        <v>2116</v>
      </c>
    </row>
    <row r="456" spans="1:19" x14ac:dyDescent="0.2">
      <c r="A456">
        <v>454</v>
      </c>
      <c r="B456" t="s">
        <v>2117</v>
      </c>
      <c r="C456" t="s">
        <v>927</v>
      </c>
      <c r="D456">
        <v>91770</v>
      </c>
      <c r="E456">
        <v>25</v>
      </c>
      <c r="F456">
        <v>10370668</v>
      </c>
      <c r="G456" t="s">
        <v>1495</v>
      </c>
      <c r="H456" t="s">
        <v>113</v>
      </c>
      <c r="I456" s="3">
        <v>0.33333333333333331</v>
      </c>
      <c r="J456" t="s">
        <v>113</v>
      </c>
      <c r="K456" s="3">
        <v>0.33333333333333331</v>
      </c>
      <c r="L456" t="s">
        <v>113</v>
      </c>
      <c r="M456" s="3">
        <v>0.33333333333333331</v>
      </c>
      <c r="N456" t="s">
        <v>113</v>
      </c>
      <c r="O456" s="3">
        <v>0.33333333333333331</v>
      </c>
      <c r="P456" t="s">
        <v>113</v>
      </c>
      <c r="Q456" s="3">
        <v>0.33333333333333331</v>
      </c>
      <c r="R456" t="b">
        <v>1</v>
      </c>
      <c r="S456" t="s">
        <v>2118</v>
      </c>
    </row>
    <row r="457" spans="1:19" hidden="1" x14ac:dyDescent="0.2">
      <c r="A457">
        <v>455</v>
      </c>
      <c r="B457" t="s">
        <v>629</v>
      </c>
      <c r="C457" t="s">
        <v>369</v>
      </c>
      <c r="D457">
        <v>91711</v>
      </c>
      <c r="E457">
        <v>0.2</v>
      </c>
      <c r="F457">
        <v>10305558</v>
      </c>
      <c r="G457" t="s">
        <v>914</v>
      </c>
      <c r="H457" t="s">
        <v>103</v>
      </c>
      <c r="I457" s="3">
        <v>0.29166666666666669</v>
      </c>
      <c r="J457" t="s">
        <v>92</v>
      </c>
      <c r="K457" s="3">
        <v>0.33333333333333331</v>
      </c>
      <c r="L457" t="s">
        <v>92</v>
      </c>
      <c r="M457" s="3">
        <v>0.33333333333333331</v>
      </c>
      <c r="N457" t="s">
        <v>92</v>
      </c>
      <c r="O457" s="3">
        <v>0.33333333333333331</v>
      </c>
      <c r="P457" t="s">
        <v>103</v>
      </c>
      <c r="Q457" s="3">
        <v>0.29166666666666669</v>
      </c>
      <c r="R457" t="b">
        <v>1</v>
      </c>
      <c r="S457" t="s">
        <v>2119</v>
      </c>
    </row>
    <row r="458" spans="1:19" hidden="1" x14ac:dyDescent="0.2">
      <c r="A458">
        <v>456</v>
      </c>
      <c r="B458" t="s">
        <v>884</v>
      </c>
      <c r="C458" t="s">
        <v>883</v>
      </c>
      <c r="D458">
        <v>91784</v>
      </c>
      <c r="E458">
        <v>6.1</v>
      </c>
      <c r="F458">
        <v>103559453</v>
      </c>
      <c r="G458" t="s">
        <v>914</v>
      </c>
      <c r="H458" t="s">
        <v>202</v>
      </c>
      <c r="I458" s="3">
        <v>0.45833333333333331</v>
      </c>
      <c r="J458" t="s">
        <v>202</v>
      </c>
      <c r="K458" s="3">
        <v>0.45833333333333331</v>
      </c>
      <c r="L458" t="s">
        <v>113</v>
      </c>
      <c r="M458" s="3">
        <v>0.4375</v>
      </c>
      <c r="N458" t="s">
        <v>113</v>
      </c>
      <c r="O458" s="3">
        <v>0.4375</v>
      </c>
      <c r="P458" t="s">
        <v>113</v>
      </c>
      <c r="Q458" s="3">
        <v>0.4375</v>
      </c>
      <c r="R458" t="b">
        <v>0</v>
      </c>
      <c r="S458" t="s">
        <v>2120</v>
      </c>
    </row>
    <row r="459" spans="1:19" hidden="1" x14ac:dyDescent="0.2">
      <c r="A459">
        <v>457</v>
      </c>
      <c r="B459" t="s">
        <v>362</v>
      </c>
      <c r="C459" t="s">
        <v>361</v>
      </c>
      <c r="D459">
        <v>92831</v>
      </c>
      <c r="E459">
        <v>25</v>
      </c>
      <c r="F459">
        <v>113637</v>
      </c>
      <c r="G459" t="s">
        <v>919</v>
      </c>
      <c r="H459" t="s">
        <v>103</v>
      </c>
      <c r="I459" s="3">
        <v>0.41666666666666669</v>
      </c>
      <c r="J459" t="s">
        <v>103</v>
      </c>
      <c r="K459" s="3">
        <v>0.41666666666666669</v>
      </c>
      <c r="L459" t="s">
        <v>103</v>
      </c>
      <c r="M459" s="3">
        <v>0.41666666666666669</v>
      </c>
      <c r="N459" t="s">
        <v>103</v>
      </c>
      <c r="O459" s="3">
        <v>0.41666666666666669</v>
      </c>
      <c r="P459" t="s">
        <v>103</v>
      </c>
      <c r="Q459" s="3">
        <v>0.41666666666666669</v>
      </c>
      <c r="R459" t="b">
        <v>1</v>
      </c>
      <c r="S459" t="s">
        <v>2121</v>
      </c>
    </row>
    <row r="460" spans="1:19" hidden="1" x14ac:dyDescent="0.2">
      <c r="A460">
        <v>458</v>
      </c>
      <c r="B460" t="s">
        <v>606</v>
      </c>
      <c r="C460" t="s">
        <v>605</v>
      </c>
      <c r="D460">
        <v>91784</v>
      </c>
      <c r="E460">
        <v>15</v>
      </c>
      <c r="F460">
        <v>10350170</v>
      </c>
      <c r="G460" t="s">
        <v>914</v>
      </c>
      <c r="H460" t="s">
        <v>113</v>
      </c>
      <c r="I460" s="3">
        <v>0.33333333333333331</v>
      </c>
      <c r="J460" t="s">
        <v>113</v>
      </c>
      <c r="K460" s="3">
        <v>0.33333333333333331</v>
      </c>
      <c r="L460" t="s">
        <v>113</v>
      </c>
      <c r="M460" s="3">
        <v>0.33333333333333331</v>
      </c>
      <c r="N460" t="s">
        <v>113</v>
      </c>
      <c r="O460" s="3">
        <v>0.33333333333333331</v>
      </c>
      <c r="P460" t="s">
        <v>199</v>
      </c>
      <c r="Q460" s="3">
        <v>0.25</v>
      </c>
      <c r="R460" t="b">
        <v>1</v>
      </c>
      <c r="S460" t="s">
        <v>2122</v>
      </c>
    </row>
    <row r="461" spans="1:19" x14ac:dyDescent="0.2">
      <c r="A461">
        <v>459</v>
      </c>
      <c r="B461" t="s">
        <v>946</v>
      </c>
      <c r="C461" t="s">
        <v>355</v>
      </c>
      <c r="D461">
        <v>91711</v>
      </c>
      <c r="E461">
        <v>1</v>
      </c>
      <c r="F461">
        <v>10156943</v>
      </c>
      <c r="G461" t="s">
        <v>1495</v>
      </c>
      <c r="H461" t="s">
        <v>202</v>
      </c>
      <c r="I461" s="3">
        <v>0.25</v>
      </c>
      <c r="J461" t="s">
        <v>933</v>
      </c>
      <c r="K461" s="3">
        <v>0.41666666666666669</v>
      </c>
      <c r="L461" t="s">
        <v>933</v>
      </c>
      <c r="M461" s="3">
        <v>0.375</v>
      </c>
      <c r="N461" t="s">
        <v>933</v>
      </c>
      <c r="O461" s="3">
        <v>0.375</v>
      </c>
      <c r="P461" t="s">
        <v>202</v>
      </c>
      <c r="Q461" s="3">
        <v>0.25</v>
      </c>
      <c r="R461" t="b">
        <v>1</v>
      </c>
      <c r="S461" t="s">
        <v>2123</v>
      </c>
    </row>
    <row r="462" spans="1:19" hidden="1" x14ac:dyDescent="0.2">
      <c r="A462">
        <v>460</v>
      </c>
      <c r="B462" t="s">
        <v>171</v>
      </c>
      <c r="C462" t="s">
        <v>170</v>
      </c>
      <c r="D462">
        <v>92553</v>
      </c>
      <c r="E462">
        <v>46</v>
      </c>
      <c r="F462">
        <v>10355978</v>
      </c>
      <c r="G462" t="s">
        <v>914</v>
      </c>
      <c r="H462" t="s">
        <v>113</v>
      </c>
      <c r="I462" s="3">
        <v>0.33333333333333331</v>
      </c>
      <c r="J462" t="s">
        <v>103</v>
      </c>
      <c r="K462" s="3">
        <v>0.33333333333333331</v>
      </c>
      <c r="L462" t="s">
        <v>113</v>
      </c>
      <c r="M462" s="3">
        <v>0.33333333333333331</v>
      </c>
      <c r="N462" t="s">
        <v>113</v>
      </c>
      <c r="O462" s="3">
        <v>0.33333333333333331</v>
      </c>
      <c r="P462" t="s">
        <v>113</v>
      </c>
      <c r="Q462" s="3">
        <v>0.33333333333333331</v>
      </c>
      <c r="R462" t="b">
        <v>1</v>
      </c>
      <c r="S462" t="s">
        <v>2124</v>
      </c>
    </row>
    <row r="463" spans="1:19" hidden="1" x14ac:dyDescent="0.2">
      <c r="A463">
        <v>461</v>
      </c>
      <c r="B463" t="s">
        <v>1229</v>
      </c>
      <c r="C463" t="s">
        <v>847</v>
      </c>
      <c r="D463">
        <v>92337</v>
      </c>
      <c r="E463">
        <v>20</v>
      </c>
      <c r="F463">
        <v>10359053</v>
      </c>
      <c r="G463" t="s">
        <v>914</v>
      </c>
      <c r="H463" t="s">
        <v>113</v>
      </c>
      <c r="I463" s="3">
        <v>0.47916666666666669</v>
      </c>
      <c r="J463" t="s">
        <v>113</v>
      </c>
      <c r="K463" s="3">
        <v>0.47916666666666669</v>
      </c>
      <c r="L463" t="s">
        <v>113</v>
      </c>
      <c r="M463" s="3">
        <v>0.47916666666666669</v>
      </c>
      <c r="N463" t="s">
        <v>113</v>
      </c>
      <c r="O463" s="3">
        <v>0.25</v>
      </c>
      <c r="P463" t="s">
        <v>113</v>
      </c>
      <c r="Q463" s="3">
        <v>0.25</v>
      </c>
      <c r="R463" t="b">
        <v>1</v>
      </c>
      <c r="S463" t="s">
        <v>2125</v>
      </c>
    </row>
    <row r="464" spans="1:19" hidden="1" x14ac:dyDescent="0.2">
      <c r="A464">
        <v>462</v>
      </c>
      <c r="B464" t="s">
        <v>580</v>
      </c>
      <c r="C464" t="s">
        <v>1027</v>
      </c>
      <c r="D464">
        <v>91784</v>
      </c>
      <c r="E464">
        <v>4</v>
      </c>
      <c r="F464">
        <v>100430831</v>
      </c>
      <c r="G464" t="s">
        <v>914</v>
      </c>
      <c r="H464" t="s">
        <v>103</v>
      </c>
      <c r="I464" s="3">
        <v>0.33333333333333331</v>
      </c>
      <c r="J464" t="s">
        <v>113</v>
      </c>
      <c r="K464" s="3">
        <v>0.375</v>
      </c>
      <c r="L464" t="s">
        <v>113</v>
      </c>
      <c r="M464" s="3">
        <v>0.375</v>
      </c>
      <c r="N464" t="s">
        <v>113</v>
      </c>
      <c r="O464" s="3">
        <v>0.375</v>
      </c>
      <c r="P464" t="s">
        <v>103</v>
      </c>
      <c r="Q464" s="3">
        <v>0.33333333333333331</v>
      </c>
      <c r="R464" t="b">
        <v>1</v>
      </c>
      <c r="S464" t="s">
        <v>2126</v>
      </c>
    </row>
    <row r="465" spans="1:19" hidden="1" x14ac:dyDescent="0.2">
      <c r="A465">
        <v>463</v>
      </c>
      <c r="B465" t="s">
        <v>275</v>
      </c>
      <c r="C465" t="s">
        <v>274</v>
      </c>
      <c r="D465">
        <v>91708</v>
      </c>
      <c r="E465">
        <v>17</v>
      </c>
      <c r="F465">
        <v>103695161</v>
      </c>
      <c r="G465" t="s">
        <v>914</v>
      </c>
      <c r="H465" t="s">
        <v>113</v>
      </c>
      <c r="I465" s="3">
        <v>0.29166666666666669</v>
      </c>
      <c r="J465" t="s">
        <v>113</v>
      </c>
      <c r="K465" s="3">
        <v>0.29166666666666669</v>
      </c>
      <c r="L465" t="s">
        <v>113</v>
      </c>
      <c r="M465" s="3">
        <v>0.29166666666666669</v>
      </c>
      <c r="N465" t="s">
        <v>113</v>
      </c>
      <c r="O465" s="3">
        <v>0.29166666666666669</v>
      </c>
      <c r="P465" t="s">
        <v>103</v>
      </c>
      <c r="Q465" s="3">
        <v>0.29166666666666669</v>
      </c>
      <c r="R465" t="b">
        <v>1</v>
      </c>
      <c r="S465" t="s">
        <v>2127</v>
      </c>
    </row>
    <row r="466" spans="1:19" hidden="1" x14ac:dyDescent="0.2">
      <c r="A466">
        <v>464</v>
      </c>
      <c r="B466" t="s">
        <v>803</v>
      </c>
      <c r="C466" t="s">
        <v>802</v>
      </c>
      <c r="D466">
        <v>91784</v>
      </c>
      <c r="E466">
        <v>7</v>
      </c>
      <c r="F466">
        <v>10366651</v>
      </c>
      <c r="G466" t="s">
        <v>914</v>
      </c>
      <c r="H466" t="s">
        <v>103</v>
      </c>
      <c r="I466" s="3">
        <v>0.35416666666666669</v>
      </c>
      <c r="J466" t="s">
        <v>113</v>
      </c>
      <c r="K466" s="3">
        <v>0.35416666666666669</v>
      </c>
      <c r="L466" t="s">
        <v>113</v>
      </c>
      <c r="M466" s="3">
        <v>0.35416666666666669</v>
      </c>
      <c r="N466" t="s">
        <v>113</v>
      </c>
      <c r="O466" s="3">
        <v>0.35416666666666669</v>
      </c>
      <c r="P466" t="s">
        <v>103</v>
      </c>
      <c r="Q466" s="3">
        <v>0.35416666666666669</v>
      </c>
      <c r="R466" t="b">
        <v>1</v>
      </c>
      <c r="S466" t="s">
        <v>2128</v>
      </c>
    </row>
    <row r="467" spans="1:19" hidden="1" x14ac:dyDescent="0.2">
      <c r="A467">
        <v>465</v>
      </c>
      <c r="B467" t="s">
        <v>926</v>
      </c>
      <c r="C467" t="s">
        <v>927</v>
      </c>
      <c r="D467">
        <v>91711</v>
      </c>
      <c r="E467">
        <v>0.5</v>
      </c>
      <c r="F467">
        <v>10358521</v>
      </c>
      <c r="G467" t="s">
        <v>919</v>
      </c>
      <c r="H467" t="s">
        <v>92</v>
      </c>
      <c r="I467" s="3">
        <v>0.39583333333333331</v>
      </c>
      <c r="J467" t="s">
        <v>113</v>
      </c>
      <c r="K467" s="3">
        <v>0.39583333333333331</v>
      </c>
      <c r="L467" t="s">
        <v>113</v>
      </c>
      <c r="M467" s="3">
        <v>0.39583333333333331</v>
      </c>
      <c r="N467" t="s">
        <v>92</v>
      </c>
      <c r="O467" s="3">
        <v>0.39583333333333331</v>
      </c>
      <c r="P467" t="s">
        <v>92</v>
      </c>
      <c r="Q467" s="3">
        <v>0.39583333333333331</v>
      </c>
      <c r="R467" t="b">
        <v>1</v>
      </c>
      <c r="S467" t="s">
        <v>2129</v>
      </c>
    </row>
    <row r="468" spans="1:19" x14ac:dyDescent="0.2">
      <c r="A468">
        <v>466</v>
      </c>
      <c r="B468" t="s">
        <v>878</v>
      </c>
      <c r="C468" t="s">
        <v>2130</v>
      </c>
      <c r="D468">
        <v>91711</v>
      </c>
      <c r="E468">
        <v>1.1000000000000001</v>
      </c>
      <c r="F468">
        <v>10372637</v>
      </c>
      <c r="G468" t="s">
        <v>1495</v>
      </c>
      <c r="H468" t="s">
        <v>98</v>
      </c>
      <c r="I468" s="3">
        <v>0.375</v>
      </c>
      <c r="J468" t="s">
        <v>98</v>
      </c>
      <c r="K468" s="3">
        <v>0.375</v>
      </c>
      <c r="L468" t="s">
        <v>98</v>
      </c>
      <c r="M468" s="3">
        <v>0.375</v>
      </c>
      <c r="N468" t="s">
        <v>98</v>
      </c>
      <c r="O468" s="3">
        <v>0.375</v>
      </c>
      <c r="P468" t="s">
        <v>98</v>
      </c>
      <c r="Q468" s="3">
        <v>0.5</v>
      </c>
      <c r="R468" t="b">
        <v>1</v>
      </c>
      <c r="S468" t="s">
        <v>2131</v>
      </c>
    </row>
    <row r="469" spans="1:19" x14ac:dyDescent="0.2">
      <c r="A469">
        <v>467</v>
      </c>
      <c r="B469" t="s">
        <v>1380</v>
      </c>
      <c r="C469" t="s">
        <v>1381</v>
      </c>
      <c r="D469">
        <v>91711</v>
      </c>
      <c r="E469">
        <v>2</v>
      </c>
      <c r="F469">
        <v>102544251</v>
      </c>
      <c r="G469" t="s">
        <v>1495</v>
      </c>
      <c r="H469" t="s">
        <v>98</v>
      </c>
      <c r="I469" s="3">
        <v>0.375</v>
      </c>
      <c r="J469" t="s">
        <v>98</v>
      </c>
      <c r="K469" s="3">
        <v>0.35416666666666669</v>
      </c>
      <c r="L469" t="s">
        <v>191</v>
      </c>
      <c r="M469" s="3">
        <v>0.375</v>
      </c>
      <c r="N469" t="s">
        <v>191</v>
      </c>
      <c r="O469" s="3">
        <v>0.375</v>
      </c>
      <c r="P469" t="s">
        <v>191</v>
      </c>
      <c r="Q469" s="3">
        <v>0.375</v>
      </c>
      <c r="R469" t="b">
        <v>1</v>
      </c>
      <c r="S469" t="s">
        <v>2132</v>
      </c>
    </row>
    <row r="470" spans="1:19" hidden="1" x14ac:dyDescent="0.2">
      <c r="A470">
        <v>468</v>
      </c>
      <c r="B470" t="s">
        <v>337</v>
      </c>
      <c r="C470" t="s">
        <v>336</v>
      </c>
      <c r="D470">
        <v>92337</v>
      </c>
      <c r="E470">
        <v>19</v>
      </c>
      <c r="F470">
        <v>10092419</v>
      </c>
      <c r="G470" t="s">
        <v>914</v>
      </c>
      <c r="H470" t="s">
        <v>191</v>
      </c>
      <c r="I470" s="3">
        <v>0.375</v>
      </c>
      <c r="J470" t="s">
        <v>113</v>
      </c>
      <c r="K470" s="3">
        <v>0.375</v>
      </c>
      <c r="L470" t="s">
        <v>113</v>
      </c>
      <c r="M470" s="3">
        <v>0.375</v>
      </c>
      <c r="N470" t="s">
        <v>113</v>
      </c>
      <c r="O470" s="3">
        <v>0.375</v>
      </c>
      <c r="P470" t="s">
        <v>113</v>
      </c>
      <c r="Q470" s="3">
        <v>0.375</v>
      </c>
      <c r="R470" t="b">
        <v>1</v>
      </c>
      <c r="S470" t="s">
        <v>2133</v>
      </c>
    </row>
    <row r="471" spans="1:19" x14ac:dyDescent="0.2">
      <c r="A471">
        <v>469</v>
      </c>
      <c r="B471" t="s">
        <v>778</v>
      </c>
      <c r="C471" t="s">
        <v>777</v>
      </c>
      <c r="D471">
        <v>92833</v>
      </c>
      <c r="E471">
        <v>29.9</v>
      </c>
      <c r="F471">
        <v>103559641</v>
      </c>
      <c r="G471" t="s">
        <v>1495</v>
      </c>
      <c r="H471" t="s">
        <v>202</v>
      </c>
      <c r="I471" s="3">
        <v>0.45833333333333331</v>
      </c>
      <c r="J471" t="s">
        <v>113</v>
      </c>
      <c r="K471" s="3">
        <v>0.83333333333333337</v>
      </c>
      <c r="L471" t="s">
        <v>202</v>
      </c>
      <c r="M471" s="3">
        <v>0.45833333333333331</v>
      </c>
      <c r="N471" t="s">
        <v>113</v>
      </c>
      <c r="O471" s="3">
        <v>0.83333333333333337</v>
      </c>
      <c r="P471" t="s">
        <v>202</v>
      </c>
      <c r="Q471" s="3">
        <v>0.45833333333333331</v>
      </c>
      <c r="R471" t="b">
        <v>0</v>
      </c>
      <c r="S471" t="s">
        <v>2134</v>
      </c>
    </row>
    <row r="472" spans="1:19" hidden="1" x14ac:dyDescent="0.2">
      <c r="A472">
        <v>470</v>
      </c>
      <c r="B472" t="s">
        <v>1298</v>
      </c>
      <c r="C472" t="s">
        <v>1299</v>
      </c>
      <c r="D472">
        <v>91780</v>
      </c>
      <c r="E472">
        <v>35</v>
      </c>
      <c r="F472">
        <v>10371388</v>
      </c>
      <c r="G472" t="s">
        <v>914</v>
      </c>
      <c r="H472" t="s">
        <v>113</v>
      </c>
      <c r="I472" s="3">
        <v>0.33333333333333331</v>
      </c>
      <c r="J472" t="s">
        <v>113</v>
      </c>
      <c r="K472" s="3">
        <v>0.33333333333333331</v>
      </c>
      <c r="L472" t="s">
        <v>113</v>
      </c>
      <c r="M472" s="3">
        <v>0.33333333333333331</v>
      </c>
      <c r="N472" t="s">
        <v>103</v>
      </c>
      <c r="O472" s="3">
        <v>0.33333333333333331</v>
      </c>
      <c r="P472" t="s">
        <v>103</v>
      </c>
      <c r="Q472" s="3">
        <v>0.33333333333333331</v>
      </c>
      <c r="R472" t="b">
        <v>1</v>
      </c>
      <c r="S472" t="s">
        <v>2135</v>
      </c>
    </row>
    <row r="473" spans="1:19" hidden="1" x14ac:dyDescent="0.2">
      <c r="A473">
        <v>471</v>
      </c>
      <c r="B473" t="s">
        <v>944</v>
      </c>
      <c r="C473" t="s">
        <v>945</v>
      </c>
      <c r="D473">
        <v>91711</v>
      </c>
      <c r="E473">
        <v>1</v>
      </c>
      <c r="F473">
        <v>100436878</v>
      </c>
      <c r="G473" t="s">
        <v>914</v>
      </c>
      <c r="H473" t="s">
        <v>92</v>
      </c>
      <c r="I473" s="3">
        <v>0.33333333333333331</v>
      </c>
      <c r="J473" t="s">
        <v>103</v>
      </c>
      <c r="K473" s="3">
        <v>0.33333333333333331</v>
      </c>
      <c r="L473" t="s">
        <v>92</v>
      </c>
      <c r="M473" s="3">
        <v>0.33333333333333331</v>
      </c>
      <c r="N473" t="s">
        <v>92</v>
      </c>
      <c r="O473" s="3">
        <v>0.33333333333333331</v>
      </c>
      <c r="P473" t="s">
        <v>103</v>
      </c>
      <c r="Q473" s="3">
        <v>0.33333333333333331</v>
      </c>
      <c r="R473" t="b">
        <v>1</v>
      </c>
      <c r="S473" t="s">
        <v>2136</v>
      </c>
    </row>
    <row r="474" spans="1:19" x14ac:dyDescent="0.2">
      <c r="A474">
        <v>472</v>
      </c>
      <c r="B474" t="s">
        <v>2137</v>
      </c>
      <c r="C474" t="s">
        <v>2138</v>
      </c>
      <c r="D474">
        <v>91711</v>
      </c>
      <c r="E474">
        <v>1.2</v>
      </c>
      <c r="F474">
        <v>102814231</v>
      </c>
      <c r="G474" t="s">
        <v>1495</v>
      </c>
      <c r="H474" t="s">
        <v>113</v>
      </c>
      <c r="I474" s="3">
        <v>0.5</v>
      </c>
      <c r="J474" t="s">
        <v>113</v>
      </c>
      <c r="K474" s="3">
        <v>0.54166666666666663</v>
      </c>
      <c r="L474" t="s">
        <v>113</v>
      </c>
      <c r="M474" s="3">
        <v>0.5</v>
      </c>
      <c r="N474" t="s">
        <v>113</v>
      </c>
      <c r="O474" s="3">
        <v>0.45833333333333331</v>
      </c>
      <c r="P474" t="s">
        <v>113</v>
      </c>
      <c r="Q474" s="3">
        <v>0.58333333333333337</v>
      </c>
      <c r="R474" t="b">
        <v>0</v>
      </c>
      <c r="S474" t="s">
        <v>2139</v>
      </c>
    </row>
    <row r="475" spans="1:19" hidden="1" x14ac:dyDescent="0.2">
      <c r="A475">
        <v>473</v>
      </c>
      <c r="B475" t="s">
        <v>820</v>
      </c>
      <c r="C475" t="s">
        <v>844</v>
      </c>
      <c r="D475">
        <v>92392</v>
      </c>
      <c r="E475">
        <v>48</v>
      </c>
      <c r="F475">
        <v>100442712</v>
      </c>
      <c r="G475" t="s">
        <v>914</v>
      </c>
      <c r="H475" t="s">
        <v>1176</v>
      </c>
      <c r="I475" s="3">
        <v>0.375</v>
      </c>
      <c r="J475" t="s">
        <v>1176</v>
      </c>
      <c r="K475" s="3">
        <v>0.375</v>
      </c>
      <c r="L475" t="s">
        <v>1176</v>
      </c>
      <c r="M475" s="3">
        <v>0.375</v>
      </c>
      <c r="N475" t="s">
        <v>1176</v>
      </c>
      <c r="O475" s="3">
        <v>0.375</v>
      </c>
      <c r="P475" t="s">
        <v>1176</v>
      </c>
      <c r="Q475" s="3">
        <v>0.375</v>
      </c>
      <c r="R475" t="b">
        <v>1</v>
      </c>
      <c r="S475" t="s">
        <v>2140</v>
      </c>
    </row>
    <row r="476" spans="1:19" hidden="1" x14ac:dyDescent="0.2">
      <c r="A476">
        <v>474</v>
      </c>
      <c r="B476" t="s">
        <v>820</v>
      </c>
      <c r="C476" t="s">
        <v>728</v>
      </c>
      <c r="D476">
        <v>92333</v>
      </c>
      <c r="E476">
        <v>20</v>
      </c>
      <c r="F476">
        <v>10042922</v>
      </c>
      <c r="G476" t="s">
        <v>914</v>
      </c>
      <c r="H476" t="s">
        <v>933</v>
      </c>
      <c r="I476" s="3">
        <v>0.20833333333333334</v>
      </c>
      <c r="J476" t="s">
        <v>933</v>
      </c>
      <c r="K476" s="3">
        <v>0.20833333333333334</v>
      </c>
      <c r="L476" t="s">
        <v>933</v>
      </c>
      <c r="M476" s="3">
        <v>0.20833333333333334</v>
      </c>
      <c r="N476" t="s">
        <v>933</v>
      </c>
      <c r="O476" s="3">
        <v>0.20833333333333334</v>
      </c>
      <c r="P476" t="s">
        <v>933</v>
      </c>
      <c r="Q476" s="3">
        <v>0.20833333333333334</v>
      </c>
      <c r="R476" t="b">
        <v>0</v>
      </c>
      <c r="S476" t="s">
        <v>2141</v>
      </c>
    </row>
    <row r="477" spans="1:19" hidden="1" x14ac:dyDescent="0.2">
      <c r="A477">
        <v>475</v>
      </c>
      <c r="B477" t="s">
        <v>255</v>
      </c>
      <c r="C477" t="s">
        <v>1331</v>
      </c>
      <c r="D477">
        <v>92311</v>
      </c>
      <c r="E477">
        <v>86</v>
      </c>
      <c r="F477">
        <v>10308227</v>
      </c>
      <c r="G477" t="s">
        <v>914</v>
      </c>
      <c r="H477" t="s">
        <v>113</v>
      </c>
      <c r="I477" s="3">
        <v>0.25</v>
      </c>
      <c r="J477" t="s">
        <v>113</v>
      </c>
      <c r="K477" s="3">
        <v>0.25</v>
      </c>
      <c r="L477" t="s">
        <v>113</v>
      </c>
      <c r="M477" s="3">
        <v>0.25</v>
      </c>
      <c r="N477" t="s">
        <v>113</v>
      </c>
      <c r="O477" s="3">
        <v>0.25</v>
      </c>
      <c r="P477" t="s">
        <v>113</v>
      </c>
      <c r="Q477" s="3">
        <v>0.25</v>
      </c>
      <c r="R477" t="b">
        <v>1</v>
      </c>
      <c r="S477" t="s">
        <v>2142</v>
      </c>
    </row>
    <row r="478" spans="1:19" hidden="1" x14ac:dyDescent="0.2">
      <c r="A478">
        <v>476</v>
      </c>
      <c r="B478" t="s">
        <v>1201</v>
      </c>
      <c r="C478" t="s">
        <v>1202</v>
      </c>
      <c r="D478">
        <v>92336</v>
      </c>
      <c r="E478">
        <v>16</v>
      </c>
      <c r="F478">
        <v>102891262</v>
      </c>
      <c r="G478" t="s">
        <v>914</v>
      </c>
      <c r="H478" t="s">
        <v>113</v>
      </c>
      <c r="I478" s="3">
        <v>0.25</v>
      </c>
      <c r="J478" t="s">
        <v>113</v>
      </c>
      <c r="K478" s="3">
        <v>0.25</v>
      </c>
      <c r="L478" t="s">
        <v>113</v>
      </c>
      <c r="M478" s="3">
        <v>0.25</v>
      </c>
      <c r="N478" t="s">
        <v>113</v>
      </c>
      <c r="O478" s="3">
        <v>0.25</v>
      </c>
      <c r="P478" t="s">
        <v>113</v>
      </c>
      <c r="Q478" s="3">
        <v>0.25</v>
      </c>
      <c r="R478" t="b">
        <v>1</v>
      </c>
      <c r="S478" t="s">
        <v>2143</v>
      </c>
    </row>
    <row r="479" spans="1:19" x14ac:dyDescent="0.2">
      <c r="A479">
        <v>477</v>
      </c>
      <c r="B479" t="s">
        <v>1347</v>
      </c>
      <c r="C479" t="s">
        <v>1348</v>
      </c>
      <c r="D479">
        <v>91711</v>
      </c>
      <c r="E479">
        <v>1</v>
      </c>
      <c r="F479">
        <v>10144775</v>
      </c>
      <c r="G479" t="s">
        <v>1495</v>
      </c>
      <c r="H479" t="s">
        <v>113</v>
      </c>
      <c r="I479" s="3">
        <v>0.75</v>
      </c>
      <c r="J479" t="s">
        <v>202</v>
      </c>
      <c r="K479" s="3">
        <v>0.25</v>
      </c>
      <c r="L479" t="s">
        <v>113</v>
      </c>
      <c r="M479" s="3">
        <v>0.75</v>
      </c>
      <c r="N479" t="s">
        <v>202</v>
      </c>
      <c r="O479" s="3">
        <v>0.25</v>
      </c>
      <c r="P479" t="s">
        <v>92</v>
      </c>
      <c r="Q479" s="3">
        <v>0.375</v>
      </c>
      <c r="R479" t="b">
        <v>1</v>
      </c>
      <c r="S479" t="s">
        <v>2144</v>
      </c>
    </row>
    <row r="480" spans="1:19" hidden="1" x14ac:dyDescent="0.2">
      <c r="A480">
        <v>478</v>
      </c>
      <c r="B480" t="s">
        <v>1069</v>
      </c>
      <c r="C480" t="s">
        <v>689</v>
      </c>
      <c r="D480">
        <v>91730</v>
      </c>
      <c r="E480">
        <v>6</v>
      </c>
      <c r="F480">
        <v>10352674</v>
      </c>
      <c r="G480" t="s">
        <v>914</v>
      </c>
      <c r="H480" t="s">
        <v>113</v>
      </c>
      <c r="I480" s="3">
        <v>0.25</v>
      </c>
      <c r="J480" t="s">
        <v>113</v>
      </c>
      <c r="K480" s="3">
        <v>0.25</v>
      </c>
      <c r="L480" t="s">
        <v>113</v>
      </c>
      <c r="M480" s="3">
        <v>0.25</v>
      </c>
      <c r="N480" t="s">
        <v>113</v>
      </c>
      <c r="O480" s="3">
        <v>0.25</v>
      </c>
      <c r="P480" t="s">
        <v>113</v>
      </c>
      <c r="Q480" s="3">
        <v>0.25</v>
      </c>
      <c r="R480" t="b">
        <v>1</v>
      </c>
      <c r="S480" t="s">
        <v>2145</v>
      </c>
    </row>
    <row r="481" spans="1:19" hidden="1" x14ac:dyDescent="0.2">
      <c r="A481">
        <v>479</v>
      </c>
      <c r="B481" t="s">
        <v>1322</v>
      </c>
      <c r="C481" t="s">
        <v>558</v>
      </c>
      <c r="D481">
        <v>92407</v>
      </c>
      <c r="E481">
        <v>47</v>
      </c>
      <c r="F481">
        <v>10338974</v>
      </c>
      <c r="G481" t="s">
        <v>914</v>
      </c>
      <c r="H481" t="s">
        <v>113</v>
      </c>
      <c r="I481" s="3">
        <v>0.5</v>
      </c>
      <c r="J481" t="s">
        <v>113</v>
      </c>
      <c r="K481" s="3">
        <v>0.5</v>
      </c>
      <c r="L481" t="s">
        <v>113</v>
      </c>
      <c r="M481" s="3">
        <v>0.5</v>
      </c>
      <c r="N481" t="s">
        <v>113</v>
      </c>
      <c r="O481" s="3">
        <v>0.5</v>
      </c>
      <c r="P481" t="s">
        <v>113</v>
      </c>
      <c r="Q481" s="3">
        <v>0.5</v>
      </c>
      <c r="R481" t="b">
        <v>0</v>
      </c>
      <c r="S481" t="s">
        <v>2146</v>
      </c>
    </row>
    <row r="482" spans="1:19" hidden="1" x14ac:dyDescent="0.2">
      <c r="A482">
        <v>480</v>
      </c>
      <c r="B482" t="s">
        <v>968</v>
      </c>
      <c r="C482" t="s">
        <v>969</v>
      </c>
      <c r="D482">
        <v>91767</v>
      </c>
      <c r="E482">
        <v>2</v>
      </c>
      <c r="F482">
        <v>102053094</v>
      </c>
      <c r="G482" t="s">
        <v>914</v>
      </c>
      <c r="H482" t="s">
        <v>113</v>
      </c>
      <c r="I482" s="3">
        <v>0.5</v>
      </c>
      <c r="J482" t="s">
        <v>113</v>
      </c>
      <c r="K482" s="3">
        <v>0.5</v>
      </c>
      <c r="L482" t="s">
        <v>113</v>
      </c>
      <c r="M482" s="3">
        <v>0.5</v>
      </c>
      <c r="N482" t="s">
        <v>113</v>
      </c>
      <c r="O482" s="3">
        <v>0.5</v>
      </c>
      <c r="P482" t="s">
        <v>113</v>
      </c>
      <c r="Q482" s="3">
        <v>0.5</v>
      </c>
      <c r="R482" t="b">
        <v>0</v>
      </c>
      <c r="S482" t="s">
        <v>2147</v>
      </c>
    </row>
    <row r="483" spans="1:19" hidden="1" x14ac:dyDescent="0.2">
      <c r="A483">
        <v>481</v>
      </c>
      <c r="B483" t="s">
        <v>1242</v>
      </c>
      <c r="C483" t="s">
        <v>436</v>
      </c>
      <c r="D483">
        <v>92504</v>
      </c>
      <c r="E483">
        <v>23</v>
      </c>
      <c r="F483">
        <v>103587452</v>
      </c>
      <c r="G483" t="s">
        <v>914</v>
      </c>
      <c r="H483" t="s">
        <v>113</v>
      </c>
      <c r="I483" s="3">
        <v>0.22916666666666666</v>
      </c>
      <c r="J483" t="s">
        <v>113</v>
      </c>
      <c r="K483" s="3">
        <v>0.22916666666666666</v>
      </c>
      <c r="L483" t="s">
        <v>113</v>
      </c>
      <c r="M483" s="3">
        <v>0.22916666666666666</v>
      </c>
      <c r="N483" t="s">
        <v>113</v>
      </c>
      <c r="O483" s="3">
        <v>0.22916666666666666</v>
      </c>
      <c r="P483" t="s">
        <v>202</v>
      </c>
      <c r="Q483" s="3">
        <v>0.45833333333333331</v>
      </c>
      <c r="R483" t="b">
        <v>0</v>
      </c>
      <c r="S483" t="s">
        <v>2148</v>
      </c>
    </row>
    <row r="484" spans="1:19" hidden="1" x14ac:dyDescent="0.2">
      <c r="A484">
        <v>482</v>
      </c>
      <c r="B484" t="s">
        <v>148</v>
      </c>
      <c r="C484" t="s">
        <v>1118</v>
      </c>
      <c r="D484">
        <v>91761</v>
      </c>
      <c r="E484">
        <v>9</v>
      </c>
      <c r="F484">
        <v>10372587</v>
      </c>
      <c r="G484" t="s">
        <v>914</v>
      </c>
      <c r="H484" t="s">
        <v>113</v>
      </c>
      <c r="I484" s="3">
        <v>0.25</v>
      </c>
      <c r="J484" t="s">
        <v>113</v>
      </c>
      <c r="K484" s="3">
        <v>0.25</v>
      </c>
      <c r="L484" t="s">
        <v>113</v>
      </c>
      <c r="M484" s="3">
        <v>0.25</v>
      </c>
      <c r="N484" t="s">
        <v>113</v>
      </c>
      <c r="O484" s="3">
        <v>0.25</v>
      </c>
      <c r="P484" t="s">
        <v>202</v>
      </c>
      <c r="Q484" s="3">
        <v>0.25</v>
      </c>
      <c r="R484" t="b">
        <v>1</v>
      </c>
      <c r="S484" t="s">
        <v>2149</v>
      </c>
    </row>
    <row r="485" spans="1:19" hidden="1" x14ac:dyDescent="0.2">
      <c r="A485">
        <v>483</v>
      </c>
      <c r="B485" t="s">
        <v>1028</v>
      </c>
      <c r="C485" t="s">
        <v>720</v>
      </c>
      <c r="D485">
        <v>91786</v>
      </c>
      <c r="E485">
        <v>4</v>
      </c>
      <c r="F485">
        <v>101912674</v>
      </c>
      <c r="G485" t="s">
        <v>914</v>
      </c>
      <c r="H485" t="s">
        <v>113</v>
      </c>
      <c r="I485" s="3">
        <v>0.5</v>
      </c>
      <c r="J485" t="s">
        <v>113</v>
      </c>
      <c r="K485" s="3">
        <v>0.5</v>
      </c>
      <c r="L485" t="s">
        <v>113</v>
      </c>
      <c r="M485" s="3">
        <v>0.5</v>
      </c>
      <c r="N485" t="s">
        <v>113</v>
      </c>
      <c r="O485" s="3">
        <v>0.5</v>
      </c>
      <c r="P485" t="s">
        <v>183</v>
      </c>
      <c r="Q485" s="3">
        <v>0.5</v>
      </c>
      <c r="R485" t="b">
        <v>0</v>
      </c>
      <c r="S485" t="s">
        <v>2150</v>
      </c>
    </row>
    <row r="486" spans="1:19" hidden="1" x14ac:dyDescent="0.2">
      <c r="A486">
        <v>484</v>
      </c>
      <c r="B486" t="s">
        <v>462</v>
      </c>
      <c r="C486" t="s">
        <v>537</v>
      </c>
      <c r="D486">
        <v>91763</v>
      </c>
      <c r="E486">
        <v>10</v>
      </c>
      <c r="F486">
        <v>10043591</v>
      </c>
      <c r="G486" t="s">
        <v>914</v>
      </c>
      <c r="H486" t="s">
        <v>113</v>
      </c>
      <c r="I486" s="3">
        <v>0.22916666666666666</v>
      </c>
      <c r="J486" t="s">
        <v>113</v>
      </c>
      <c r="K486" s="3">
        <v>0.22916666666666666</v>
      </c>
      <c r="L486" t="s">
        <v>113</v>
      </c>
      <c r="M486" s="3">
        <v>0.22916666666666666</v>
      </c>
      <c r="N486" t="s">
        <v>113</v>
      </c>
      <c r="O486" s="3">
        <v>0.22916666666666666</v>
      </c>
      <c r="P486" t="s">
        <v>113</v>
      </c>
      <c r="Q486" s="3">
        <v>0.22916666666666666</v>
      </c>
      <c r="R486" t="b">
        <v>0</v>
      </c>
      <c r="S486" t="s">
        <v>2151</v>
      </c>
    </row>
    <row r="487" spans="1:19" hidden="1" x14ac:dyDescent="0.2">
      <c r="A487">
        <v>485</v>
      </c>
      <c r="B487" t="s">
        <v>592</v>
      </c>
      <c r="C487" t="s">
        <v>591</v>
      </c>
      <c r="D487">
        <v>91711</v>
      </c>
      <c r="E487">
        <v>2</v>
      </c>
      <c r="F487">
        <v>103580664</v>
      </c>
      <c r="G487" t="s">
        <v>914</v>
      </c>
      <c r="H487" t="s">
        <v>113</v>
      </c>
      <c r="I487" s="3">
        <v>0.22916666666666666</v>
      </c>
      <c r="J487" t="s">
        <v>113</v>
      </c>
      <c r="K487" s="3">
        <v>0.22916666666666666</v>
      </c>
      <c r="L487" t="s">
        <v>113</v>
      </c>
      <c r="M487" s="3">
        <v>0.22916666666666666</v>
      </c>
      <c r="N487" t="s">
        <v>113</v>
      </c>
      <c r="O487" s="3">
        <v>0.22916666666666666</v>
      </c>
      <c r="P487" t="s">
        <v>183</v>
      </c>
      <c r="Q487" s="3">
        <v>0.22916666666666666</v>
      </c>
      <c r="R487" t="b">
        <v>0</v>
      </c>
      <c r="S487" t="s">
        <v>2152</v>
      </c>
    </row>
    <row r="488" spans="1:19" hidden="1" x14ac:dyDescent="0.2">
      <c r="A488">
        <v>486</v>
      </c>
      <c r="B488" t="s">
        <v>869</v>
      </c>
      <c r="C488" t="s">
        <v>336</v>
      </c>
      <c r="D488">
        <v>91791</v>
      </c>
      <c r="E488">
        <v>15</v>
      </c>
      <c r="F488">
        <v>10271689</v>
      </c>
      <c r="G488" t="s">
        <v>914</v>
      </c>
      <c r="H488" t="s">
        <v>113</v>
      </c>
      <c r="I488" s="3">
        <v>0.22916666666666666</v>
      </c>
      <c r="J488" t="s">
        <v>113</v>
      </c>
      <c r="K488" s="3">
        <v>0.22916666666666666</v>
      </c>
      <c r="L488" t="s">
        <v>113</v>
      </c>
      <c r="M488" s="3">
        <v>0.22916666666666666</v>
      </c>
      <c r="N488" t="s">
        <v>113</v>
      </c>
      <c r="O488" s="3">
        <v>0.22916666666666666</v>
      </c>
      <c r="P488" t="s">
        <v>113</v>
      </c>
      <c r="Q488" s="3">
        <v>0.22916666666666666</v>
      </c>
      <c r="R488" t="b">
        <v>0</v>
      </c>
      <c r="S488" t="s">
        <v>2153</v>
      </c>
    </row>
    <row r="489" spans="1:19" hidden="1" x14ac:dyDescent="0.2">
      <c r="A489">
        <v>487</v>
      </c>
      <c r="B489" t="s">
        <v>1187</v>
      </c>
      <c r="C489" t="s">
        <v>1188</v>
      </c>
      <c r="D489">
        <v>91766</v>
      </c>
      <c r="E489">
        <v>15</v>
      </c>
      <c r="F489">
        <v>10275594</v>
      </c>
      <c r="G489" t="s">
        <v>914</v>
      </c>
      <c r="H489" t="s">
        <v>113</v>
      </c>
      <c r="I489" s="3">
        <v>0.25</v>
      </c>
      <c r="J489" t="s">
        <v>113</v>
      </c>
      <c r="K489" s="3">
        <v>0.25</v>
      </c>
      <c r="L489" t="s">
        <v>113</v>
      </c>
      <c r="M489" s="3">
        <v>0.25</v>
      </c>
      <c r="N489" t="s">
        <v>113</v>
      </c>
      <c r="O489" s="3">
        <v>0.25</v>
      </c>
      <c r="P489" t="s">
        <v>183</v>
      </c>
      <c r="Q489" s="3">
        <v>0.25</v>
      </c>
      <c r="R489" t="b">
        <v>1</v>
      </c>
      <c r="S489" t="s">
        <v>2154</v>
      </c>
    </row>
    <row r="490" spans="1:19" hidden="1" x14ac:dyDescent="0.2">
      <c r="A490">
        <v>488</v>
      </c>
      <c r="B490" t="s">
        <v>356</v>
      </c>
      <c r="C490" t="s">
        <v>1134</v>
      </c>
      <c r="D490">
        <v>91761</v>
      </c>
      <c r="E490">
        <v>10</v>
      </c>
      <c r="F490">
        <v>10043655</v>
      </c>
      <c r="G490" t="s">
        <v>914</v>
      </c>
      <c r="H490" t="s">
        <v>113</v>
      </c>
      <c r="I490" s="3">
        <v>0.22916666666666666</v>
      </c>
      <c r="J490" t="s">
        <v>113</v>
      </c>
      <c r="K490" s="3">
        <v>0.22916666666666666</v>
      </c>
      <c r="L490" t="s">
        <v>113</v>
      </c>
      <c r="M490" s="3">
        <v>0.22916666666666666</v>
      </c>
      <c r="N490" t="s">
        <v>113</v>
      </c>
      <c r="O490" s="3">
        <v>0.22916666666666666</v>
      </c>
      <c r="P490" t="s">
        <v>113</v>
      </c>
      <c r="Q490" s="3">
        <v>0.22916666666666666</v>
      </c>
      <c r="R490" t="b">
        <v>0</v>
      </c>
      <c r="S490" t="s">
        <v>2155</v>
      </c>
    </row>
    <row r="491" spans="1:19" hidden="1" x14ac:dyDescent="0.2">
      <c r="A491">
        <v>489</v>
      </c>
      <c r="B491" t="s">
        <v>1149</v>
      </c>
      <c r="C491" t="s">
        <v>1150</v>
      </c>
      <c r="D491">
        <v>91765</v>
      </c>
      <c r="E491">
        <v>12</v>
      </c>
      <c r="F491">
        <v>10351165</v>
      </c>
      <c r="G491" t="s">
        <v>914</v>
      </c>
      <c r="H491" t="s">
        <v>113</v>
      </c>
      <c r="I491" s="3">
        <v>0.5</v>
      </c>
      <c r="J491" t="s">
        <v>113</v>
      </c>
      <c r="K491" s="3">
        <v>0.5</v>
      </c>
      <c r="L491" t="s">
        <v>113</v>
      </c>
      <c r="M491" s="3">
        <v>0.5</v>
      </c>
      <c r="N491" t="s">
        <v>113</v>
      </c>
      <c r="O491" s="3">
        <v>0.5</v>
      </c>
      <c r="P491" t="s">
        <v>113</v>
      </c>
      <c r="Q491" s="3">
        <v>0.5</v>
      </c>
      <c r="R491" t="b">
        <v>0</v>
      </c>
      <c r="S491" t="s">
        <v>2156</v>
      </c>
    </row>
    <row r="492" spans="1:19" x14ac:dyDescent="0.2">
      <c r="A492">
        <v>490</v>
      </c>
      <c r="B492" t="s">
        <v>1384</v>
      </c>
      <c r="C492" t="s">
        <v>1385</v>
      </c>
      <c r="D492">
        <v>91711</v>
      </c>
      <c r="E492">
        <v>5</v>
      </c>
      <c r="F492">
        <v>10348299</v>
      </c>
      <c r="G492" t="s">
        <v>1495</v>
      </c>
      <c r="H492" t="s">
        <v>74</v>
      </c>
      <c r="I492" s="3">
        <v>0.41666666666666669</v>
      </c>
      <c r="J492" t="s">
        <v>74</v>
      </c>
      <c r="K492" s="3">
        <v>0.41666666666666669</v>
      </c>
      <c r="L492" t="s">
        <v>74</v>
      </c>
      <c r="M492" s="3">
        <v>0.41666666666666669</v>
      </c>
      <c r="N492" t="s">
        <v>74</v>
      </c>
      <c r="O492" s="3">
        <v>0.41666666666666669</v>
      </c>
      <c r="P492" t="s">
        <v>74</v>
      </c>
      <c r="Q492" s="3">
        <v>0.41666666666666669</v>
      </c>
      <c r="R492" t="b">
        <v>1</v>
      </c>
      <c r="S492" t="s">
        <v>2157</v>
      </c>
    </row>
    <row r="493" spans="1:19" hidden="1" x14ac:dyDescent="0.2">
      <c r="A493">
        <v>491</v>
      </c>
      <c r="B493" t="s">
        <v>1105</v>
      </c>
      <c r="C493" t="s">
        <v>1106</v>
      </c>
      <c r="D493">
        <v>91730</v>
      </c>
      <c r="E493">
        <v>8</v>
      </c>
      <c r="F493">
        <v>10043235</v>
      </c>
      <c r="G493" t="s">
        <v>914</v>
      </c>
      <c r="H493" t="s">
        <v>113</v>
      </c>
      <c r="I493" s="3">
        <v>0.64583333333333337</v>
      </c>
      <c r="J493" t="s">
        <v>113</v>
      </c>
      <c r="K493" s="3">
        <v>0.64583333333333337</v>
      </c>
      <c r="L493" t="s">
        <v>113</v>
      </c>
      <c r="M493" s="3">
        <v>0.64583333333333337</v>
      </c>
      <c r="N493" t="s">
        <v>113</v>
      </c>
      <c r="O493" s="3">
        <v>0.64583333333333337</v>
      </c>
      <c r="P493" t="s">
        <v>113</v>
      </c>
      <c r="Q493" s="3">
        <v>0.64583333333333337</v>
      </c>
      <c r="R493" t="b">
        <v>0</v>
      </c>
      <c r="S493" t="s">
        <v>2158</v>
      </c>
    </row>
    <row r="494" spans="1:19" hidden="1" x14ac:dyDescent="0.2">
      <c r="A494">
        <v>492</v>
      </c>
      <c r="B494" t="s">
        <v>1208</v>
      </c>
      <c r="C494" t="s">
        <v>1209</v>
      </c>
      <c r="D494">
        <v>92336</v>
      </c>
      <c r="E494">
        <v>17</v>
      </c>
      <c r="F494">
        <v>10374419</v>
      </c>
      <c r="G494" t="s">
        <v>919</v>
      </c>
      <c r="H494" t="s">
        <v>113</v>
      </c>
      <c r="I494" s="3">
        <v>0.6875</v>
      </c>
      <c r="J494" t="s">
        <v>113</v>
      </c>
      <c r="K494" s="3">
        <v>0.6875</v>
      </c>
      <c r="L494" t="s">
        <v>202</v>
      </c>
      <c r="M494" s="3">
        <v>0.45833333333333331</v>
      </c>
      <c r="N494" t="s">
        <v>85</v>
      </c>
      <c r="O494" s="3">
        <v>0.6875</v>
      </c>
      <c r="P494" t="s">
        <v>202</v>
      </c>
      <c r="Q494" s="3">
        <v>0.45833333333333331</v>
      </c>
      <c r="R494" t="b">
        <v>0</v>
      </c>
      <c r="S494" t="s">
        <v>2159</v>
      </c>
    </row>
    <row r="495" spans="1:19" x14ac:dyDescent="0.2">
      <c r="A495">
        <v>493</v>
      </c>
      <c r="B495" t="s">
        <v>2160</v>
      </c>
      <c r="C495" t="s">
        <v>2161</v>
      </c>
      <c r="D495">
        <v>91711</v>
      </c>
      <c r="E495">
        <v>2.2000000000000002</v>
      </c>
      <c r="F495">
        <v>10032463</v>
      </c>
      <c r="G495" t="s">
        <v>1495</v>
      </c>
      <c r="H495" t="s">
        <v>92</v>
      </c>
      <c r="I495" s="3">
        <v>0.375</v>
      </c>
      <c r="J495" t="s">
        <v>92</v>
      </c>
      <c r="K495" s="3">
        <v>0.375</v>
      </c>
      <c r="L495" t="s">
        <v>92</v>
      </c>
      <c r="M495" s="3">
        <v>0.375</v>
      </c>
      <c r="N495" t="s">
        <v>92</v>
      </c>
      <c r="O495" s="3">
        <v>0.375</v>
      </c>
      <c r="P495" t="s">
        <v>74</v>
      </c>
      <c r="Q495" s="3">
        <v>0.33333333333333331</v>
      </c>
      <c r="R495" t="b">
        <v>1</v>
      </c>
      <c r="S495" t="s">
        <v>2162</v>
      </c>
    </row>
    <row r="496" spans="1:19" x14ac:dyDescent="0.2">
      <c r="A496">
        <v>494</v>
      </c>
      <c r="B496" t="s">
        <v>243</v>
      </c>
      <c r="C496" t="s">
        <v>2163</v>
      </c>
      <c r="D496">
        <v>91011</v>
      </c>
      <c r="E496">
        <v>30</v>
      </c>
      <c r="F496">
        <v>12345</v>
      </c>
      <c r="G496" t="s">
        <v>1495</v>
      </c>
      <c r="H496" t="s">
        <v>103</v>
      </c>
      <c r="I496" s="3">
        <v>0.25</v>
      </c>
      <c r="J496" t="s">
        <v>103</v>
      </c>
      <c r="K496" s="3">
        <v>0.25</v>
      </c>
      <c r="L496" t="s">
        <v>103</v>
      </c>
      <c r="M496" s="3">
        <v>0.25</v>
      </c>
      <c r="N496" t="s">
        <v>103</v>
      </c>
      <c r="O496" s="3">
        <v>0.25</v>
      </c>
      <c r="P496" t="s">
        <v>103</v>
      </c>
      <c r="Q496" s="3">
        <v>0.25</v>
      </c>
      <c r="R496" t="b">
        <v>1</v>
      </c>
      <c r="S496" t="s">
        <v>2164</v>
      </c>
    </row>
    <row r="497" spans="1:19" hidden="1" x14ac:dyDescent="0.2">
      <c r="A497">
        <v>495</v>
      </c>
      <c r="B497" t="s">
        <v>893</v>
      </c>
      <c r="C497" t="s">
        <v>892</v>
      </c>
      <c r="D497">
        <v>91786</v>
      </c>
      <c r="E497">
        <v>1</v>
      </c>
      <c r="F497">
        <v>103582192</v>
      </c>
      <c r="G497" t="s">
        <v>914</v>
      </c>
      <c r="H497" t="s">
        <v>74</v>
      </c>
      <c r="I497" s="3">
        <v>0.27083333333333331</v>
      </c>
      <c r="J497" t="s">
        <v>74</v>
      </c>
      <c r="K497" s="3">
        <v>0.29166666666666669</v>
      </c>
      <c r="L497" t="s">
        <v>74</v>
      </c>
      <c r="M497" s="3">
        <v>0.29166666666666669</v>
      </c>
      <c r="N497" t="s">
        <v>74</v>
      </c>
      <c r="O497" s="3">
        <v>0.27083333333333331</v>
      </c>
      <c r="P497" t="s">
        <v>74</v>
      </c>
      <c r="Q497" s="3">
        <v>0.29166666666666669</v>
      </c>
      <c r="R497" t="b">
        <v>1</v>
      </c>
      <c r="S497" t="s">
        <v>2165</v>
      </c>
    </row>
    <row r="498" spans="1:19" hidden="1" x14ac:dyDescent="0.2">
      <c r="A498">
        <v>496</v>
      </c>
      <c r="B498" t="s">
        <v>1255</v>
      </c>
      <c r="C498" t="s">
        <v>1300</v>
      </c>
      <c r="D498">
        <v>90065</v>
      </c>
      <c r="E498">
        <v>35</v>
      </c>
      <c r="F498">
        <v>10366519</v>
      </c>
      <c r="G498" t="s">
        <v>914</v>
      </c>
      <c r="H498" t="s">
        <v>113</v>
      </c>
      <c r="I498" s="3">
        <v>0.33333333333333331</v>
      </c>
      <c r="J498" t="s">
        <v>933</v>
      </c>
      <c r="K498" s="3">
        <v>0.35416666666666669</v>
      </c>
      <c r="L498" t="s">
        <v>933</v>
      </c>
      <c r="M498" s="3">
        <v>0.35416666666666669</v>
      </c>
      <c r="N498" t="s">
        <v>113</v>
      </c>
      <c r="O498" s="3">
        <v>0.33333333333333331</v>
      </c>
      <c r="P498" t="s">
        <v>103</v>
      </c>
      <c r="Q498" s="3">
        <v>0.33333333333333331</v>
      </c>
      <c r="R498" t="b">
        <v>1</v>
      </c>
      <c r="S498" t="s">
        <v>2166</v>
      </c>
    </row>
    <row r="499" spans="1:19" hidden="1" x14ac:dyDescent="0.2">
      <c r="A499">
        <v>497</v>
      </c>
      <c r="B499" t="s">
        <v>462</v>
      </c>
      <c r="C499" t="s">
        <v>859</v>
      </c>
      <c r="D499">
        <v>91711</v>
      </c>
      <c r="E499">
        <v>2.5</v>
      </c>
      <c r="F499">
        <v>10363007</v>
      </c>
      <c r="G499" t="s">
        <v>914</v>
      </c>
      <c r="H499" t="s">
        <v>113</v>
      </c>
      <c r="I499" s="3">
        <v>0.35416666666666669</v>
      </c>
      <c r="J499" t="s">
        <v>113</v>
      </c>
      <c r="K499" s="3">
        <v>0.35416666666666669</v>
      </c>
      <c r="L499" t="s">
        <v>113</v>
      </c>
      <c r="M499" s="3">
        <v>0.35416666666666669</v>
      </c>
      <c r="N499" t="s">
        <v>113</v>
      </c>
      <c r="O499" s="3">
        <v>0.35416666666666669</v>
      </c>
      <c r="P499" t="s">
        <v>113</v>
      </c>
      <c r="Q499" s="3">
        <v>0.35416666666666669</v>
      </c>
      <c r="R499" t="b">
        <v>1</v>
      </c>
      <c r="S499" t="s">
        <v>2167</v>
      </c>
    </row>
    <row r="500" spans="1:19" hidden="1" x14ac:dyDescent="0.2">
      <c r="A500">
        <v>498</v>
      </c>
      <c r="B500" t="s">
        <v>288</v>
      </c>
      <c r="C500" t="s">
        <v>287</v>
      </c>
      <c r="D500">
        <v>92627</v>
      </c>
      <c r="E500">
        <v>30</v>
      </c>
      <c r="F500" t="s">
        <v>1287</v>
      </c>
      <c r="G500" t="s">
        <v>914</v>
      </c>
      <c r="H500" t="s">
        <v>113</v>
      </c>
      <c r="I500" s="3">
        <v>0.70833333333333337</v>
      </c>
      <c r="J500" t="s">
        <v>113</v>
      </c>
      <c r="K500" s="3">
        <v>0.79166666666666663</v>
      </c>
      <c r="L500" t="s">
        <v>113</v>
      </c>
      <c r="M500" s="3">
        <v>0.66666666666666663</v>
      </c>
      <c r="N500" t="s">
        <v>113</v>
      </c>
      <c r="O500" s="3">
        <v>0.70833333333333337</v>
      </c>
      <c r="P500" t="s">
        <v>113</v>
      </c>
      <c r="Q500" s="3">
        <v>0.625</v>
      </c>
      <c r="R500" t="b">
        <v>0</v>
      </c>
      <c r="S500" t="s">
        <v>2168</v>
      </c>
    </row>
    <row r="501" spans="1:19" hidden="1" x14ac:dyDescent="0.2">
      <c r="A501">
        <v>499</v>
      </c>
      <c r="B501" t="s">
        <v>1107</v>
      </c>
      <c r="C501" t="s">
        <v>1108</v>
      </c>
      <c r="D501">
        <v>91730</v>
      </c>
      <c r="E501">
        <v>8</v>
      </c>
      <c r="F501">
        <v>10289955</v>
      </c>
      <c r="G501" t="s">
        <v>914</v>
      </c>
      <c r="H501" t="s">
        <v>113</v>
      </c>
      <c r="I501" s="3">
        <v>0.25</v>
      </c>
      <c r="J501" t="s">
        <v>113</v>
      </c>
      <c r="K501" s="3">
        <v>0.25</v>
      </c>
      <c r="L501" t="s">
        <v>113</v>
      </c>
      <c r="M501" s="3">
        <v>0.25</v>
      </c>
      <c r="N501" t="s">
        <v>113</v>
      </c>
      <c r="O501" s="3">
        <v>0.47916666666666669</v>
      </c>
      <c r="P501" t="s">
        <v>113</v>
      </c>
      <c r="Q501" s="3">
        <v>0.47916666666666669</v>
      </c>
      <c r="R501" t="b">
        <v>1</v>
      </c>
      <c r="S501" t="s">
        <v>2169</v>
      </c>
    </row>
    <row r="502" spans="1:19" hidden="1" x14ac:dyDescent="0.2">
      <c r="A502">
        <v>500</v>
      </c>
      <c r="B502" t="s">
        <v>271</v>
      </c>
      <c r="C502" t="s">
        <v>1037</v>
      </c>
      <c r="D502">
        <v>91766</v>
      </c>
      <c r="E502">
        <v>4.5999999999999996</v>
      </c>
      <c r="F502">
        <v>103735811</v>
      </c>
      <c r="G502" t="s">
        <v>914</v>
      </c>
      <c r="H502" t="s">
        <v>113</v>
      </c>
      <c r="I502" s="3">
        <v>0.29166666666666669</v>
      </c>
      <c r="J502" t="s">
        <v>113</v>
      </c>
      <c r="K502" s="3">
        <v>0.29166666666666669</v>
      </c>
      <c r="L502" t="s">
        <v>113</v>
      </c>
      <c r="M502" s="3">
        <v>0.29166666666666669</v>
      </c>
      <c r="N502" t="s">
        <v>103</v>
      </c>
      <c r="O502" s="3">
        <v>0.29166666666666669</v>
      </c>
      <c r="P502" t="s">
        <v>103</v>
      </c>
      <c r="Q502" s="3">
        <v>0.29166666666666669</v>
      </c>
      <c r="R502" t="b">
        <v>1</v>
      </c>
      <c r="S502" t="s">
        <v>2170</v>
      </c>
    </row>
    <row r="503" spans="1:19" x14ac:dyDescent="0.2">
      <c r="A503">
        <v>501</v>
      </c>
      <c r="B503" t="s">
        <v>2171</v>
      </c>
      <c r="C503" t="s">
        <v>540</v>
      </c>
      <c r="D503">
        <v>91711</v>
      </c>
      <c r="E503">
        <v>1</v>
      </c>
      <c r="F503">
        <v>10120163</v>
      </c>
      <c r="G503" t="s">
        <v>1495</v>
      </c>
      <c r="H503" t="s">
        <v>933</v>
      </c>
      <c r="I503" s="3">
        <v>0.33333333333333331</v>
      </c>
      <c r="J503" t="s">
        <v>933</v>
      </c>
      <c r="K503" s="3">
        <v>0.33333333333333331</v>
      </c>
      <c r="L503" t="s">
        <v>933</v>
      </c>
      <c r="M503" s="3">
        <v>0.33333333333333331</v>
      </c>
      <c r="N503" t="s">
        <v>933</v>
      </c>
      <c r="O503" s="3">
        <v>0.33333333333333331</v>
      </c>
      <c r="P503" t="s">
        <v>933</v>
      </c>
      <c r="Q503" s="3">
        <v>0.33333333333333331</v>
      </c>
      <c r="R503" t="b">
        <v>1</v>
      </c>
      <c r="S503" t="s">
        <v>2172</v>
      </c>
    </row>
    <row r="504" spans="1:19" hidden="1" x14ac:dyDescent="0.2">
      <c r="A504">
        <v>502</v>
      </c>
      <c r="B504" t="s">
        <v>2173</v>
      </c>
      <c r="C504" t="s">
        <v>2174</v>
      </c>
      <c r="D504">
        <v>94040</v>
      </c>
      <c r="E504">
        <v>0.5</v>
      </c>
      <c r="F504">
        <v>50452644</v>
      </c>
      <c r="G504" t="s">
        <v>1638</v>
      </c>
      <c r="H504" t="s">
        <v>202</v>
      </c>
      <c r="I504" s="3">
        <v>0.45833333333333331</v>
      </c>
      <c r="J504" t="s">
        <v>202</v>
      </c>
      <c r="K504" s="3">
        <v>0.45833333333333331</v>
      </c>
      <c r="L504" t="s">
        <v>113</v>
      </c>
      <c r="M504" s="3">
        <v>0.77083333333333337</v>
      </c>
      <c r="N504" t="s">
        <v>202</v>
      </c>
      <c r="O504" s="3">
        <v>0.45833333333333331</v>
      </c>
      <c r="P504" t="s">
        <v>202</v>
      </c>
      <c r="Q504" s="3">
        <v>0.45833333333333331</v>
      </c>
      <c r="R504" t="b">
        <v>0</v>
      </c>
      <c r="S504" t="s">
        <v>2175</v>
      </c>
    </row>
    <row r="505" spans="1:19" hidden="1" x14ac:dyDescent="0.2">
      <c r="A505">
        <v>503</v>
      </c>
      <c r="B505" t="s">
        <v>917</v>
      </c>
      <c r="C505" t="s">
        <v>918</v>
      </c>
      <c r="D505">
        <v>91711</v>
      </c>
      <c r="E505">
        <v>0.25</v>
      </c>
      <c r="F505">
        <v>10360779</v>
      </c>
      <c r="G505" t="s">
        <v>919</v>
      </c>
      <c r="H505" t="s">
        <v>92</v>
      </c>
      <c r="I505" s="3">
        <v>0.72916666666666663</v>
      </c>
      <c r="J505" t="s">
        <v>92</v>
      </c>
      <c r="K505" s="3">
        <v>0.72916666666666663</v>
      </c>
      <c r="L505" t="s">
        <v>92</v>
      </c>
      <c r="M505" s="3">
        <v>0.72916666666666663</v>
      </c>
      <c r="N505" t="s">
        <v>92</v>
      </c>
      <c r="O505" s="3">
        <v>0.72916666666666663</v>
      </c>
      <c r="P505" t="s">
        <v>92</v>
      </c>
      <c r="Q505" s="3">
        <v>0.72916666666666663</v>
      </c>
      <c r="R505" t="b">
        <v>0</v>
      </c>
      <c r="S505" t="s">
        <v>2176</v>
      </c>
    </row>
    <row r="506" spans="1:19" hidden="1" x14ac:dyDescent="0.2">
      <c r="A506">
        <v>504</v>
      </c>
      <c r="B506" t="s">
        <v>130</v>
      </c>
      <c r="C506" t="s">
        <v>129</v>
      </c>
      <c r="D506">
        <v>91711</v>
      </c>
      <c r="E506">
        <v>1</v>
      </c>
      <c r="F506">
        <v>103702131</v>
      </c>
      <c r="G506" t="s">
        <v>914</v>
      </c>
      <c r="H506" t="s">
        <v>113</v>
      </c>
      <c r="I506" s="3">
        <v>0.33333333333333331</v>
      </c>
      <c r="J506" t="s">
        <v>191</v>
      </c>
      <c r="K506" s="3">
        <v>0.33333333333333331</v>
      </c>
      <c r="L506" t="s">
        <v>191</v>
      </c>
      <c r="M506" s="3">
        <v>0.33333333333333331</v>
      </c>
      <c r="N506" t="s">
        <v>191</v>
      </c>
      <c r="O506" s="3">
        <v>0.33333333333333331</v>
      </c>
      <c r="P506" t="s">
        <v>191</v>
      </c>
      <c r="Q506" s="3">
        <v>0.33333333333333331</v>
      </c>
      <c r="R506" t="b">
        <v>1</v>
      </c>
      <c r="S506" t="s">
        <v>2177</v>
      </c>
    </row>
    <row r="507" spans="1:19" hidden="1" x14ac:dyDescent="0.2">
      <c r="A507">
        <v>505</v>
      </c>
      <c r="B507" t="s">
        <v>493</v>
      </c>
      <c r="C507" t="s">
        <v>492</v>
      </c>
      <c r="D507">
        <v>91711</v>
      </c>
      <c r="E507">
        <v>1.5</v>
      </c>
      <c r="F507">
        <v>102563492</v>
      </c>
      <c r="G507" t="s">
        <v>914</v>
      </c>
      <c r="H507" t="s">
        <v>113</v>
      </c>
      <c r="I507" s="3">
        <v>0.83333333333333337</v>
      </c>
      <c r="J507" t="s">
        <v>113</v>
      </c>
      <c r="K507" s="3">
        <v>0.83333333333333337</v>
      </c>
      <c r="L507" t="s">
        <v>113</v>
      </c>
      <c r="M507" s="3">
        <v>0.83333333333333337</v>
      </c>
      <c r="N507" t="s">
        <v>113</v>
      </c>
      <c r="O507" s="3">
        <v>0.83333333333333337</v>
      </c>
      <c r="P507" t="s">
        <v>113</v>
      </c>
      <c r="Q507" s="3">
        <v>0.83333333333333337</v>
      </c>
      <c r="R507" t="b">
        <v>0</v>
      </c>
      <c r="S507" t="s">
        <v>2178</v>
      </c>
    </row>
    <row r="508" spans="1:19" hidden="1" x14ac:dyDescent="0.2">
      <c r="A508">
        <v>506</v>
      </c>
      <c r="B508" t="s">
        <v>409</v>
      </c>
      <c r="C508" t="s">
        <v>929</v>
      </c>
      <c r="D508">
        <v>91711</v>
      </c>
      <c r="E508">
        <v>0.9</v>
      </c>
      <c r="F508">
        <v>101025</v>
      </c>
      <c r="G508" t="s">
        <v>914</v>
      </c>
      <c r="H508" t="s">
        <v>113</v>
      </c>
      <c r="I508" s="3">
        <v>0.35416666666666669</v>
      </c>
      <c r="J508" t="s">
        <v>113</v>
      </c>
      <c r="K508" s="3">
        <v>0.35416666666666669</v>
      </c>
      <c r="L508" t="s">
        <v>113</v>
      </c>
      <c r="M508" s="3">
        <v>0.35416666666666669</v>
      </c>
      <c r="N508" t="s">
        <v>113</v>
      </c>
      <c r="O508" s="3">
        <v>0.35416666666666669</v>
      </c>
      <c r="P508" t="s">
        <v>113</v>
      </c>
      <c r="Q508" s="3">
        <v>0.35416666666666669</v>
      </c>
      <c r="R508" t="b">
        <v>1</v>
      </c>
      <c r="S508" t="s">
        <v>2179</v>
      </c>
    </row>
    <row r="509" spans="1:19" hidden="1" x14ac:dyDescent="0.2">
      <c r="A509">
        <v>507</v>
      </c>
      <c r="B509" t="s">
        <v>233</v>
      </c>
      <c r="C509" t="s">
        <v>232</v>
      </c>
      <c r="D509">
        <v>91711</v>
      </c>
      <c r="E509">
        <v>1.25</v>
      </c>
      <c r="F509">
        <v>10109674</v>
      </c>
      <c r="G509" t="s">
        <v>914</v>
      </c>
      <c r="H509" t="s">
        <v>113</v>
      </c>
      <c r="I509" s="3">
        <v>0.33333333333333331</v>
      </c>
      <c r="J509" t="s">
        <v>98</v>
      </c>
      <c r="K509" s="3">
        <v>0.33333333333333331</v>
      </c>
      <c r="L509" t="s">
        <v>113</v>
      </c>
      <c r="M509" s="3">
        <v>0.33333333333333331</v>
      </c>
      <c r="N509" t="s">
        <v>92</v>
      </c>
      <c r="O509" s="3">
        <v>0.33333333333333331</v>
      </c>
      <c r="P509" t="s">
        <v>92</v>
      </c>
      <c r="Q509" s="3">
        <v>0.33333333333333331</v>
      </c>
      <c r="R509" t="b">
        <v>1</v>
      </c>
      <c r="S509" t="s">
        <v>2180</v>
      </c>
    </row>
    <row r="510" spans="1:19" hidden="1" x14ac:dyDescent="0.2">
      <c r="A510">
        <v>508</v>
      </c>
      <c r="B510" t="s">
        <v>946</v>
      </c>
      <c r="C510" t="s">
        <v>947</v>
      </c>
      <c r="D510">
        <v>91711</v>
      </c>
      <c r="E510">
        <v>1</v>
      </c>
      <c r="F510">
        <v>10042947</v>
      </c>
      <c r="G510" t="s">
        <v>914</v>
      </c>
      <c r="H510" t="s">
        <v>113</v>
      </c>
      <c r="I510" s="3">
        <v>0.83333333333333337</v>
      </c>
      <c r="J510" t="s">
        <v>113</v>
      </c>
      <c r="K510" s="3">
        <v>0.83333333333333337</v>
      </c>
      <c r="L510" t="s">
        <v>113</v>
      </c>
      <c r="M510" s="3">
        <v>0.83333333333333337</v>
      </c>
      <c r="N510" t="s">
        <v>113</v>
      </c>
      <c r="O510" s="3">
        <v>0.83333333333333337</v>
      </c>
      <c r="P510" t="s">
        <v>113</v>
      </c>
      <c r="Q510" s="3">
        <v>0.83333333333333337</v>
      </c>
      <c r="R510" t="b">
        <v>0</v>
      </c>
      <c r="S510" t="s">
        <v>2181</v>
      </c>
    </row>
    <row r="511" spans="1:19" hidden="1" x14ac:dyDescent="0.2">
      <c r="A511">
        <v>509</v>
      </c>
      <c r="B511" t="s">
        <v>609</v>
      </c>
      <c r="C511" t="s">
        <v>608</v>
      </c>
      <c r="D511">
        <v>91104</v>
      </c>
      <c r="E511">
        <v>25</v>
      </c>
      <c r="F511">
        <v>102487991</v>
      </c>
      <c r="G511" t="s">
        <v>914</v>
      </c>
      <c r="H511" t="s">
        <v>113</v>
      </c>
      <c r="I511" s="3">
        <v>0.375</v>
      </c>
      <c r="J511" t="s">
        <v>113</v>
      </c>
      <c r="K511" s="3">
        <v>0.375</v>
      </c>
      <c r="L511" t="s">
        <v>113</v>
      </c>
      <c r="M511" s="3">
        <v>0.375</v>
      </c>
      <c r="N511" t="s">
        <v>113</v>
      </c>
      <c r="O511" s="3">
        <v>0.375</v>
      </c>
      <c r="P511" t="s">
        <v>113</v>
      </c>
      <c r="Q511" s="3">
        <v>0.375</v>
      </c>
      <c r="R511" t="b">
        <v>1</v>
      </c>
      <c r="S511" t="s">
        <v>2182</v>
      </c>
    </row>
    <row r="512" spans="1:19" hidden="1" x14ac:dyDescent="0.2">
      <c r="A512">
        <v>510</v>
      </c>
      <c r="B512" t="s">
        <v>535</v>
      </c>
      <c r="C512" t="s">
        <v>534</v>
      </c>
      <c r="D512">
        <v>91722</v>
      </c>
      <c r="E512">
        <v>15</v>
      </c>
      <c r="F512">
        <v>10266238</v>
      </c>
      <c r="G512" t="s">
        <v>914</v>
      </c>
      <c r="H512" t="s">
        <v>113</v>
      </c>
      <c r="I512" s="3">
        <v>0.66666666666666663</v>
      </c>
      <c r="J512" t="s">
        <v>103</v>
      </c>
      <c r="K512" s="3">
        <v>0.41666666666666669</v>
      </c>
      <c r="L512" t="s">
        <v>202</v>
      </c>
      <c r="M512" s="3">
        <v>0.25</v>
      </c>
      <c r="N512" t="s">
        <v>113</v>
      </c>
      <c r="O512" s="3">
        <v>0.5625</v>
      </c>
      <c r="P512" t="s">
        <v>202</v>
      </c>
      <c r="Q512" s="3">
        <v>0.25</v>
      </c>
      <c r="R512" t="b">
        <v>1</v>
      </c>
      <c r="S512" t="s">
        <v>2183</v>
      </c>
    </row>
    <row r="513" spans="1:19" hidden="1" x14ac:dyDescent="0.2">
      <c r="A513">
        <v>511</v>
      </c>
      <c r="B513" t="s">
        <v>144</v>
      </c>
      <c r="C513" t="s">
        <v>556</v>
      </c>
      <c r="D513">
        <v>91784</v>
      </c>
      <c r="E513">
        <v>6</v>
      </c>
      <c r="F513">
        <v>100870641</v>
      </c>
      <c r="G513" t="s">
        <v>914</v>
      </c>
      <c r="H513" t="s">
        <v>113</v>
      </c>
      <c r="I513" s="3">
        <v>0.33333333333333331</v>
      </c>
      <c r="J513" t="s">
        <v>113</v>
      </c>
      <c r="K513" s="3">
        <v>0.33333333333333331</v>
      </c>
      <c r="L513" t="s">
        <v>113</v>
      </c>
      <c r="M513" s="3">
        <v>0.33333333333333331</v>
      </c>
      <c r="N513" t="s">
        <v>113</v>
      </c>
      <c r="O513" s="3">
        <v>0.33333333333333331</v>
      </c>
      <c r="P513" t="s">
        <v>113</v>
      </c>
      <c r="Q513" s="3">
        <v>0.33333333333333331</v>
      </c>
      <c r="R513" t="b">
        <v>1</v>
      </c>
      <c r="S513" t="s">
        <v>2184</v>
      </c>
    </row>
    <row r="514" spans="1:19" hidden="1" x14ac:dyDescent="0.2">
      <c r="A514">
        <v>512</v>
      </c>
      <c r="B514" t="s">
        <v>759</v>
      </c>
      <c r="C514" t="s">
        <v>1109</v>
      </c>
      <c r="D514">
        <v>91764</v>
      </c>
      <c r="E514">
        <v>8</v>
      </c>
      <c r="F514" t="s">
        <v>1110</v>
      </c>
      <c r="G514" t="s">
        <v>914</v>
      </c>
      <c r="H514" t="s">
        <v>191</v>
      </c>
      <c r="I514" s="3">
        <v>0.20833333333333334</v>
      </c>
      <c r="J514" t="s">
        <v>191</v>
      </c>
      <c r="K514" s="3">
        <v>0.20833333333333334</v>
      </c>
      <c r="L514" t="s">
        <v>191</v>
      </c>
      <c r="M514" s="3">
        <v>0.20833333333333334</v>
      </c>
      <c r="N514" t="s">
        <v>191</v>
      </c>
      <c r="O514" s="3">
        <v>0.20833333333333334</v>
      </c>
      <c r="P514" t="s">
        <v>191</v>
      </c>
      <c r="Q514" s="3">
        <v>0.20833333333333334</v>
      </c>
      <c r="R514" t="b">
        <v>0</v>
      </c>
      <c r="S514" t="s">
        <v>2185</v>
      </c>
    </row>
    <row r="515" spans="1:19" hidden="1" x14ac:dyDescent="0.2">
      <c r="A515">
        <v>513</v>
      </c>
      <c r="B515" t="s">
        <v>501</v>
      </c>
      <c r="C515" t="s">
        <v>1230</v>
      </c>
      <c r="D515">
        <v>91767</v>
      </c>
      <c r="E515">
        <v>20</v>
      </c>
      <c r="F515">
        <v>10090700</v>
      </c>
      <c r="G515" t="s">
        <v>914</v>
      </c>
      <c r="H515" t="s">
        <v>113</v>
      </c>
      <c r="I515" s="3">
        <v>0.25</v>
      </c>
      <c r="J515" t="s">
        <v>113</v>
      </c>
      <c r="K515" s="3">
        <v>0.25</v>
      </c>
      <c r="L515" t="s">
        <v>113</v>
      </c>
      <c r="M515" s="3">
        <v>0.25</v>
      </c>
      <c r="N515" t="s">
        <v>113</v>
      </c>
      <c r="O515" s="3">
        <v>0.25</v>
      </c>
      <c r="P515" t="s">
        <v>113</v>
      </c>
      <c r="Q515" s="3">
        <v>0.25</v>
      </c>
      <c r="R515" t="b">
        <v>1</v>
      </c>
      <c r="S515" t="s">
        <v>2186</v>
      </c>
    </row>
    <row r="516" spans="1:19" hidden="1" x14ac:dyDescent="0.2">
      <c r="A516">
        <v>514</v>
      </c>
      <c r="B516" t="s">
        <v>988</v>
      </c>
      <c r="C516" t="s">
        <v>1120</v>
      </c>
      <c r="D516">
        <v>91761</v>
      </c>
      <c r="E516">
        <v>9.4</v>
      </c>
      <c r="F516">
        <v>10370205</v>
      </c>
      <c r="G516" t="s">
        <v>914</v>
      </c>
      <c r="H516" t="s">
        <v>103</v>
      </c>
      <c r="I516" s="3">
        <v>0.33333333333333331</v>
      </c>
      <c r="J516" t="s">
        <v>103</v>
      </c>
      <c r="K516" s="3">
        <v>0.33333333333333331</v>
      </c>
      <c r="L516" t="s">
        <v>103</v>
      </c>
      <c r="M516" s="3">
        <v>0.33333333333333331</v>
      </c>
      <c r="N516" t="s">
        <v>103</v>
      </c>
      <c r="O516" s="3">
        <v>0.33333333333333331</v>
      </c>
      <c r="P516" t="s">
        <v>103</v>
      </c>
      <c r="Q516" s="3">
        <v>0.33333333333333331</v>
      </c>
      <c r="R516" t="b">
        <v>1</v>
      </c>
      <c r="S516" t="s">
        <v>2187</v>
      </c>
    </row>
    <row r="517" spans="1:19" hidden="1" x14ac:dyDescent="0.2">
      <c r="A517">
        <v>515</v>
      </c>
      <c r="B517" t="s">
        <v>275</v>
      </c>
      <c r="C517" t="s">
        <v>1055</v>
      </c>
      <c r="D517">
        <v>91762</v>
      </c>
      <c r="E517">
        <v>5</v>
      </c>
      <c r="F517">
        <v>10361257</v>
      </c>
      <c r="G517" t="s">
        <v>914</v>
      </c>
      <c r="H517" t="s">
        <v>113</v>
      </c>
      <c r="I517" s="3">
        <v>0.20833333333333334</v>
      </c>
      <c r="J517" t="s">
        <v>113</v>
      </c>
      <c r="K517" s="3">
        <v>0.20833333333333334</v>
      </c>
      <c r="L517" t="s">
        <v>92</v>
      </c>
      <c r="M517" s="3">
        <v>0.20833333333333334</v>
      </c>
      <c r="N517" t="s">
        <v>113</v>
      </c>
      <c r="O517" s="3">
        <v>0.20833333333333334</v>
      </c>
      <c r="P517" t="s">
        <v>92</v>
      </c>
      <c r="Q517" s="3">
        <v>0.20833333333333334</v>
      </c>
      <c r="R517" t="b">
        <v>0</v>
      </c>
      <c r="S517" t="s">
        <v>2188</v>
      </c>
    </row>
    <row r="518" spans="1:19" hidden="1" x14ac:dyDescent="0.2">
      <c r="A518">
        <v>516</v>
      </c>
      <c r="B518" t="s">
        <v>915</v>
      </c>
      <c r="C518" t="s">
        <v>916</v>
      </c>
      <c r="D518">
        <v>91711</v>
      </c>
      <c r="E518">
        <v>0.1</v>
      </c>
      <c r="F518">
        <v>10042380</v>
      </c>
      <c r="G518" t="s">
        <v>914</v>
      </c>
      <c r="H518" t="s">
        <v>92</v>
      </c>
      <c r="I518" s="3">
        <v>0.33333333333333331</v>
      </c>
      <c r="J518" t="s">
        <v>92</v>
      </c>
      <c r="K518" s="3">
        <v>0.33333333333333331</v>
      </c>
      <c r="L518" t="s">
        <v>92</v>
      </c>
      <c r="M518" s="3">
        <v>0.33333333333333331</v>
      </c>
      <c r="N518" t="s">
        <v>92</v>
      </c>
      <c r="O518" s="3">
        <v>0.33333333333333331</v>
      </c>
      <c r="P518" t="s">
        <v>92</v>
      </c>
      <c r="Q518" s="3">
        <v>0.33333333333333331</v>
      </c>
      <c r="R518" t="b">
        <v>1</v>
      </c>
      <c r="S518" t="s">
        <v>2189</v>
      </c>
    </row>
    <row r="519" spans="1:19" hidden="1" x14ac:dyDescent="0.2">
      <c r="A519">
        <v>517</v>
      </c>
      <c r="B519" t="s">
        <v>948</v>
      </c>
      <c r="C519" t="s">
        <v>949</v>
      </c>
      <c r="D519">
        <v>91763</v>
      </c>
      <c r="E519">
        <v>1</v>
      </c>
      <c r="F519">
        <v>10042609</v>
      </c>
      <c r="G519" t="s">
        <v>914</v>
      </c>
      <c r="H519" t="s">
        <v>113</v>
      </c>
      <c r="I519" s="3">
        <v>0.25</v>
      </c>
      <c r="J519" t="s">
        <v>113</v>
      </c>
      <c r="K519" s="3">
        <v>0.25</v>
      </c>
      <c r="L519" t="s">
        <v>113</v>
      </c>
      <c r="M519" s="3">
        <v>0.25</v>
      </c>
      <c r="N519" t="s">
        <v>113</v>
      </c>
      <c r="O519" s="3">
        <v>0.25</v>
      </c>
      <c r="P519" t="s">
        <v>113</v>
      </c>
      <c r="Q519" s="3">
        <v>0.25</v>
      </c>
      <c r="R519" t="b">
        <v>1</v>
      </c>
      <c r="S519" t="s">
        <v>2190</v>
      </c>
    </row>
    <row r="520" spans="1:19" hidden="1" x14ac:dyDescent="0.2">
      <c r="A520">
        <v>518</v>
      </c>
      <c r="B520" t="s">
        <v>811</v>
      </c>
      <c r="C520" t="s">
        <v>810</v>
      </c>
      <c r="D520">
        <v>91711</v>
      </c>
      <c r="E520">
        <v>3</v>
      </c>
      <c r="F520">
        <v>10372216</v>
      </c>
      <c r="G520" t="s">
        <v>919</v>
      </c>
      <c r="H520" t="s">
        <v>202</v>
      </c>
      <c r="I520" s="3">
        <v>0.25</v>
      </c>
      <c r="J520" t="s">
        <v>202</v>
      </c>
      <c r="K520" s="3">
        <v>0.25</v>
      </c>
      <c r="L520" t="s">
        <v>113</v>
      </c>
      <c r="M520" s="3">
        <v>0.41666666666666669</v>
      </c>
      <c r="N520" t="s">
        <v>113</v>
      </c>
      <c r="O520" s="3">
        <v>0.41666666666666669</v>
      </c>
      <c r="P520" t="s">
        <v>113</v>
      </c>
      <c r="Q520" s="3">
        <v>0.41666666666666669</v>
      </c>
      <c r="R520" t="b">
        <v>1</v>
      </c>
      <c r="S520" t="s">
        <v>2191</v>
      </c>
    </row>
    <row r="521" spans="1:19" hidden="1" x14ac:dyDescent="0.2">
      <c r="A521">
        <v>519</v>
      </c>
      <c r="B521" t="s">
        <v>219</v>
      </c>
      <c r="C521" t="s">
        <v>218</v>
      </c>
      <c r="D521">
        <v>91750</v>
      </c>
      <c r="E521">
        <v>1</v>
      </c>
      <c r="F521">
        <v>10370581</v>
      </c>
      <c r="G521" t="s">
        <v>914</v>
      </c>
      <c r="H521" t="s">
        <v>113</v>
      </c>
      <c r="I521" s="3">
        <v>0.54166666666666663</v>
      </c>
      <c r="J521" t="s">
        <v>113</v>
      </c>
      <c r="K521" s="3">
        <v>0.54166666666666663</v>
      </c>
      <c r="L521" t="s">
        <v>113</v>
      </c>
      <c r="M521" s="3">
        <v>0.54166666666666663</v>
      </c>
      <c r="N521" t="s">
        <v>113</v>
      </c>
      <c r="O521" s="3">
        <v>0.54166666666666663</v>
      </c>
      <c r="P521" t="s">
        <v>113</v>
      </c>
      <c r="Q521" s="3">
        <v>0.54166666666666663</v>
      </c>
      <c r="R521" t="b">
        <v>0</v>
      </c>
      <c r="S521" t="s">
        <v>2192</v>
      </c>
    </row>
    <row r="522" spans="1:19" x14ac:dyDescent="0.2">
      <c r="A522">
        <v>520</v>
      </c>
      <c r="B522" t="s">
        <v>978</v>
      </c>
      <c r="C522" t="s">
        <v>2193</v>
      </c>
      <c r="D522">
        <v>91001</v>
      </c>
      <c r="E522">
        <v>25</v>
      </c>
      <c r="F522" t="s">
        <v>2194</v>
      </c>
      <c r="G522" t="s">
        <v>1495</v>
      </c>
      <c r="H522" t="s">
        <v>202</v>
      </c>
      <c r="I522" s="3">
        <v>0.45833333333333331</v>
      </c>
      <c r="J522" t="s">
        <v>202</v>
      </c>
      <c r="K522" s="3">
        <v>0.45833333333333331</v>
      </c>
      <c r="L522" t="s">
        <v>202</v>
      </c>
      <c r="M522" s="3">
        <v>0.45833333333333331</v>
      </c>
      <c r="N522" t="s">
        <v>202</v>
      </c>
      <c r="O522" s="3">
        <v>0.45833333333333331</v>
      </c>
      <c r="P522" t="s">
        <v>202</v>
      </c>
      <c r="Q522" s="3">
        <v>0.45833333333333331</v>
      </c>
      <c r="R522" t="b">
        <v>0</v>
      </c>
      <c r="S522" t="s">
        <v>2195</v>
      </c>
    </row>
    <row r="523" spans="1:19" hidden="1" x14ac:dyDescent="0.2">
      <c r="A523">
        <v>521</v>
      </c>
      <c r="B523" t="s">
        <v>763</v>
      </c>
      <c r="C523" t="s">
        <v>762</v>
      </c>
      <c r="D523">
        <v>91767</v>
      </c>
      <c r="E523">
        <v>2.5</v>
      </c>
      <c r="F523">
        <v>1037048011</v>
      </c>
      <c r="G523" t="s">
        <v>914</v>
      </c>
      <c r="H523" t="s">
        <v>113</v>
      </c>
      <c r="I523" s="3">
        <v>0.33333333333333331</v>
      </c>
      <c r="J523" t="s">
        <v>74</v>
      </c>
      <c r="K523" s="3">
        <v>0.33333333333333331</v>
      </c>
      <c r="L523" t="s">
        <v>74</v>
      </c>
      <c r="M523" s="3">
        <v>0.33333333333333331</v>
      </c>
      <c r="N523" t="s">
        <v>74</v>
      </c>
      <c r="O523" s="3">
        <v>0.33333333333333331</v>
      </c>
      <c r="P523" t="s">
        <v>74</v>
      </c>
      <c r="Q523" s="3">
        <v>0.33333333333333331</v>
      </c>
      <c r="R523" t="b">
        <v>1</v>
      </c>
      <c r="S523" t="s">
        <v>2196</v>
      </c>
    </row>
    <row r="524" spans="1:19" hidden="1" x14ac:dyDescent="0.2">
      <c r="A524">
        <v>522</v>
      </c>
      <c r="B524" t="s">
        <v>1135</v>
      </c>
      <c r="C524" t="s">
        <v>594</v>
      </c>
      <c r="D524">
        <v>91701</v>
      </c>
      <c r="E524">
        <v>10</v>
      </c>
      <c r="F524">
        <v>10044764</v>
      </c>
      <c r="G524" t="s">
        <v>914</v>
      </c>
      <c r="H524" t="s">
        <v>74</v>
      </c>
      <c r="I524" s="3">
        <v>0.35416666666666669</v>
      </c>
      <c r="J524" t="s">
        <v>74</v>
      </c>
      <c r="K524" s="3">
        <v>0.35416666666666669</v>
      </c>
      <c r="L524" t="s">
        <v>74</v>
      </c>
      <c r="M524" s="3">
        <v>0.35416666666666669</v>
      </c>
      <c r="N524" t="s">
        <v>74</v>
      </c>
      <c r="O524" s="3">
        <v>0.35416666666666669</v>
      </c>
      <c r="P524" t="s">
        <v>74</v>
      </c>
      <c r="Q524" s="3">
        <v>0.35416666666666669</v>
      </c>
      <c r="R524" t="b">
        <v>1</v>
      </c>
      <c r="S524" t="s">
        <v>2197</v>
      </c>
    </row>
    <row r="525" spans="1:19" hidden="1" x14ac:dyDescent="0.2">
      <c r="A525">
        <v>523</v>
      </c>
      <c r="B525" t="s">
        <v>333</v>
      </c>
      <c r="C525" t="s">
        <v>332</v>
      </c>
      <c r="D525">
        <v>92337</v>
      </c>
      <c r="E525">
        <v>24</v>
      </c>
      <c r="F525">
        <v>10349685</v>
      </c>
      <c r="G525" t="s">
        <v>914</v>
      </c>
      <c r="H525" t="s">
        <v>74</v>
      </c>
      <c r="I525" s="3">
        <v>0.33333333333333331</v>
      </c>
      <c r="J525" t="s">
        <v>103</v>
      </c>
      <c r="K525" s="3">
        <v>0.33333333333333331</v>
      </c>
      <c r="L525" t="s">
        <v>74</v>
      </c>
      <c r="M525" s="3">
        <v>0.33333333333333331</v>
      </c>
      <c r="N525" t="s">
        <v>103</v>
      </c>
      <c r="O525" s="3">
        <v>0.33333333333333331</v>
      </c>
      <c r="P525" t="s">
        <v>74</v>
      </c>
      <c r="Q525" s="3">
        <v>0.33333333333333331</v>
      </c>
      <c r="R525" t="b">
        <v>1</v>
      </c>
      <c r="S525" t="s">
        <v>2198</v>
      </c>
    </row>
    <row r="526" spans="1:19" hidden="1" x14ac:dyDescent="0.2">
      <c r="A526">
        <v>524</v>
      </c>
      <c r="B526" t="s">
        <v>517</v>
      </c>
      <c r="C526" t="s">
        <v>516</v>
      </c>
      <c r="D526">
        <v>91711</v>
      </c>
      <c r="E526">
        <v>1</v>
      </c>
      <c r="F526">
        <v>10351831</v>
      </c>
      <c r="G526" t="s">
        <v>914</v>
      </c>
      <c r="H526" t="s">
        <v>98</v>
      </c>
      <c r="I526" s="3">
        <v>0.89583333333333337</v>
      </c>
      <c r="J526" t="s">
        <v>98</v>
      </c>
      <c r="K526" s="3">
        <v>0.89583333333333337</v>
      </c>
      <c r="L526" t="s">
        <v>98</v>
      </c>
      <c r="M526" s="3">
        <v>0.89583333333333337</v>
      </c>
      <c r="N526" t="s">
        <v>98</v>
      </c>
      <c r="O526" s="3">
        <v>0.89583333333333337</v>
      </c>
      <c r="P526" t="s">
        <v>98</v>
      </c>
      <c r="Q526" s="3">
        <v>0.89583333333333337</v>
      </c>
      <c r="R526" t="b">
        <v>0</v>
      </c>
      <c r="S526" t="s">
        <v>2199</v>
      </c>
    </row>
    <row r="527" spans="1:19" hidden="1" x14ac:dyDescent="0.2">
      <c r="A527">
        <v>525</v>
      </c>
      <c r="B527" t="s">
        <v>1056</v>
      </c>
      <c r="C527" t="s">
        <v>715</v>
      </c>
      <c r="D527">
        <v>91673</v>
      </c>
      <c r="E527">
        <v>5</v>
      </c>
      <c r="F527" t="s">
        <v>1057</v>
      </c>
      <c r="G527" t="s">
        <v>914</v>
      </c>
      <c r="H527" t="s">
        <v>113</v>
      </c>
      <c r="I527" s="3">
        <v>0.47916666666666669</v>
      </c>
      <c r="J527" t="s">
        <v>113</v>
      </c>
      <c r="K527" s="3">
        <v>0.47916666666666669</v>
      </c>
      <c r="L527" t="s">
        <v>113</v>
      </c>
      <c r="M527" s="3">
        <v>0.47916666666666669</v>
      </c>
      <c r="N527" t="s">
        <v>113</v>
      </c>
      <c r="O527" s="3">
        <v>0.47916666666666669</v>
      </c>
      <c r="P527" t="s">
        <v>113</v>
      </c>
      <c r="Q527" s="3">
        <v>0.47916666666666669</v>
      </c>
      <c r="R527" t="b">
        <v>0</v>
      </c>
      <c r="S527" t="s">
        <v>2200</v>
      </c>
    </row>
    <row r="528" spans="1:19" hidden="1" x14ac:dyDescent="0.2">
      <c r="A528">
        <v>526</v>
      </c>
      <c r="B528" t="s">
        <v>1342</v>
      </c>
      <c r="C528" t="s">
        <v>872</v>
      </c>
      <c r="D528">
        <v>75115</v>
      </c>
      <c r="E528">
        <v>0.5</v>
      </c>
      <c r="F528">
        <v>10369471</v>
      </c>
      <c r="G528" t="s">
        <v>1632</v>
      </c>
      <c r="H528" t="s">
        <v>98</v>
      </c>
      <c r="I528" s="3">
        <v>0.8125</v>
      </c>
      <c r="J528" t="s">
        <v>103</v>
      </c>
      <c r="K528" s="3">
        <v>0.83333333333333337</v>
      </c>
      <c r="L528" t="s">
        <v>92</v>
      </c>
      <c r="M528" s="3">
        <v>0.3125</v>
      </c>
      <c r="N528" t="s">
        <v>92</v>
      </c>
      <c r="O528" s="3">
        <v>0.33333333333333331</v>
      </c>
      <c r="P528" t="s">
        <v>103</v>
      </c>
      <c r="Q528" s="3">
        <v>0.75</v>
      </c>
      <c r="R528" t="b">
        <v>1</v>
      </c>
      <c r="S528" t="s">
        <v>2201</v>
      </c>
    </row>
    <row r="529" spans="1:19" hidden="1" x14ac:dyDescent="0.2">
      <c r="A529">
        <v>527</v>
      </c>
      <c r="B529" t="s">
        <v>953</v>
      </c>
      <c r="C529" t="s">
        <v>715</v>
      </c>
      <c r="D529">
        <v>91763</v>
      </c>
      <c r="E529">
        <v>1.5</v>
      </c>
      <c r="F529">
        <v>10285299</v>
      </c>
      <c r="G529" t="s">
        <v>914</v>
      </c>
      <c r="H529" t="s">
        <v>113</v>
      </c>
      <c r="I529" s="3">
        <v>0.25</v>
      </c>
      <c r="J529" t="s">
        <v>113</v>
      </c>
      <c r="K529" s="3">
        <v>0.25</v>
      </c>
      <c r="L529" t="s">
        <v>113</v>
      </c>
      <c r="M529" s="3">
        <v>0.25</v>
      </c>
      <c r="N529" t="s">
        <v>113</v>
      </c>
      <c r="O529" s="3">
        <v>0.25</v>
      </c>
      <c r="P529" t="s">
        <v>113</v>
      </c>
      <c r="Q529" s="3">
        <v>0.25</v>
      </c>
      <c r="R529" t="b">
        <v>1</v>
      </c>
      <c r="S529" t="s">
        <v>2202</v>
      </c>
    </row>
    <row r="530" spans="1:19" hidden="1" x14ac:dyDescent="0.2">
      <c r="A530">
        <v>528</v>
      </c>
      <c r="B530" t="s">
        <v>878</v>
      </c>
      <c r="C530" t="s">
        <v>1219</v>
      </c>
      <c r="D530">
        <v>92335</v>
      </c>
      <c r="E530">
        <v>18</v>
      </c>
      <c r="F530" t="s">
        <v>1220</v>
      </c>
      <c r="G530" t="s">
        <v>914</v>
      </c>
      <c r="H530" t="s">
        <v>113</v>
      </c>
      <c r="I530" s="3">
        <v>0.29166666666666669</v>
      </c>
      <c r="J530" t="s">
        <v>113</v>
      </c>
      <c r="K530" s="3">
        <v>0.29166666666666669</v>
      </c>
      <c r="L530" t="s">
        <v>113</v>
      </c>
      <c r="M530" s="3">
        <v>0.29166666666666669</v>
      </c>
      <c r="N530" t="s">
        <v>113</v>
      </c>
      <c r="O530" s="3">
        <v>0.29166666666666669</v>
      </c>
      <c r="P530" t="s">
        <v>113</v>
      </c>
      <c r="Q530" s="3">
        <v>0.29166666666666669</v>
      </c>
      <c r="R530" t="b">
        <v>1</v>
      </c>
      <c r="S530" t="s">
        <v>2203</v>
      </c>
    </row>
    <row r="531" spans="1:19" hidden="1" x14ac:dyDescent="0.2">
      <c r="A531">
        <v>529</v>
      </c>
      <c r="B531" t="s">
        <v>1029</v>
      </c>
      <c r="C531" t="s">
        <v>1030</v>
      </c>
      <c r="D531">
        <v>91730</v>
      </c>
      <c r="E531">
        <v>4</v>
      </c>
      <c r="F531">
        <v>103713837</v>
      </c>
      <c r="G531" t="s">
        <v>914</v>
      </c>
      <c r="H531" t="s">
        <v>113</v>
      </c>
      <c r="I531" s="3">
        <v>0.33333333333333331</v>
      </c>
      <c r="J531" t="s">
        <v>113</v>
      </c>
      <c r="K531" s="3">
        <v>0.33333333333333331</v>
      </c>
      <c r="L531" t="s">
        <v>113</v>
      </c>
      <c r="M531" s="3">
        <v>0.33333333333333331</v>
      </c>
      <c r="N531" t="s">
        <v>113</v>
      </c>
      <c r="O531" s="3">
        <v>0.33333333333333331</v>
      </c>
      <c r="P531" t="s">
        <v>113</v>
      </c>
      <c r="Q531" s="3">
        <v>0.33333333333333331</v>
      </c>
      <c r="R531" t="b">
        <v>1</v>
      </c>
      <c r="S531" t="s">
        <v>2204</v>
      </c>
    </row>
    <row r="532" spans="1:19" hidden="1" x14ac:dyDescent="0.2">
      <c r="A532">
        <v>530</v>
      </c>
      <c r="B532" t="s">
        <v>497</v>
      </c>
      <c r="C532" t="s">
        <v>2205</v>
      </c>
      <c r="D532">
        <v>75013</v>
      </c>
      <c r="E532">
        <v>0</v>
      </c>
      <c r="F532">
        <v>10371603</v>
      </c>
      <c r="G532" t="s">
        <v>1632</v>
      </c>
      <c r="H532" t="s">
        <v>92</v>
      </c>
      <c r="I532" s="3">
        <v>0.47916666666666669</v>
      </c>
      <c r="J532" t="s">
        <v>92</v>
      </c>
      <c r="K532" s="3">
        <v>0.45833333333333331</v>
      </c>
      <c r="L532" t="s">
        <v>92</v>
      </c>
      <c r="M532" s="3">
        <v>0.4375</v>
      </c>
      <c r="N532" t="s">
        <v>92</v>
      </c>
      <c r="O532" s="3">
        <v>0.60416666666666663</v>
      </c>
      <c r="P532" t="s">
        <v>92</v>
      </c>
      <c r="Q532" s="3">
        <v>0.64583333333333337</v>
      </c>
      <c r="R532" t="b">
        <v>0</v>
      </c>
      <c r="S532" t="s">
        <v>2206</v>
      </c>
    </row>
    <row r="533" spans="1:19" hidden="1" x14ac:dyDescent="0.2">
      <c r="A533">
        <v>531</v>
      </c>
      <c r="B533" t="s">
        <v>524</v>
      </c>
      <c r="C533" t="s">
        <v>523</v>
      </c>
      <c r="D533">
        <v>91764</v>
      </c>
      <c r="E533">
        <v>10</v>
      </c>
      <c r="F533">
        <v>10370665</v>
      </c>
      <c r="G533" t="s">
        <v>914</v>
      </c>
      <c r="H533" t="s">
        <v>113</v>
      </c>
      <c r="I533" s="3">
        <v>0.3125</v>
      </c>
      <c r="J533" t="s">
        <v>113</v>
      </c>
      <c r="K533" s="3">
        <v>0.3125</v>
      </c>
      <c r="L533" t="s">
        <v>113</v>
      </c>
      <c r="M533" s="3">
        <v>0.3125</v>
      </c>
      <c r="N533" t="s">
        <v>113</v>
      </c>
      <c r="O533" s="3">
        <v>0.3125</v>
      </c>
      <c r="P533" t="s">
        <v>113</v>
      </c>
      <c r="Q533" s="3">
        <v>0.3125</v>
      </c>
      <c r="R533" t="b">
        <v>1</v>
      </c>
      <c r="S533" t="s">
        <v>2207</v>
      </c>
    </row>
    <row r="534" spans="1:19" hidden="1" x14ac:dyDescent="0.2">
      <c r="A534">
        <v>532</v>
      </c>
      <c r="B534" t="s">
        <v>49</v>
      </c>
      <c r="C534" t="s">
        <v>48</v>
      </c>
      <c r="D534">
        <v>92337</v>
      </c>
      <c r="E534">
        <v>12</v>
      </c>
      <c r="F534">
        <v>10351475</v>
      </c>
      <c r="G534" t="s">
        <v>914</v>
      </c>
      <c r="H534" t="s">
        <v>113</v>
      </c>
      <c r="I534" s="3">
        <v>0.25</v>
      </c>
      <c r="J534" t="s">
        <v>113</v>
      </c>
      <c r="K534" s="3">
        <v>0.29166666666666669</v>
      </c>
      <c r="L534" t="s">
        <v>113</v>
      </c>
      <c r="M534" s="3">
        <v>0.29166666666666669</v>
      </c>
      <c r="N534" t="s">
        <v>113</v>
      </c>
      <c r="O534" s="3">
        <v>0.29166666666666669</v>
      </c>
      <c r="P534" t="s">
        <v>113</v>
      </c>
      <c r="Q534" s="3">
        <v>0.29166666666666669</v>
      </c>
      <c r="R534" t="b">
        <v>1</v>
      </c>
      <c r="S534" t="s">
        <v>2208</v>
      </c>
    </row>
    <row r="535" spans="1:19" hidden="1" x14ac:dyDescent="0.2">
      <c r="A535">
        <v>533</v>
      </c>
      <c r="B535" t="s">
        <v>449</v>
      </c>
      <c r="C535" t="s">
        <v>448</v>
      </c>
      <c r="D535">
        <v>92337</v>
      </c>
      <c r="E535">
        <v>16</v>
      </c>
      <c r="F535">
        <v>10303075</v>
      </c>
      <c r="G535" t="s">
        <v>919</v>
      </c>
      <c r="H535" t="s">
        <v>113</v>
      </c>
      <c r="I535" s="3">
        <v>0.29166666666666669</v>
      </c>
      <c r="J535" t="s">
        <v>113</v>
      </c>
      <c r="K535" s="3">
        <v>0.29166666666666669</v>
      </c>
      <c r="L535" t="s">
        <v>113</v>
      </c>
      <c r="M535" s="3">
        <v>0.29166666666666669</v>
      </c>
      <c r="N535" t="s">
        <v>113</v>
      </c>
      <c r="O535" s="3">
        <v>0.29166666666666669</v>
      </c>
      <c r="P535" t="s">
        <v>113</v>
      </c>
      <c r="Q535" s="3">
        <v>0.29166666666666669</v>
      </c>
      <c r="R535" t="b">
        <v>1</v>
      </c>
      <c r="S535" t="s">
        <v>2209</v>
      </c>
    </row>
    <row r="536" spans="1:19" hidden="1" x14ac:dyDescent="0.2">
      <c r="A536">
        <v>534</v>
      </c>
      <c r="B536" t="s">
        <v>1272</v>
      </c>
      <c r="C536" t="s">
        <v>1273</v>
      </c>
      <c r="D536">
        <v>92405</v>
      </c>
      <c r="E536">
        <v>28</v>
      </c>
      <c r="F536">
        <v>10354791</v>
      </c>
      <c r="G536" t="s">
        <v>914</v>
      </c>
      <c r="H536" t="s">
        <v>113</v>
      </c>
      <c r="I536" s="3">
        <v>0.25</v>
      </c>
      <c r="J536" t="s">
        <v>113</v>
      </c>
      <c r="K536" s="3">
        <v>0.29166666666666669</v>
      </c>
      <c r="L536" t="s">
        <v>113</v>
      </c>
      <c r="M536" s="3">
        <v>0.29166666666666669</v>
      </c>
      <c r="N536" t="s">
        <v>113</v>
      </c>
      <c r="O536" s="3">
        <v>0.29166666666666669</v>
      </c>
      <c r="P536" t="s">
        <v>113</v>
      </c>
      <c r="Q536" s="3">
        <v>0.29166666666666669</v>
      </c>
      <c r="R536" t="b">
        <v>1</v>
      </c>
      <c r="S536" t="s">
        <v>2210</v>
      </c>
    </row>
    <row r="537" spans="1:19" hidden="1" x14ac:dyDescent="0.2">
      <c r="A537">
        <v>535</v>
      </c>
      <c r="B537" t="s">
        <v>28</v>
      </c>
      <c r="C537" t="s">
        <v>675</v>
      </c>
      <c r="D537">
        <v>91761</v>
      </c>
      <c r="E537">
        <v>13</v>
      </c>
      <c r="F537" t="s">
        <v>1156</v>
      </c>
      <c r="G537" t="s">
        <v>914</v>
      </c>
      <c r="H537" t="s">
        <v>98</v>
      </c>
      <c r="I537" s="3">
        <v>0.29166666666666669</v>
      </c>
      <c r="J537" t="s">
        <v>98</v>
      </c>
      <c r="K537" s="3">
        <v>0.29166666666666669</v>
      </c>
      <c r="L537" t="s">
        <v>98</v>
      </c>
      <c r="M537" s="3">
        <v>0.29166666666666669</v>
      </c>
      <c r="N537" t="s">
        <v>98</v>
      </c>
      <c r="O537" s="3">
        <v>0.29166666666666669</v>
      </c>
      <c r="P537" t="s">
        <v>98</v>
      </c>
      <c r="Q537" s="3">
        <v>0.29166666666666669</v>
      </c>
      <c r="R537" t="b">
        <v>1</v>
      </c>
      <c r="S537" t="s">
        <v>2211</v>
      </c>
    </row>
    <row r="538" spans="1:19" hidden="1" x14ac:dyDescent="0.2">
      <c r="A538">
        <v>536</v>
      </c>
      <c r="B538" t="s">
        <v>893</v>
      </c>
      <c r="C538" t="s">
        <v>1233</v>
      </c>
      <c r="D538">
        <v>92376</v>
      </c>
      <c r="E538">
        <v>21</v>
      </c>
      <c r="F538">
        <v>10292177</v>
      </c>
      <c r="G538" t="s">
        <v>914</v>
      </c>
      <c r="H538" t="s">
        <v>113</v>
      </c>
      <c r="I538" s="3">
        <v>0.25</v>
      </c>
      <c r="J538" t="s">
        <v>113</v>
      </c>
      <c r="K538" s="3">
        <v>0.25</v>
      </c>
      <c r="L538" t="s">
        <v>113</v>
      </c>
      <c r="M538" s="3">
        <v>0.25</v>
      </c>
      <c r="N538" t="s">
        <v>113</v>
      </c>
      <c r="O538" s="3">
        <v>0.25</v>
      </c>
      <c r="P538" t="s">
        <v>113</v>
      </c>
      <c r="Q538" s="3">
        <v>0.25</v>
      </c>
      <c r="R538" t="b">
        <v>1</v>
      </c>
      <c r="S538" t="s">
        <v>2212</v>
      </c>
    </row>
    <row r="539" spans="1:19" hidden="1" x14ac:dyDescent="0.2">
      <c r="A539">
        <v>537</v>
      </c>
      <c r="B539" t="s">
        <v>780</v>
      </c>
      <c r="C539" t="s">
        <v>1189</v>
      </c>
      <c r="D539">
        <v>91765</v>
      </c>
      <c r="E539">
        <v>15</v>
      </c>
      <c r="F539">
        <v>10373041</v>
      </c>
      <c r="G539" t="s">
        <v>914</v>
      </c>
      <c r="H539" t="s">
        <v>113</v>
      </c>
      <c r="I539" s="3">
        <v>0.3125</v>
      </c>
      <c r="J539" t="s">
        <v>113</v>
      </c>
      <c r="K539" s="3">
        <v>0.3125</v>
      </c>
      <c r="L539" t="s">
        <v>113</v>
      </c>
      <c r="M539" s="3">
        <v>0.3125</v>
      </c>
      <c r="N539" t="s">
        <v>113</v>
      </c>
      <c r="O539" s="3">
        <v>0.3125</v>
      </c>
      <c r="P539" t="s">
        <v>113</v>
      </c>
      <c r="Q539" s="3">
        <v>0.3125</v>
      </c>
      <c r="R539" t="b">
        <v>1</v>
      </c>
      <c r="S539" t="s">
        <v>2213</v>
      </c>
    </row>
    <row r="540" spans="1:19" hidden="1" x14ac:dyDescent="0.2">
      <c r="A540">
        <v>538</v>
      </c>
      <c r="B540" t="s">
        <v>1003</v>
      </c>
      <c r="C540" t="s">
        <v>1004</v>
      </c>
      <c r="D540">
        <v>91763</v>
      </c>
      <c r="E540">
        <v>3</v>
      </c>
      <c r="F540">
        <v>10366752</v>
      </c>
      <c r="G540" t="s">
        <v>914</v>
      </c>
      <c r="H540" t="s">
        <v>113</v>
      </c>
      <c r="I540" s="3">
        <v>0.25</v>
      </c>
      <c r="J540" t="s">
        <v>98</v>
      </c>
      <c r="K540" s="3">
        <v>0.25</v>
      </c>
      <c r="L540" t="s">
        <v>113</v>
      </c>
      <c r="M540" s="3">
        <v>0.25</v>
      </c>
      <c r="N540" t="s">
        <v>113</v>
      </c>
      <c r="O540" s="3">
        <v>0.27083333333333331</v>
      </c>
      <c r="P540" t="s">
        <v>113</v>
      </c>
      <c r="Q540" s="3">
        <v>0.25</v>
      </c>
      <c r="R540" t="b">
        <v>1</v>
      </c>
      <c r="S540" t="s">
        <v>2214</v>
      </c>
    </row>
    <row r="541" spans="1:19" x14ac:dyDescent="0.2">
      <c r="A541">
        <v>539</v>
      </c>
      <c r="B541" t="s">
        <v>983</v>
      </c>
      <c r="C541" t="s">
        <v>1000</v>
      </c>
      <c r="D541">
        <v>91709</v>
      </c>
      <c r="E541">
        <v>20</v>
      </c>
      <c r="F541">
        <v>10366710</v>
      </c>
      <c r="G541" t="s">
        <v>1495</v>
      </c>
      <c r="H541" t="s">
        <v>103</v>
      </c>
      <c r="I541" s="3">
        <v>0.20833333333333334</v>
      </c>
      <c r="J541" t="s">
        <v>103</v>
      </c>
      <c r="K541" s="3">
        <v>0.20833333333333334</v>
      </c>
      <c r="L541" t="s">
        <v>103</v>
      </c>
      <c r="M541" s="3">
        <v>0.20833333333333334</v>
      </c>
      <c r="N541" t="s">
        <v>103</v>
      </c>
      <c r="O541" s="3">
        <v>0.20833333333333334</v>
      </c>
      <c r="P541" t="s">
        <v>103</v>
      </c>
      <c r="Q541" s="3">
        <v>0.20833333333333334</v>
      </c>
      <c r="R541" t="b">
        <v>0</v>
      </c>
      <c r="S541" t="s">
        <v>2215</v>
      </c>
    </row>
    <row r="542" spans="1:19" hidden="1" x14ac:dyDescent="0.2">
      <c r="A542">
        <v>540</v>
      </c>
      <c r="B542" t="s">
        <v>1136</v>
      </c>
      <c r="C542" t="s">
        <v>40</v>
      </c>
      <c r="D542">
        <v>91784</v>
      </c>
      <c r="E542">
        <v>10</v>
      </c>
      <c r="F542">
        <v>10375312</v>
      </c>
      <c r="G542" t="s">
        <v>914</v>
      </c>
      <c r="H542" t="s">
        <v>113</v>
      </c>
      <c r="I542" s="3">
        <v>0.3125</v>
      </c>
      <c r="J542" t="s">
        <v>113</v>
      </c>
      <c r="K542" s="3">
        <v>0.3125</v>
      </c>
      <c r="L542" t="s">
        <v>113</v>
      </c>
      <c r="M542" s="3">
        <v>0.3125</v>
      </c>
      <c r="N542" t="s">
        <v>113</v>
      </c>
      <c r="O542" s="3">
        <v>0.33333333333333331</v>
      </c>
      <c r="P542" t="s">
        <v>113</v>
      </c>
      <c r="Q542" s="3">
        <v>0.33333333333333331</v>
      </c>
      <c r="R542" t="b">
        <v>1</v>
      </c>
      <c r="S542" t="s">
        <v>2216</v>
      </c>
    </row>
    <row r="543" spans="1:19" hidden="1" x14ac:dyDescent="0.2">
      <c r="A543">
        <v>541</v>
      </c>
      <c r="B543" t="s">
        <v>731</v>
      </c>
      <c r="C543" t="s">
        <v>467</v>
      </c>
      <c r="D543">
        <v>91786</v>
      </c>
      <c r="E543">
        <v>1.5</v>
      </c>
      <c r="F543">
        <v>10358577</v>
      </c>
      <c r="G543" t="s">
        <v>919</v>
      </c>
      <c r="H543" t="s">
        <v>92</v>
      </c>
      <c r="I543" s="3">
        <v>0.35416666666666669</v>
      </c>
      <c r="J543" t="s">
        <v>92</v>
      </c>
      <c r="K543" s="3">
        <v>0.35416666666666669</v>
      </c>
      <c r="L543" t="s">
        <v>92</v>
      </c>
      <c r="M543" s="3">
        <v>0.35416666666666669</v>
      </c>
      <c r="N543" t="s">
        <v>92</v>
      </c>
      <c r="O543" s="3">
        <v>0.35416666666666669</v>
      </c>
      <c r="P543" t="s">
        <v>92</v>
      </c>
      <c r="Q543" s="3">
        <v>0.35416666666666669</v>
      </c>
      <c r="R543" t="b">
        <v>1</v>
      </c>
      <c r="S543" t="s">
        <v>2217</v>
      </c>
    </row>
    <row r="544" spans="1:19" hidden="1" x14ac:dyDescent="0.2">
      <c r="A544">
        <v>542</v>
      </c>
      <c r="B544" t="s">
        <v>406</v>
      </c>
      <c r="C544" t="s">
        <v>896</v>
      </c>
      <c r="D544">
        <v>92880</v>
      </c>
      <c r="E544">
        <v>21.3</v>
      </c>
      <c r="F544">
        <v>103722532</v>
      </c>
      <c r="G544" t="s">
        <v>914</v>
      </c>
      <c r="H544" t="s">
        <v>113</v>
      </c>
      <c r="I544" s="3">
        <v>0.33333333333333331</v>
      </c>
      <c r="J544" t="s">
        <v>113</v>
      </c>
      <c r="K544" s="3">
        <v>0.33333333333333331</v>
      </c>
      <c r="L544" t="s">
        <v>113</v>
      </c>
      <c r="M544" s="3">
        <v>0.33333333333333331</v>
      </c>
      <c r="N544" t="s">
        <v>103</v>
      </c>
      <c r="O544" s="3">
        <v>0.33333333333333331</v>
      </c>
      <c r="P544" t="s">
        <v>113</v>
      </c>
      <c r="Q544" s="3">
        <v>0.33333333333333331</v>
      </c>
      <c r="R544" t="b">
        <v>1</v>
      </c>
      <c r="S544" t="s">
        <v>2218</v>
      </c>
    </row>
    <row r="545" spans="1:19" hidden="1" x14ac:dyDescent="0.2">
      <c r="A545">
        <v>543</v>
      </c>
      <c r="B545" t="s">
        <v>1190</v>
      </c>
      <c r="C545" t="s">
        <v>1191</v>
      </c>
      <c r="D545">
        <v>92336</v>
      </c>
      <c r="E545">
        <v>15</v>
      </c>
      <c r="F545" t="s">
        <v>1192</v>
      </c>
      <c r="G545" t="s">
        <v>914</v>
      </c>
      <c r="H545" t="s">
        <v>113</v>
      </c>
      <c r="I545" s="3">
        <v>0.29166666666666669</v>
      </c>
      <c r="J545" t="s">
        <v>113</v>
      </c>
      <c r="K545" s="3">
        <v>0.29166666666666669</v>
      </c>
      <c r="L545" t="s">
        <v>113</v>
      </c>
      <c r="M545" s="3">
        <v>0.29166666666666669</v>
      </c>
      <c r="N545" t="s">
        <v>113</v>
      </c>
      <c r="O545" s="3">
        <v>0.29166666666666669</v>
      </c>
      <c r="P545" t="s">
        <v>113</v>
      </c>
      <c r="Q545" s="3">
        <v>0.29166666666666669</v>
      </c>
      <c r="R545" t="b">
        <v>1</v>
      </c>
      <c r="S545" t="s">
        <v>2219</v>
      </c>
    </row>
    <row r="546" spans="1:19" hidden="1" x14ac:dyDescent="0.2">
      <c r="A546">
        <v>544</v>
      </c>
      <c r="B546" t="s">
        <v>1137</v>
      </c>
      <c r="C546" t="s">
        <v>1138</v>
      </c>
      <c r="D546">
        <v>91762</v>
      </c>
      <c r="E546">
        <v>10</v>
      </c>
      <c r="F546">
        <v>10368502</v>
      </c>
      <c r="G546" t="s">
        <v>914</v>
      </c>
      <c r="H546" t="s">
        <v>113</v>
      </c>
      <c r="I546" s="3">
        <v>0.33333333333333331</v>
      </c>
      <c r="J546" t="s">
        <v>199</v>
      </c>
      <c r="K546" s="3">
        <v>0.25</v>
      </c>
      <c r="L546" t="s">
        <v>113</v>
      </c>
      <c r="M546" s="3">
        <v>0.33333333333333331</v>
      </c>
      <c r="N546" t="s">
        <v>199</v>
      </c>
      <c r="O546" s="3">
        <v>0.25</v>
      </c>
      <c r="P546" t="s">
        <v>113</v>
      </c>
      <c r="Q546" s="3">
        <v>0.33333333333333331</v>
      </c>
      <c r="R546" t="b">
        <v>1</v>
      </c>
      <c r="S546" t="s">
        <v>2220</v>
      </c>
    </row>
    <row r="547" spans="1:19" hidden="1" x14ac:dyDescent="0.2">
      <c r="A547">
        <v>545</v>
      </c>
      <c r="B547" t="s">
        <v>1111</v>
      </c>
      <c r="C547" t="s">
        <v>1112</v>
      </c>
      <c r="D547">
        <v>91764</v>
      </c>
      <c r="E547">
        <v>8</v>
      </c>
      <c r="F547" t="s">
        <v>1113</v>
      </c>
      <c r="G547" t="s">
        <v>914</v>
      </c>
      <c r="H547" t="s">
        <v>113</v>
      </c>
      <c r="I547" s="3">
        <v>0.33333333333333331</v>
      </c>
      <c r="J547" t="s">
        <v>113</v>
      </c>
      <c r="K547" s="3">
        <v>0.33333333333333331</v>
      </c>
      <c r="L547" t="s">
        <v>113</v>
      </c>
      <c r="M547" s="3">
        <v>0.33333333333333331</v>
      </c>
      <c r="N547" t="s">
        <v>113</v>
      </c>
      <c r="O547" s="3">
        <v>0.33333333333333331</v>
      </c>
      <c r="P547" t="s">
        <v>113</v>
      </c>
      <c r="Q547" s="3">
        <v>0.33333333333333331</v>
      </c>
      <c r="R547" t="b">
        <v>1</v>
      </c>
      <c r="S547" t="s">
        <v>2221</v>
      </c>
    </row>
    <row r="548" spans="1:19" hidden="1" x14ac:dyDescent="0.2">
      <c r="A548">
        <v>546</v>
      </c>
      <c r="B548" t="s">
        <v>1312</v>
      </c>
      <c r="C548" t="s">
        <v>467</v>
      </c>
      <c r="D548">
        <v>90302</v>
      </c>
      <c r="E548">
        <v>42</v>
      </c>
      <c r="F548">
        <v>120997</v>
      </c>
      <c r="G548" t="s">
        <v>914</v>
      </c>
      <c r="H548" t="s">
        <v>113</v>
      </c>
      <c r="I548" s="3">
        <v>0.35416666666666669</v>
      </c>
      <c r="J548" t="s">
        <v>113</v>
      </c>
      <c r="K548" s="3">
        <v>0.35416666666666669</v>
      </c>
      <c r="L548" t="s">
        <v>113</v>
      </c>
      <c r="M548" s="3">
        <v>0.35416666666666669</v>
      </c>
      <c r="N548" t="s">
        <v>113</v>
      </c>
      <c r="O548" s="3">
        <v>0.35416666666666669</v>
      </c>
      <c r="P548" t="s">
        <v>113</v>
      </c>
      <c r="Q548" s="3">
        <v>0.35416666666666669</v>
      </c>
      <c r="R548" t="b">
        <v>1</v>
      </c>
      <c r="S548" t="s">
        <v>2222</v>
      </c>
    </row>
    <row r="549" spans="1:19" hidden="1" x14ac:dyDescent="0.2">
      <c r="A549">
        <v>547</v>
      </c>
      <c r="B549" t="s">
        <v>643</v>
      </c>
      <c r="C549" t="s">
        <v>1329</v>
      </c>
      <c r="D549">
        <v>92557</v>
      </c>
      <c r="E549">
        <v>60</v>
      </c>
      <c r="F549" t="s">
        <v>1330</v>
      </c>
      <c r="G549" t="s">
        <v>914</v>
      </c>
      <c r="H549" t="s">
        <v>1176</v>
      </c>
      <c r="I549" s="3">
        <v>0.16666666666666666</v>
      </c>
      <c r="J549" t="s">
        <v>1176</v>
      </c>
      <c r="K549" s="3">
        <v>0.16666666666666666</v>
      </c>
      <c r="L549" t="s">
        <v>1176</v>
      </c>
      <c r="M549" s="3">
        <v>0.16666666666666666</v>
      </c>
      <c r="N549" t="s">
        <v>1176</v>
      </c>
      <c r="O549" s="3">
        <v>0.16666666666666666</v>
      </c>
      <c r="P549" t="s">
        <v>1176</v>
      </c>
      <c r="Q549" s="3">
        <v>0.16666666666666666</v>
      </c>
      <c r="R549" t="b">
        <v>0</v>
      </c>
      <c r="S549" t="s">
        <v>2223</v>
      </c>
    </row>
    <row r="550" spans="1:19" hidden="1" x14ac:dyDescent="0.2">
      <c r="A550">
        <v>548</v>
      </c>
      <c r="B550" t="s">
        <v>437</v>
      </c>
      <c r="C550" t="s">
        <v>436</v>
      </c>
      <c r="D550">
        <v>91744</v>
      </c>
      <c r="E550">
        <v>17</v>
      </c>
      <c r="F550">
        <v>10215439</v>
      </c>
      <c r="G550" t="s">
        <v>914</v>
      </c>
      <c r="H550" t="s">
        <v>113</v>
      </c>
      <c r="I550" s="3">
        <v>0.3125</v>
      </c>
      <c r="J550" t="s">
        <v>113</v>
      </c>
      <c r="K550" s="3">
        <v>0.3125</v>
      </c>
      <c r="L550" t="s">
        <v>113</v>
      </c>
      <c r="M550" s="3">
        <v>0.3125</v>
      </c>
      <c r="N550" t="s">
        <v>113</v>
      </c>
      <c r="O550" s="3">
        <v>0.3125</v>
      </c>
      <c r="P550" t="s">
        <v>113</v>
      </c>
      <c r="Q550" s="3">
        <v>0.3125</v>
      </c>
      <c r="R550" t="b">
        <v>1</v>
      </c>
      <c r="S550" t="s">
        <v>2224</v>
      </c>
    </row>
    <row r="551" spans="1:19" hidden="1" x14ac:dyDescent="0.2">
      <c r="A551">
        <v>549</v>
      </c>
      <c r="B551" t="s">
        <v>1009</v>
      </c>
      <c r="C551" t="s">
        <v>1010</v>
      </c>
      <c r="D551">
        <v>91762</v>
      </c>
      <c r="E551">
        <v>3.3</v>
      </c>
      <c r="F551">
        <v>10373864</v>
      </c>
      <c r="G551" t="s">
        <v>914</v>
      </c>
      <c r="H551" t="s">
        <v>103</v>
      </c>
      <c r="I551" s="3">
        <v>0.27083333333333331</v>
      </c>
      <c r="J551" t="s">
        <v>103</v>
      </c>
      <c r="K551" s="3">
        <v>0.27083333333333331</v>
      </c>
      <c r="L551" t="s">
        <v>103</v>
      </c>
      <c r="M551" s="3">
        <v>0.27083333333333331</v>
      </c>
      <c r="N551" t="s">
        <v>103</v>
      </c>
      <c r="O551" s="3">
        <v>0.27083333333333331</v>
      </c>
      <c r="P551" t="s">
        <v>103</v>
      </c>
      <c r="Q551" s="3">
        <v>0.27083333333333331</v>
      </c>
      <c r="R551" t="b">
        <v>1</v>
      </c>
      <c r="S551" t="s">
        <v>2225</v>
      </c>
    </row>
    <row r="552" spans="1:19" hidden="1" x14ac:dyDescent="0.2">
      <c r="A552">
        <v>550</v>
      </c>
      <c r="B552" t="s">
        <v>602</v>
      </c>
      <c r="C552" t="s">
        <v>601</v>
      </c>
      <c r="D552">
        <v>91710</v>
      </c>
      <c r="E552">
        <v>5.2</v>
      </c>
      <c r="F552">
        <v>10364131</v>
      </c>
      <c r="G552" t="s">
        <v>914</v>
      </c>
      <c r="H552" t="s">
        <v>113</v>
      </c>
      <c r="I552" s="3">
        <v>0.35416666666666669</v>
      </c>
      <c r="J552" t="s">
        <v>103</v>
      </c>
      <c r="K552" s="3">
        <v>0.33333333333333331</v>
      </c>
      <c r="L552" t="s">
        <v>103</v>
      </c>
      <c r="M552" s="3">
        <v>0.33333333333333331</v>
      </c>
      <c r="N552" t="s">
        <v>103</v>
      </c>
      <c r="O552" s="3">
        <v>0.33333333333333331</v>
      </c>
      <c r="P552" t="s">
        <v>103</v>
      </c>
      <c r="Q552" s="3">
        <v>0.33333333333333331</v>
      </c>
      <c r="R552" t="b">
        <v>1</v>
      </c>
      <c r="S552" t="s">
        <v>2226</v>
      </c>
    </row>
    <row r="553" spans="1:19" hidden="1" x14ac:dyDescent="0.2">
      <c r="A553">
        <v>551</v>
      </c>
      <c r="B553" t="s">
        <v>1309</v>
      </c>
      <c r="C553" t="s">
        <v>1310</v>
      </c>
      <c r="D553">
        <v>92879</v>
      </c>
      <c r="E553">
        <v>40</v>
      </c>
      <c r="F553" t="s">
        <v>1311</v>
      </c>
      <c r="G553" t="s">
        <v>919</v>
      </c>
      <c r="H553" t="s">
        <v>113</v>
      </c>
      <c r="I553" s="3">
        <v>0.29166666666666669</v>
      </c>
      <c r="J553" t="s">
        <v>113</v>
      </c>
      <c r="K553" s="3">
        <v>0.29166666666666669</v>
      </c>
      <c r="L553" t="s">
        <v>113</v>
      </c>
      <c r="M553" s="3">
        <v>0.29166666666666669</v>
      </c>
      <c r="N553" t="s">
        <v>113</v>
      </c>
      <c r="O553" s="3">
        <v>0.29166666666666669</v>
      </c>
      <c r="P553" t="s">
        <v>113</v>
      </c>
      <c r="Q553" s="3">
        <v>0.3125</v>
      </c>
      <c r="R553" t="b">
        <v>1</v>
      </c>
      <c r="S553" t="s">
        <v>2227</v>
      </c>
    </row>
    <row r="554" spans="1:19" hidden="1" x14ac:dyDescent="0.2">
      <c r="A554">
        <v>552</v>
      </c>
      <c r="B554" t="s">
        <v>381</v>
      </c>
      <c r="C554" t="s">
        <v>380</v>
      </c>
      <c r="D554">
        <v>91762</v>
      </c>
      <c r="E554">
        <v>3.5</v>
      </c>
      <c r="F554">
        <v>103132011</v>
      </c>
      <c r="G554" t="s">
        <v>914</v>
      </c>
      <c r="H554" t="s">
        <v>113</v>
      </c>
      <c r="I554" s="3">
        <v>0.35416666666666669</v>
      </c>
      <c r="J554" t="s">
        <v>113</v>
      </c>
      <c r="K554" s="3">
        <v>0.35416666666666669</v>
      </c>
      <c r="L554" t="s">
        <v>113</v>
      </c>
      <c r="M554" s="3">
        <v>0.35416666666666669</v>
      </c>
      <c r="N554" t="s">
        <v>113</v>
      </c>
      <c r="O554" s="3">
        <v>0.35416666666666669</v>
      </c>
      <c r="P554" t="s">
        <v>103</v>
      </c>
      <c r="Q554" s="3">
        <v>0.35416666666666669</v>
      </c>
      <c r="R554" t="b">
        <v>1</v>
      </c>
      <c r="S554" t="s">
        <v>2228</v>
      </c>
    </row>
    <row r="555" spans="1:19" hidden="1" x14ac:dyDescent="0.2">
      <c r="A555">
        <v>553</v>
      </c>
      <c r="B555" t="s">
        <v>478</v>
      </c>
      <c r="C555" t="s">
        <v>477</v>
      </c>
      <c r="D555">
        <v>90065</v>
      </c>
      <c r="E555">
        <v>35</v>
      </c>
      <c r="F555">
        <v>10371899</v>
      </c>
      <c r="G555" t="s">
        <v>914</v>
      </c>
      <c r="H555" t="s">
        <v>74</v>
      </c>
      <c r="I555" s="3">
        <v>0.33333333333333331</v>
      </c>
      <c r="J555" t="s">
        <v>74</v>
      </c>
      <c r="K555" s="3">
        <v>0.33333333333333331</v>
      </c>
      <c r="L555" t="s">
        <v>74</v>
      </c>
      <c r="M555" s="3">
        <v>0.33333333333333331</v>
      </c>
      <c r="N555" t="s">
        <v>74</v>
      </c>
      <c r="O555" s="3">
        <v>0.33333333333333331</v>
      </c>
      <c r="P555" t="s">
        <v>74</v>
      </c>
      <c r="Q555" s="3">
        <v>0.33333333333333331</v>
      </c>
      <c r="R555" t="b">
        <v>1</v>
      </c>
      <c r="S555" t="s">
        <v>2229</v>
      </c>
    </row>
    <row r="556" spans="1:19" hidden="1" x14ac:dyDescent="0.2">
      <c r="A556">
        <v>554</v>
      </c>
      <c r="B556" t="s">
        <v>1151</v>
      </c>
      <c r="C556" t="s">
        <v>1152</v>
      </c>
      <c r="D556">
        <v>91791</v>
      </c>
      <c r="E556">
        <v>12</v>
      </c>
      <c r="F556">
        <v>10345366</v>
      </c>
      <c r="G556" t="s">
        <v>914</v>
      </c>
      <c r="H556" t="s">
        <v>113</v>
      </c>
      <c r="I556" s="3">
        <v>0.20833333333333334</v>
      </c>
      <c r="J556" t="s">
        <v>113</v>
      </c>
      <c r="K556" s="3">
        <v>0.20833333333333334</v>
      </c>
      <c r="L556" t="s">
        <v>113</v>
      </c>
      <c r="M556" s="3">
        <v>0.20833333333333334</v>
      </c>
      <c r="N556" t="s">
        <v>113</v>
      </c>
      <c r="O556" s="3">
        <v>0.20833333333333334</v>
      </c>
      <c r="P556" t="s">
        <v>113</v>
      </c>
      <c r="Q556" s="3">
        <v>0.20833333333333334</v>
      </c>
      <c r="R556" t="b">
        <v>0</v>
      </c>
      <c r="S556" t="s">
        <v>2230</v>
      </c>
    </row>
    <row r="557" spans="1:19" hidden="1" x14ac:dyDescent="0.2">
      <c r="A557">
        <v>555</v>
      </c>
      <c r="B557" t="s">
        <v>565</v>
      </c>
      <c r="C557" t="s">
        <v>558</v>
      </c>
      <c r="D557">
        <v>91722</v>
      </c>
      <c r="E557">
        <v>14</v>
      </c>
      <c r="F557">
        <v>10189436</v>
      </c>
      <c r="G557" t="s">
        <v>914</v>
      </c>
      <c r="H557" t="s">
        <v>113</v>
      </c>
      <c r="I557" s="3">
        <v>0.35416666666666669</v>
      </c>
      <c r="J557" t="s">
        <v>113</v>
      </c>
      <c r="K557" s="3">
        <v>0.35416666666666669</v>
      </c>
      <c r="L557" t="s">
        <v>113</v>
      </c>
      <c r="M557" s="3">
        <v>0.35416666666666669</v>
      </c>
      <c r="N557" t="s">
        <v>113</v>
      </c>
      <c r="O557" s="3">
        <v>0.35416666666666669</v>
      </c>
      <c r="P557" t="s">
        <v>113</v>
      </c>
      <c r="Q557" s="3">
        <v>0.35416666666666669</v>
      </c>
      <c r="R557" t="b">
        <v>1</v>
      </c>
      <c r="S557" t="s">
        <v>2231</v>
      </c>
    </row>
    <row r="558" spans="1:19" hidden="1" x14ac:dyDescent="0.2">
      <c r="A558">
        <v>556</v>
      </c>
      <c r="B558" t="s">
        <v>1115</v>
      </c>
      <c r="C558" t="s">
        <v>558</v>
      </c>
      <c r="D558">
        <v>91730</v>
      </c>
      <c r="E558">
        <v>9233</v>
      </c>
      <c r="F558">
        <v>10373069</v>
      </c>
      <c r="G558" t="s">
        <v>914</v>
      </c>
      <c r="H558" t="s">
        <v>113</v>
      </c>
      <c r="I558" s="3">
        <v>0.54166666666666663</v>
      </c>
      <c r="J558" t="s">
        <v>113</v>
      </c>
      <c r="K558" s="3">
        <v>0.54166666666666663</v>
      </c>
      <c r="L558" t="s">
        <v>113</v>
      </c>
      <c r="M558" s="3">
        <v>0.54166666666666663</v>
      </c>
      <c r="N558" t="s">
        <v>113</v>
      </c>
      <c r="O558" s="3">
        <v>0.54166666666666663</v>
      </c>
      <c r="P558" t="s">
        <v>113</v>
      </c>
      <c r="Q558" s="3">
        <v>0.54166666666666663</v>
      </c>
      <c r="R558" t="b">
        <v>0</v>
      </c>
      <c r="S558" t="s">
        <v>2232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c7ae98-977d-4a76-b89e-024dbe577fde">
      <Terms xmlns="http://schemas.microsoft.com/office/infopath/2007/PartnerControls"/>
    </lcf76f155ced4ddcb4097134ff3c332f>
    <TaxCatchAll xmlns="8e8f7400-d615-4b09-be76-78f5180598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8453B622C6434B9C1FC3980BC0FCCB" ma:contentTypeVersion="13" ma:contentTypeDescription="Create a new document." ma:contentTypeScope="" ma:versionID="f4291e15311a32e843ee44de2916bb74">
  <xsd:schema xmlns:xsd="http://www.w3.org/2001/XMLSchema" xmlns:xs="http://www.w3.org/2001/XMLSchema" xmlns:p="http://schemas.microsoft.com/office/2006/metadata/properties" xmlns:ns2="b1c7ae98-977d-4a76-b89e-024dbe577fde" xmlns:ns3="8e8f7400-d615-4b09-be76-78f518059851" targetNamespace="http://schemas.microsoft.com/office/2006/metadata/properties" ma:root="true" ma:fieldsID="5bdf036b83b824c4f5d9556782012e19" ns2:_="" ns3:_="">
    <xsd:import namespace="b1c7ae98-977d-4a76-b89e-024dbe577fde"/>
    <xsd:import namespace="8e8f7400-d615-4b09-be76-78f518059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7ae98-977d-4a76-b89e-024dbe577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2543a41-8d99-4241-8456-4ef53fc29b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f7400-d615-4b09-be76-78f5180598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edbe4d-eed4-4629-9daa-1e570f33e9a7}" ma:internalName="TaxCatchAll" ma:showField="CatchAllData" ma:web="8e8f7400-d615-4b09-be76-78f518059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EEE92-1BFF-41AF-B9E5-663605231111}">
  <ds:schemaRefs>
    <ds:schemaRef ds:uri="http://schemas.microsoft.com/office/2006/metadata/properties"/>
    <ds:schemaRef ds:uri="http://schemas.microsoft.com/office/infopath/2007/PartnerControls"/>
    <ds:schemaRef ds:uri="b1c7ae98-977d-4a76-b89e-024dbe577fde"/>
    <ds:schemaRef ds:uri="8e8f7400-d615-4b09-be76-78f518059851"/>
  </ds:schemaRefs>
</ds:datastoreItem>
</file>

<file path=customXml/itemProps2.xml><?xml version="1.0" encoding="utf-8"?>
<ds:datastoreItem xmlns:ds="http://schemas.openxmlformats.org/officeDocument/2006/customXml" ds:itemID="{0633E2AD-69ED-4473-B6DC-681B903B1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36621-E14E-4C93-92F4-5AA7988679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7ae98-977d-4a76-b89e-024dbe577fde"/>
    <ds:schemaRef ds:uri="8e8f7400-d615-4b09-be76-78f518059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FY26</vt:lpstr>
      <vt:lpstr>FY25</vt:lpstr>
      <vt:lpstr>FY24</vt:lpstr>
      <vt:lpstr>FY23</vt:lpstr>
      <vt:lpstr>FY22</vt:lpstr>
      <vt:lpstr>FY21</vt:lpstr>
      <vt:lpstr>FY20</vt:lpstr>
      <vt:lpstr>FY19</vt:lpstr>
      <vt:lpstr>FY18</vt:lpstr>
      <vt:lpstr>FY17</vt:lpstr>
      <vt:lpstr>FY16</vt:lpstr>
      <vt:lpstr>FY15</vt:lpstr>
      <vt:lpstr>FY14</vt:lpstr>
      <vt:lpstr>FY24 Raw Survey Results</vt:lpstr>
      <vt:lpstr>FY24 Survey Results Table</vt:lpstr>
      <vt:lpstr>'FY22'!Miles_to_work</vt:lpstr>
      <vt:lpstr>'FY23'!Miles_to_work</vt:lpstr>
      <vt:lpstr>'FY25'!Miles_to_work</vt:lpstr>
      <vt:lpstr>'FY26'!Miles_to_work</vt:lpstr>
      <vt:lpstr>Miles_to_work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Alexis Reyes</cp:lastModifiedBy>
  <cp:revision/>
  <dcterms:created xsi:type="dcterms:W3CDTF">2025-06-04T20:38:03Z</dcterms:created>
  <dcterms:modified xsi:type="dcterms:W3CDTF">2026-09-10T19:03:45Z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0x010100D98453B622C6434B9C1FC3980BC0FCCB</vt:lpwstr>
  </property>
  <property fmtid="{D5CDD505-2E9C-101B-9397-08002B2CF9AE}" pid="3" name="MediaServiceImageTags">
    <vt:lpwstr/>
  </property>
</Properties>
</file>